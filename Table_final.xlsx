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b val="1"/>
      <color rgb="009C5700"/>
    </font>
    <font>
      <color rgb="009C5700"/>
    </font>
    <font>
      <color rgb="007F7F7F"/>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6">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7" borderId="1" applyAlignment="1" pivotButton="0" quotePrefix="0" xfId="0">
      <alignment horizontal="right" vertical="top" wrapText="1" readingOrder="2"/>
    </xf>
    <xf numFmtId="0" fontId="14"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15" fillId="0" borderId="1" applyAlignment="1" pivotButton="0" quotePrefix="0" xfId="0">
      <alignment horizontal="center" vertical="top" wrapText="1" readingOrder="2"/>
    </xf>
    <xf numFmtId="0" fontId="15" fillId="0" borderId="1" applyAlignment="1" pivotButton="0" quotePrefix="0" xfId="0">
      <alignment horizontal="right" vertical="top" wrapText="1" readingOrder="2"/>
    </xf>
    <xf numFmtId="0" fontId="16"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www.wiwo.de/erfolg/trends/werkstudenten-rechner-2026-brutto-netto-gehalt-online-berechnen-wiwo/28979742.html" TargetMode="External" Id="rId215" /><Relationship Type="http://schemas.openxmlformats.org/officeDocument/2006/relationships/hyperlink" Target="https://checkeverything.ch/de/blog/mindestlohn-schweiz-2026" TargetMode="External" Id="rId216" /><Relationship Type="http://schemas.openxmlformats.org/officeDocument/2006/relationships/hyperlink" Target="https://www.cash.ch/news/stadt-luzern-behalt-kommunalen-mindestlohn-bei-971917" TargetMode="External" Id="rId217" /><Relationship Type="http://schemas.openxmlformats.org/officeDocument/2006/relationships/hyperlink" Target="https://www.fedlex.admin.ch/eli/cc/2007/758/en#art_21" TargetMode="External" Id="rId218" /><Relationship Type="http://schemas.openxmlformats.org/officeDocument/2006/relationships/hyperlink" Target="https://www.uva.nl/en/education/fees-and-funding/tuition-fees/tuition-fees.html" TargetMode="External" Id="rId219" /><Relationship Type="http://schemas.openxmlformats.org/officeDocument/2006/relationships/hyperlink" Target="https://www.uva.nl/en/programmes/masters/software-engineering/software-engineering.html" TargetMode="External" Id="rId220" /><Relationship Type="http://schemas.openxmlformats.org/officeDocument/2006/relationships/hyperlink" Target="https://collegedunia.com/netherlands/university/749-university-of-twente-enschede/admission" TargetMode="External" Id="rId221" /></Relationships>
</file>

<file path=xl/worksheets/sheet1.xml><?xml version="1.0" encoding="utf-8"?>
<worksheet xmlns="http://schemas.openxmlformats.org/spreadsheetml/2006/main">
  <sheetPr>
    <outlinePr summaryBelow="1" summaryRight="1"/>
    <pageSetUpPr/>
  </sheetPr>
  <dimension ref="A1:O88"/>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 شهریه + n ماه زندگی؛ بعد کار دانشجویی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 کل شهریه + n ماه زندگی؛ بعد کار دانشجویی با حداکثر ساعت قانونی × کف دستمزد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با $40,000 چه دارید؟ شهریه + n ماه زندگی
(بعد: کار با حداکثر ساعت مجاز در برابر زندگی)</t>
        </is>
      </c>
      <c r="B11" s="6" t="inlineStr">
        <is>
          <t>⚠️ Neuchâtel ۱۹.۸ / Fribourg ۱۸.۳ ماه (بدون کار) ✅؛ Basel ۱۶.۵ ماه → کسری ≈ $200 ✅؛ HSLU ۱۵.۳ ماه → ≈ $4.3k ⚠️؛ USI ۱۰.۷ ماه → ≈ $5.6k ⚠️. کار ممنوع تا ماه ۶، بعد ۱۵ ساعت × کف کانتونی ≈ $1,450–1,590 ‹ زندگی؛ اثبات $25,400</t>
        </is>
      </c>
      <c r="C11" s="6" t="inlineStr">
        <is>
          <t>✅ شهریه + تمام ۲۴ ماه: Darmstadt / Saarland / Passau (+$6–12k)؛ Stuttgart ۲۳.۱ ماه. کار ۲۰ ساعت × $16.6 ≈ $1,305 ≥ زندگی</t>
        </is>
      </c>
      <c r="D11" s="6" t="inlineStr">
        <is>
          <t>✅ Teesside ۱۲.۶ ماه (بدون کار)؛ Essex ۸.۵ / Northumbria ۷.۹ / MMU ۷.۷ ماه؛ کار ۲۰ ساعت × $16.8 ≈ $1,440 ≈ زندگی → کسری $20–150/ماه؛ Russell Group ❌</t>
        </is>
      </c>
      <c r="E11" s="6" t="inlineStr">
        <is>
          <t>⚠️ BTH ۱۱ / MDU ۱۱.۴ / LiU ۵.۶ ماه؛ کار بدون سقف، ۲۰ ساعت × $15 ≈ $1,130 ≥ زندگی — روی کاغذ صفر کسری، عملاً کار انگلیسی‌زبان نایاب → فقط با بورس</t>
        </is>
      </c>
      <c r="F11" s="6" t="inlineStr">
        <is>
          <t>❌ شهریهٔ دو سال $45–50k › $40k؛ UvA یک‌ساله ۰.۵ ماه + کار ۱۶ ساعت ≈ $1,090 ‹ $1,710 → کسری $6.5k</t>
        </is>
      </c>
      <c r="G11" s="6" t="inlineStr">
        <is>
          <t>❌ AAU ۳.۸ ماه؛ ۲۰ ساعت × $21 ≈ $1,330 ≈ زندگی → روی کاغذ سر به سر، عملاً بدون دانمارکی + ویزا</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Fribourg / Basel تقریباً بدون کار؛ HSLU / USI فقط با کار تعطیلات؛ ۶ ماه بی‌درآمد، اثبات $25,400، ۶ ماه بعد از مدرک = ریسک</t>
        </is>
      </c>
      <c r="C24" s="6" t="inlineStr">
        <is>
          <t>امن‌ترین — شهریه + تمام دوره از خودِ $40k؛ Werkstudent (۲۰ ساعت، $16.6+) هم پول است هم راه استخدام؛ بهایش آلمانی B1</t>
        </is>
      </c>
      <c r="D24" s="6" t="inlineStr">
        <is>
          <t>انگلیسیِ کامل، کار ۲۰ ساعت ≈ هزینهٔ زندگی، ۱ ساله — ولی بازار جونیور و حقوق ضعیف‌ترین</t>
        </is>
      </c>
      <c r="E24" s="6" t="inlineStr">
        <is>
          <t>روی کاغذ با ۲۰ ساعت کار می‌بندد، ولی بدون سوئدی کار پیدا نمی‌شود → فقط با بورس</t>
        </is>
      </c>
      <c r="F24" s="6" t="inlineStr">
        <is>
          <t>❌ شهریه به‌تنهایی بودجه را می‌خورد؛ فقط با بورس Reach</t>
        </is>
      </c>
      <c r="G24" s="6" t="inlineStr">
        <is>
          <t>❌ بودجه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با $40,000 = شهریه + n ماه، بعد کار حداکثر مجاز؟</t>
        </is>
      </c>
      <c r="B36" s="9" t="inlineStr"/>
      <c r="C36" s="6" t="inlineStr">
        <is>
          <t>⚠️ ۶ ماه بدون کار؛ Neuchâtel/Fribourg/Basel ✅، HSLU/USI با کار تعطیلات</t>
        </is>
      </c>
      <c r="D36" s="6" t="inlineStr">
        <is>
          <t>✅ حتی بدون کار</t>
        </is>
      </c>
      <c r="E36" s="6" t="inlineStr">
        <is>
          <t>✅ با ۲۰ ساعت کار</t>
        </is>
      </c>
      <c r="F36" s="6" t="inlineStr">
        <is>
          <t>⚠️ روی کاغذ ✅، عملاً فقط با بورس</t>
        </is>
      </c>
      <c r="G36" s="6" t="inlineStr">
        <is>
          <t>❌ شهریه به‌تنهایی</t>
        </is>
      </c>
      <c r="H36" s="6" t="inlineStr">
        <is>
          <t>❌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HSLU/USI حتی با ۱۵ ساعت × کف کانتونی هنوز ≈ $4–6k کسری تا پایان دوره دارند که فقط کار تمام‌وقت در تعطیلات ترم می‌بندد)؛ آلمان بدون کار؛ انگلستان با ۲۰ ساعت × $16.8 که تقریباً برابر هزینهٔ زندگی است.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 با امتیاز وزنی شما (۱ = بالاترین) — و دو ستون بودجه: «با $40,000 چه دارید؟ شهریه + n ماه زندگی» و «کار در حداکثر ساعت مجاز → کسری تا پایان دوره»</t>
        </is>
      </c>
    </row>
    <row r="42">
      <c r="A42" s="4" t="inlineStr">
        <is>
          <t>رتبه</t>
        </is>
      </c>
      <c r="B42" s="4" t="inlineStr">
        <is>
          <t>دانشگاه – شهر</t>
        </is>
      </c>
      <c r="C42" s="4" t="inlineStr">
        <is>
          <t>برنامه (طول)</t>
        </is>
      </c>
      <c r="D42" s="4" t="inlineStr">
        <is>
          <t>شهریهٔ کل دوره (★ کل تا مدرک بدون کار)</t>
        </is>
      </c>
      <c r="E42" s="4" t="inlineStr">
        <is>
          <t>با $40,000 چه دارید؟ شهریه + n ماه زندگی</t>
        </is>
      </c>
      <c r="F42" s="4" t="inlineStr">
        <is>
          <t>کار دانشجویی در حداکثر ساعت مجاز → کسری/اضافه تا پایان دوره</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6" t="n">
        <v>1</v>
      </c>
      <c r="B43" s="12" t="inlineStr">
        <is>
          <t>University of Basel – Basel</t>
        </is>
      </c>
      <c r="C43" s="12" t="inlineStr">
        <is>
          <t>MSc Computer Science (۱.۵ سال)</t>
        </is>
      </c>
      <c r="D43" s="6" t="inlineStr">
        <is>
          <t>$3,090 (کل $38–49k)</t>
        </is>
      </c>
      <c r="E43" s="7" t="inlineStr">
        <is>
          <t>✅ شهریه $3,090 + ۱۶.۵ ماه زندگی ($2,240/ماه) از ۱۸ ماه → از ماه ۱۷ باید کار کنید</t>
        </is>
      </c>
      <c r="F43" s="12"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 t="inlineStr">
        <is>
          <t>5 / 10 / 6 / 8 → 71.3</t>
        </is>
      </c>
      <c r="H43" s="13">
        <f>ROUND(($B$28*L43+$B$29*M43+$B$30*N43+$B$31*O43)/SUM($B$28:$B$31)*10,1)</f>
        <v/>
      </c>
      <c r="I43" s="14" t="inlineStr">
        <is>
          <t>Target/Reach</t>
        </is>
      </c>
      <c r="J43" s="12" t="inlineStr">
        <is>
          <t>۳۰ آوریل ۲۰۲۷</t>
        </is>
      </c>
      <c r="K43" s="12" t="inlineStr">
        <is>
          <t>Roche / Novartis / IT و ۱ ساعت تا زوریخ؛ آلمانی‌زبان؛ پذیرش سخت‌تر؛ اثبات $29,000؛ ۶ ماه مجوز L بعد از مدرک</t>
        </is>
      </c>
      <c r="L43" t="n">
        <v>5</v>
      </c>
      <c r="M43" t="n">
        <v>10</v>
      </c>
      <c r="N43" t="n">
        <v>6</v>
      </c>
      <c r="O43" t="n">
        <v>8</v>
      </c>
    </row>
    <row r="44">
      <c r="A44" s="6" t="n">
        <v>2</v>
      </c>
      <c r="B44" s="12" t="inlineStr">
        <is>
          <t>Hochschule Luzern (HSLU) – Lucerne / Luzern</t>
        </is>
      </c>
      <c r="C44" s="12" t="inlineStr">
        <is>
          <t>MSc Applied Data Science and AI (نام جدید از اوت ۲۰۲۶؛ قبلاً Applied Information and Data Science) (۲ سال)</t>
        </is>
      </c>
      <c r="D44" s="6" t="inlineStr">
        <is>
          <t>$7,620 (کل $53–64k)</t>
        </is>
      </c>
      <c r="E44" s="15" t="inlineStr">
        <is>
          <t>⚠️ شهریه $7,620 + ۱۵.۳ ماه زندگی ($2,120/ماه) از ۲۴ ماه → از ماه ۱۶ باید کار کنید</t>
        </is>
      </c>
      <c r="F44" s="1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 t="inlineStr">
        <is>
          <t>5 / 10 / 6 / 6 → 68.3</t>
        </is>
      </c>
      <c r="H44" s="13">
        <f>ROUND(($B$28*L44+$B$29*M44+$B$30*N44+$B$31*O44)/SUM($B$28:$B$31)*10,1)</f>
        <v/>
      </c>
      <c r="I44" s="17" t="inlineStr">
        <is>
          <t>Safe/Target</t>
        </is>
      </c>
      <c r="J44" s="12" t="inlineStr">
        <is>
          <t>۱ آوریل ۲۰۲۷</t>
        </is>
      </c>
      <c r="K44" s="12"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6" t="n">
        <v>3</v>
      </c>
      <c r="B45" s="12" t="inlineStr">
        <is>
          <t>University of Neuchâtel – Neuchâtel</t>
        </is>
      </c>
      <c r="C45" s="12" t="inlineStr">
        <is>
          <t>Swiss Joint MSc Computer Science (ثبت‌نام در Neuchâtel) (۱.۵ سال)</t>
        </is>
      </c>
      <c r="D45" s="6" t="inlineStr">
        <is>
          <t>$2,870 (کل $32–41k)</t>
        </is>
      </c>
      <c r="E45" s="7" t="inlineStr">
        <is>
          <t>✅ شهریه $2,870 + تمام ۱۸ ماه زندگی ($1,880/ماه) — و $3,370 اضافه می‌ماند</t>
        </is>
      </c>
      <c r="F45" s="12" t="inlineStr">
        <is>
          <t>✅ نیازی به کار نیست؛ اگر کار کنید (۱۵ ساعت/هفته × $25.8 (کف قانونی کانتون Neuchâtel ۲۰۲۶) ≈ $1,530 خالص/ماه) همه پس‌انداز می‌شود</t>
        </is>
      </c>
      <c r="G45" s="6" t="inlineStr">
        <is>
          <t>4 / 10 / 5 / 9 → 67.0</t>
        </is>
      </c>
      <c r="H45" s="13">
        <f>ROUND(($B$28*L45+$B$29*M45+$B$30*N45+$B$31*O45)/SUM($B$28:$B$31)*10,1)</f>
        <v/>
      </c>
      <c r="I45" s="18" t="inlineStr">
        <is>
          <t>Target</t>
        </is>
      </c>
      <c r="J45" s="12" t="inlineStr">
        <is>
          <t>۳۱ مارس ۲۰۲۷</t>
        </is>
      </c>
      <c r="K45" s="12"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6" t="n">
        <v>4</v>
      </c>
      <c r="B46" s="12" t="inlineStr">
        <is>
          <t>University of Fribourg – Fribourg</t>
        </is>
      </c>
      <c r="C46" s="12" t="inlineStr">
        <is>
          <t>Swiss Joint MSc Computer Science (ثبت‌نام در Fribourg) (۱.۵ سال)</t>
        </is>
      </c>
      <c r="D46" s="6" t="inlineStr">
        <is>
          <t>$3,580 (کل $35–43k)</t>
        </is>
      </c>
      <c r="E46" s="7" t="inlineStr">
        <is>
          <t>✅ شهریه $3,580 + تمام ۱۸ ماه زندگی ($1,970/ماه) — و $1,030 اضافه می‌ماند</t>
        </is>
      </c>
      <c r="F46" s="12" t="inlineStr">
        <is>
          <t>✅ نیازی به کار نیست؛ اگر کار کنید (۱۵ ساعت/هفته × $27 (بدون کف قانونی؛ $27 فرض) ≈ $1,570 خالص/ماه) همه پس‌انداز می‌شود</t>
        </is>
      </c>
      <c r="G46" s="6" t="inlineStr">
        <is>
          <t>4 / 10 / 5 / 8 → 65.5</t>
        </is>
      </c>
      <c r="H46" s="13">
        <f>ROUND(($B$28*L46+$B$29*M46+$B$30*N46+$B$31*O46)/SUM($B$28:$B$31)*10,1)</f>
        <v/>
      </c>
      <c r="I46" s="18" t="inlineStr">
        <is>
          <t>Target</t>
        </is>
      </c>
      <c r="J46" s="12" t="inlineStr">
        <is>
          <t>۲۸ فوریه ۲۰۲۷ (ویزایی‌ها)</t>
        </is>
      </c>
      <c r="K46" s="12" t="inlineStr">
        <is>
          <t>همان مدرک مشترک؛ شهر دوزبانه (فرانسه/آلمانی)؛ ۲۰ دقیقه تا برن</t>
        </is>
      </c>
      <c r="L46" t="n">
        <v>4</v>
      </c>
      <c r="M46" t="n">
        <v>10</v>
      </c>
      <c r="N46" t="n">
        <v>5</v>
      </c>
      <c r="O46" t="n">
        <v>8</v>
      </c>
    </row>
    <row r="47">
      <c r="A47" s="6" t="n">
        <v>5</v>
      </c>
      <c r="B47" s="12" t="inlineStr">
        <is>
          <t>Universität Stuttgart – Stuttgart</t>
        </is>
      </c>
      <c r="C47" s="12" t="inlineStr">
        <is>
          <t>M.Sc. Computer Science (انگلیسی، بدون NC) (۲ سال)</t>
        </is>
      </c>
      <c r="D47" s="6" t="inlineStr">
        <is>
          <t>$7,750 (کل $38–45k)</t>
        </is>
      </c>
      <c r="E47" s="7" t="inlineStr">
        <is>
          <t>✅ شهریه $7,750 + ۲۳.۱ ماه زندگی ($1,400/ماه) از ۲۴ ماه → از ماه ۲۴ باید کار کنید</t>
        </is>
      </c>
      <c r="F47" s="12"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 t="inlineStr">
        <is>
          <t>7 / 7 / 4 / 9 → 64.0</t>
        </is>
      </c>
      <c r="H47" s="13">
        <f>ROUND(($B$28*L47+$B$29*M47+$B$30*N47+$B$31*O47)/SUM($B$28:$B$31)*10,1)</f>
        <v/>
      </c>
      <c r="I47" s="18" t="inlineStr">
        <is>
          <t>Target</t>
        </is>
      </c>
      <c r="J47" s="12" t="inlineStr">
        <is>
          <t>۱۵ ژانویه ۲۰۲۷</t>
        </is>
      </c>
      <c r="K47" s="12" t="inlineStr">
        <is>
          <t>بزرگ‌ترین بازار مهندسی/IT (Bosch، Mercedes، Porsche)؛ حقوق BW بالاتر؛ ۱۸ ماه؛ IELTS 7؛ آلمانی برای نیمی از بازار؛ صف خوابگاه ۶–۸ ماه؛ اثبات $13,600</t>
        </is>
      </c>
      <c r="L47" t="n">
        <v>7</v>
      </c>
      <c r="M47" t="n">
        <v>7</v>
      </c>
      <c r="N47" t="n">
        <v>4</v>
      </c>
      <c r="O47" t="n">
        <v>9</v>
      </c>
    </row>
    <row r="48">
      <c r="A48" s="6" t="n">
        <v>6</v>
      </c>
      <c r="B48" s="12" t="inlineStr">
        <is>
          <t>Manchester Metropolitan University (MMU) – Manchester</t>
        </is>
      </c>
      <c r="C48" s="12" t="inlineStr">
        <is>
          <t>MSc Cyber Security (۱ سال)</t>
        </is>
      </c>
      <c r="D48" s="6" t="inlineStr">
        <is>
          <t>$27,800 (کل $45–49k)</t>
        </is>
      </c>
      <c r="E48" s="7" t="inlineStr">
        <is>
          <t>✅ شهریه $27,800 + ۷.۷ ماه زندگی ($1,590/ماه) از ۱۲ ماه → از ماه ۸ باید کار کنید</t>
        </is>
      </c>
      <c r="F48" s="12" t="inlineStr">
        <is>
          <t>✅ ۲۰ ساعت/هفته × $16.8 (National Living Wage از آوریل ۲۰۲۶) ≈ $1,440 خالص/ماه در برابر زندگی $1,590 → کسری $150/ماه × ۵ ماه = $760؛ باقی‌ماندهٔ بودجه $1,050 → بدون کسری (≈ $285 اضافه)</t>
        </is>
      </c>
      <c r="G48" s="6" t="inlineStr">
        <is>
          <t>5 / 3 / 10 / 8 → 64.0</t>
        </is>
      </c>
      <c r="H48" s="13">
        <f>ROUND(($B$28*L48+$B$29*M48+$B$30*N48+$B$31*O48)/SUM($B$28:$B$31)*10,1)</f>
        <v/>
      </c>
      <c r="I48" s="19" t="inlineStr">
        <is>
          <t>Safe</t>
        </is>
      </c>
      <c r="J48" s="12" t="inlineStr">
        <is>
          <t>rolling — تا ژوئن ۲۰۲۷</t>
        </is>
      </c>
      <c r="K48" s="12" t="inlineStr">
        <is>
          <t>منچستر = دومین قطب فناوری انگلستان (کار دانشجویی و جونیور بیشتر)؛ فقط Cyber Security در فهرست؛ اثبات ≈ $42k؛ Safe</t>
        </is>
      </c>
      <c r="L48" t="n">
        <v>5</v>
      </c>
      <c r="M48" t="n">
        <v>3</v>
      </c>
      <c r="N48" t="n">
        <v>10</v>
      </c>
      <c r="O48" t="n">
        <v>8</v>
      </c>
    </row>
    <row r="49">
      <c r="A49" s="6" t="n">
        <v>7</v>
      </c>
      <c r="B49" s="12" t="inlineStr">
        <is>
          <t>Teesside University – Middlesbrough</t>
        </is>
      </c>
      <c r="C49" s="12" t="inlineStr">
        <is>
          <t>MSc Computer Science (۱ سال)</t>
        </is>
      </c>
      <c r="D49" s="6" t="inlineStr">
        <is>
          <t>$22,500 (کل $38–41k)</t>
        </is>
      </c>
      <c r="E49" s="7" t="inlineStr">
        <is>
          <t>✅ شهریه $22,500 + تمام ۱۲ ماه زندگی ($1,390/ماه) — و $780 اضافه می‌ماند</t>
        </is>
      </c>
      <c r="F49" s="12" t="inlineStr">
        <is>
          <t>✅ نیازی به کار نیست؛ اگر کار کنید (۲۰ ساعت/هفته × $16.8 (National Living Wage از آوریل ۲۰۲۶) ≈ $1,440 خالص/ماه) همه پس‌انداز می‌شود</t>
        </is>
      </c>
      <c r="G49" s="6" t="inlineStr">
        <is>
          <t>3 / 3 / 10 / 10 → 61.5</t>
        </is>
      </c>
      <c r="H49" s="13">
        <f>ROUND(($B$28*L49+$B$29*M49+$B$30*N49+$B$31*O49)/SUM($B$28:$B$31)*10,1)</f>
        <v/>
      </c>
      <c r="I49" s="19" t="inlineStr">
        <is>
          <t>Safe</t>
        </is>
      </c>
      <c r="J49" s="12" t="inlineStr">
        <is>
          <t>rolling — تا ژوئن ۲۰۲۷</t>
        </is>
      </c>
      <c r="K49" s="12" t="inlineStr">
        <is>
          <t>۱۰۰٪ انگلیسی، ۱ ساله، پذیرش قطعی؛ اثبات تمکن ≈ $36.8k ✓؛ ولی Middlesbrough بازار کوچک و حقوق پایین</t>
        </is>
      </c>
      <c r="L49" t="n">
        <v>3</v>
      </c>
      <c r="M49" t="n">
        <v>3</v>
      </c>
      <c r="N49" t="n">
        <v>10</v>
      </c>
      <c r="O49" t="n">
        <v>10</v>
      </c>
    </row>
    <row r="50">
      <c r="A50" s="6" t="n">
        <v>8</v>
      </c>
      <c r="B50" s="12" t="inlineStr">
        <is>
          <t>Northumbria University – Newcastle upon Tyne</t>
        </is>
      </c>
      <c r="C50" s="12" t="inlineStr">
        <is>
          <t>MSc Advanced Computer Science (۱ سال)</t>
        </is>
      </c>
      <c r="D50" s="6" t="inlineStr">
        <is>
          <t>$28,500 (کل $44–48k)</t>
        </is>
      </c>
      <c r="E50" s="7" t="inlineStr">
        <is>
          <t>✅ شهریه $28,500 + ۷.۹ ماه زندگی ($1,460/ماه) از ۱۲ ماه → از ماه ۸ باید کار کنید</t>
        </is>
      </c>
      <c r="F50" s="12" t="inlineStr">
        <is>
          <t>✅ ۲۰ ساعت/هفته × $16.8 (National Living Wage از آوریل ۲۰۲۶) ≈ $1,440 خالص/ماه در برابر زندگی $1,460 → کسری $20/ماه × ۵ ماه = $98؛ باقی‌ماندهٔ بودجه $1,310 → بدون کسری (≈ $1,210 اضافه)</t>
        </is>
      </c>
      <c r="G50" s="6" t="inlineStr">
        <is>
          <t>4 / 3 / 10 / 8 → 61.3</t>
        </is>
      </c>
      <c r="H50" s="13">
        <f>ROUND(($B$28*L50+$B$29*M50+$B$30*N50+$B$31*O50)/SUM($B$28:$B$31)*10,1)</f>
        <v/>
      </c>
      <c r="I50" s="19" t="inlineStr">
        <is>
          <t>Safe</t>
        </is>
      </c>
      <c r="J50" s="12" t="inlineStr">
        <is>
          <t>rolling — تا ژوئن ۲۰۲۷</t>
        </is>
      </c>
      <c r="K50" s="12" t="inlineStr">
        <is>
          <t>Newcastle بازار متوسط (Sage، Accenture)؛ ارزان‌ترین خوابگاه انگلستان؛ اثبات ≈ $42.8k (≈ $3k موقتاً از خانواده)؛ ضعف بازار جونیور / اسپانسری</t>
        </is>
      </c>
      <c r="L50" t="n">
        <v>4</v>
      </c>
      <c r="M50" t="n">
        <v>3</v>
      </c>
      <c r="N50" t="n">
        <v>10</v>
      </c>
      <c r="O50" t="n">
        <v>8</v>
      </c>
    </row>
    <row r="51">
      <c r="A51" s="6" t="n">
        <v>9</v>
      </c>
      <c r="B51" s="12" t="inlineStr">
        <is>
          <t>University of Essex – Colchester</t>
        </is>
      </c>
      <c r="C51" s="12" t="inlineStr">
        <is>
          <t>MSc Advanced Computer Science (۱ سال)</t>
        </is>
      </c>
      <c r="D51" s="6" t="inlineStr">
        <is>
          <t>$26,700 (کل $49–54k)</t>
        </is>
      </c>
      <c r="E51" s="7" t="inlineStr">
        <is>
          <t>✅ شهریه $26,700 + ۸.۵ ماه زندگی ($1,560/ماه) از ۱۲ ماه → از ماه ۹ باید کار کنید</t>
        </is>
      </c>
      <c r="F51" s="12" t="inlineStr">
        <is>
          <t>✅ ۲۰ ساعت/هفته × $16.8 (National Living Wage از آوریل ۲۰۲۶) ≈ $1,440 خالص/ماه در برابر زندگی $1,560 → کسری $120/ماه × ۴ ماه = $475؛ باقی‌ماندهٔ بودجه $815 → بدون کسری (≈ $340 اضافه)</t>
        </is>
      </c>
      <c r="G51" s="6" t="inlineStr">
        <is>
          <t>4 / 3 / 10 / 8 → 61.3</t>
        </is>
      </c>
      <c r="H51" s="13">
        <f>ROUND(($B$28*L51+$B$29*M51+$B$30*N51+$B$31*O51)/SUM($B$28:$B$31)*10,1)</f>
        <v/>
      </c>
      <c r="I51" s="17" t="inlineStr">
        <is>
          <t>Safe/Target</t>
        </is>
      </c>
      <c r="J51" s="12" t="inlineStr">
        <is>
          <t>rolling — تا ژوئن ۲۰۲۷</t>
        </is>
      </c>
      <c r="K51" s="12" t="inlineStr">
        <is>
          <t>شهریه بعد از بورس خودکار ایران $5,960؛ ۱ ساعت تا لندن؛ خوابگاه تضمینی؛ اثبات ≈ $41k؛ ضعف بازار جونیور / اسپانسری</t>
        </is>
      </c>
      <c r="L51" t="n">
        <v>4</v>
      </c>
      <c r="M51" t="n">
        <v>3</v>
      </c>
      <c r="N51" t="n">
        <v>10</v>
      </c>
      <c r="O51" t="n">
        <v>8</v>
      </c>
    </row>
    <row r="52">
      <c r="A52" s="6" t="n">
        <v>10</v>
      </c>
      <c r="B52" s="12" t="inlineStr">
        <is>
          <t>USI – Università della Svizzera italiana – Lugano</t>
        </is>
      </c>
      <c r="C52" s="12" t="inlineStr">
        <is>
          <t>MSc Artificial Intelligence (با IDSIA) (۲ سال)</t>
        </is>
      </c>
      <c r="D52" s="6" t="inlineStr">
        <is>
          <t>$19,400 (کل $60–72k)</t>
        </is>
      </c>
      <c r="E52" s="15" t="inlineStr">
        <is>
          <t>⚠️ شهریه $19,400 + ۱۰.۷ ماه زندگی ($1,940/ماه) از ۲۴ ماه → از ماه ۱۱ باید کار کنید</t>
        </is>
      </c>
      <c r="F52" s="1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 — کار ۱۵ ساعت تضمینی نیست</t>
        </is>
      </c>
      <c r="G52" s="6" t="inlineStr">
        <is>
          <t>4 / 10 / 5 / 5 → 61.0</t>
        </is>
      </c>
      <c r="H52" s="13">
        <f>ROUND(($B$28*L52+$B$29*M52+$B$30*N52+$B$31*O52)/SUM($B$28:$B$31)*10,1)</f>
        <v/>
      </c>
      <c r="I52" s="18" t="inlineStr">
        <is>
          <t>Target</t>
        </is>
      </c>
      <c r="J52" s="12" t="inlineStr">
        <is>
          <t>۳۰ آوریل ۲۰۲۷</t>
        </is>
      </c>
      <c r="K52" s="12" t="inlineStr">
        <is>
          <t>AI با IDSIA؛ ورود با B2؛ بورس $4,840 مرزی؛ همان ریسک ۶ ماه</t>
        </is>
      </c>
      <c r="L52" t="n">
        <v>4</v>
      </c>
      <c r="M52" t="n">
        <v>10</v>
      </c>
      <c r="N52" t="n">
        <v>5</v>
      </c>
      <c r="O52" t="n">
        <v>5</v>
      </c>
    </row>
    <row r="53">
      <c r="A53" s="6" t="n">
        <v>11</v>
      </c>
      <c r="B53" s="12" t="inlineStr">
        <is>
          <t>TU Darmstadt – Darmstadt</t>
        </is>
      </c>
      <c r="C53" s="12" t="inlineStr">
        <is>
          <t>M.Sc. Distributed Software Systems (انگلیسی) (۲ سال)</t>
        </is>
      </c>
      <c r="D53" s="6" t="inlineStr">
        <is>
          <t>$1,370 (کل $30–37k)</t>
        </is>
      </c>
      <c r="E53" s="7" t="inlineStr">
        <is>
          <t>✅ شهریه $1,370 + تمام ۲۴ ماه زندگی ($1,340/ماه) — و $6,480 اضافه می‌ماند</t>
        </is>
      </c>
      <c r="F53" s="12" t="inlineStr">
        <is>
          <t>✅ نیازی به کار نیست؛ اگر کار کنید (۲۰ ساعت/هفته × $16.6 (حداقل قانونی از ژانویه ۲۰۲۷؛ Werkstudent IT معمولاً $19–23) ≈ $1,300 خالص/ماه) همه پس‌انداز می‌شود</t>
        </is>
      </c>
      <c r="G53" s="6" t="inlineStr">
        <is>
          <t>6 / 6 / 4 / 10 → 60.0</t>
        </is>
      </c>
      <c r="H53" s="13">
        <f>ROUND(($B$28*L53+$B$29*M53+$B$30*N53+$B$31*O53)/SUM($B$28:$B$31)*10,1)</f>
        <v/>
      </c>
      <c r="I53" s="14" t="inlineStr">
        <is>
          <t>Target/Reach</t>
        </is>
      </c>
      <c r="J53" s="12" t="inlineStr">
        <is>
          <t>≈ ۱۵ می – ۱۵ ژوئیه ۲۰۲۷ (چک شود)</t>
        </is>
      </c>
      <c r="K53" s="12" t="inlineStr">
        <is>
          <t>۲۵ دقیقه تا فرانکفورت (شرکت‌های بین‌المللی انگلیسی‌زبان)؛ تقریباً رایگان؛ لیست انتظار خوابگاه</t>
        </is>
      </c>
      <c r="L53" t="n">
        <v>6</v>
      </c>
      <c r="M53" t="n">
        <v>6</v>
      </c>
      <c r="N53" t="n">
        <v>4</v>
      </c>
      <c r="O53" t="n">
        <v>10</v>
      </c>
    </row>
    <row r="54">
      <c r="A54" s="6" t="n">
        <v>12</v>
      </c>
      <c r="B54" s="12" t="inlineStr">
        <is>
          <t>University of Leicester – Leicester</t>
        </is>
      </c>
      <c r="C54" s="12" t="inlineStr">
        <is>
          <t>MSc Advanced Computer Science (۱ سال)</t>
        </is>
      </c>
      <c r="D54" s="6" t="inlineStr">
        <is>
          <t>$32,100 (کل $48–53k)</t>
        </is>
      </c>
      <c r="E54" s="15" t="inlineStr">
        <is>
          <t>⚠️ شهریه $32,100 + ۵.۲ ماه زندگی ($1,520/ماه) از ۱۲ ماه → از ماه ۶ باید کار کنید</t>
        </is>
      </c>
      <c r="F54" s="16"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54" s="6" t="inlineStr">
        <is>
          <t>4 / 3 / 10 / 7 → 59.8</t>
        </is>
      </c>
      <c r="H54" s="13">
        <f>ROUND(($B$28*L54+$B$29*M54+$B$30*N54+$B$31*O54)/SUM($B$28:$B$31)*10,1)</f>
        <v/>
      </c>
      <c r="I54" s="18" t="inlineStr">
        <is>
          <t>Target</t>
        </is>
      </c>
      <c r="J54" s="12" t="inlineStr">
        <is>
          <t>rolling — تا ژوئن ۲۰۲۷</t>
        </is>
      </c>
      <c r="K54" s="12" t="inlineStr">
        <is>
          <t>رتبهٔ بهتر از Teesside/Northumbria؛ ولی حاشیهٔ صفر: هر ماه تأخیر در کار ≈ $1,500 کسری؛ اثبات ≈ $46k</t>
        </is>
      </c>
      <c r="L54" t="n">
        <v>4</v>
      </c>
      <c r="M54" t="n">
        <v>3</v>
      </c>
      <c r="N54" t="n">
        <v>10</v>
      </c>
      <c r="O54" t="n">
        <v>7</v>
      </c>
    </row>
    <row r="55">
      <c r="A55" s="6" t="n">
        <v>13</v>
      </c>
      <c r="B55" s="12" t="inlineStr">
        <is>
          <t>Saarland University (UdS) – Saarbrücken</t>
        </is>
      </c>
      <c r="C55" s="12" t="inlineStr">
        <is>
          <t>M.Sc. Data Science and Artificial Intelligence (۲ سال)</t>
        </is>
      </c>
      <c r="D55" s="6" t="inlineStr">
        <is>
          <t>$1,800 (کل $26–32k)</t>
        </is>
      </c>
      <c r="E55" s="7" t="inlineStr">
        <is>
          <t>✅ شهریه $1,800 + تمام ۲۴ ماه زندگی ($1,140/ماه) — و $11k اضافه می‌ماند</t>
        </is>
      </c>
      <c r="F55" s="12" t="inlineStr">
        <is>
          <t>✅ نیازی به کار نیست؛ اگر کار کنید (۲۰ ساعت/هفته × $16.6 (حداقل قانونی از ژانویه ۲۰۲۷؛ Werkstudent IT معمولاً $19–23) ≈ $1,300 خالص/ماه) همه پس‌انداز می‌شود</t>
        </is>
      </c>
      <c r="G55" s="6" t="inlineStr">
        <is>
          <t>5 / 6 / 4 / 10 → 57.3</t>
        </is>
      </c>
      <c r="H55" s="13">
        <f>ROUND(($B$28*L55+$B$29*M55+$B$30*N55+$B$31*O55)/SUM($B$28:$B$31)*10,1)</f>
        <v/>
      </c>
      <c r="I55" s="18" t="inlineStr">
        <is>
          <t>Target</t>
        </is>
      </c>
      <c r="J55" s="12" t="inlineStr">
        <is>
          <t>≈ ۱۵ می – ۱۵ ژوئیه ۲۰۲۷ (چک شود)</t>
        </is>
      </c>
      <c r="K55" s="12" t="inlineStr">
        <is>
          <t>AI کنار CISPA/DFKI؛ ارزان‌ترین زندگی؛ شهر کوچک (لوکزامبورگ ۱ ساعت)</t>
        </is>
      </c>
      <c r="L55" t="n">
        <v>5</v>
      </c>
      <c r="M55" t="n">
        <v>6</v>
      </c>
      <c r="N55" t="n">
        <v>4</v>
      </c>
      <c r="O55" t="n">
        <v>10</v>
      </c>
    </row>
    <row r="56">
      <c r="A56" s="6" t="n">
        <v>14</v>
      </c>
      <c r="B56" s="12" t="inlineStr">
        <is>
          <t>Linköping University (LiU) – Linköping</t>
        </is>
      </c>
      <c r="C56" s="12" t="inlineStr">
        <is>
          <t>MSc Computer Science (۲ سال)</t>
        </is>
      </c>
      <c r="D56" s="6" t="inlineStr">
        <is>
          <t>$33,500 (کل $59–64k)</t>
        </is>
      </c>
      <c r="E56" s="15" t="inlineStr">
        <is>
          <t>⚠️ شهریه $33,500 + ۵.۶ ماه زندگی ($1,160/ماه) از ۲۴ ماه → از ماه ۶ باید کار کنید</t>
        </is>
      </c>
      <c r="F56" s="1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فقط ۵.۶ ماه حاشیه و کار بدون سوئدی نایاب؛ با بورس ۵۰٪ ✅</t>
        </is>
      </c>
      <c r="G56" s="6" t="inlineStr">
        <is>
          <t>4 / 5 / 8 / 5 → 56.3</t>
        </is>
      </c>
      <c r="H56" s="13">
        <f>ROUND(($B$28*L56+$B$29*M56+$B$30*N56+$B$31*O56)/SUM($B$28:$B$31)*10,1)</f>
        <v/>
      </c>
      <c r="I56" s="18" t="inlineStr">
        <is>
          <t>Target</t>
        </is>
      </c>
      <c r="J56" s="12" t="inlineStr">
        <is>
          <t>۱۵ ژانویه ۲۰۲۷</t>
        </is>
      </c>
      <c r="K56" s="12" t="inlineStr">
        <is>
          <t>خوابگاه تضمینی؛ Saab/Ericsson؛ بورس ۵۰٪ LiU (معدل ۳.۵/۴؛ Reach) → ۲۰ ماه پوشش</t>
        </is>
      </c>
      <c r="L56" t="n">
        <v>4</v>
      </c>
      <c r="M56" t="n">
        <v>5</v>
      </c>
      <c r="N56" t="n">
        <v>8</v>
      </c>
      <c r="O56" t="n">
        <v>5</v>
      </c>
    </row>
    <row r="57">
      <c r="A57" s="6" t="n">
        <v>15</v>
      </c>
      <c r="B57" s="12" t="inlineStr">
        <is>
          <t>Blekinge Institute of Technology (BTH) – Karlskrona</t>
        </is>
      </c>
      <c r="C57" s="12" t="inlineStr">
        <is>
          <t>MSc Software Engineering (120 cr) (۲ سال)</t>
        </is>
      </c>
      <c r="D57" s="6" t="inlineStr">
        <is>
          <t>$28,300 (کل $51–56k)</t>
        </is>
      </c>
      <c r="E57" s="15" t="inlineStr">
        <is>
          <t>⚠️ شهریه $28,300 + ۱۱ ماه زندگی ($1,060/ماه) از ۲۴ ماه → از ماه ۱۲ باید کار کنید</t>
        </is>
      </c>
      <c r="F57" s="1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7" s="6" t="inlineStr">
        <is>
          <t>3 / 5 / 8 / 6 → 55.0</t>
        </is>
      </c>
      <c r="H57" s="13">
        <f>ROUND(($B$28*L57+$B$29*M57+$B$30*N57+$B$31*O57)/SUM($B$28:$B$31)*10,1)</f>
        <v/>
      </c>
      <c r="I57" s="17" t="inlineStr">
        <is>
          <t>Safe/Target</t>
        </is>
      </c>
      <c r="J57" s="12" t="inlineStr">
        <is>
          <t>۱۵ ژانویه ۲۰۲۷</t>
        </is>
      </c>
      <c r="K57" s="12" t="inlineStr">
        <is>
          <t>پشتوانهٔ ارزانِ ۱۰۰٪ انگلیسی؛ Ericsson در شهر؛ اثبات $10,800 سال اول؛ بازار سوئد ضعیف</t>
        </is>
      </c>
      <c r="L57" t="n">
        <v>3</v>
      </c>
      <c r="M57" t="n">
        <v>5</v>
      </c>
      <c r="N57" t="n">
        <v>8</v>
      </c>
      <c r="O57" t="n">
        <v>6</v>
      </c>
    </row>
    <row r="58">
      <c r="A58" s="6" t="n">
        <v>16</v>
      </c>
      <c r="B58" s="12" t="inlineStr">
        <is>
          <t>Mälardalen University (MDU) – Västerås</t>
        </is>
      </c>
      <c r="C58" s="12" t="inlineStr">
        <is>
          <t>MSc Software Engineering (۲ سال)</t>
        </is>
      </c>
      <c r="D58" s="6" t="inlineStr">
        <is>
          <t>$27,300 (کل $52–56k)</t>
        </is>
      </c>
      <c r="E58" s="15" t="inlineStr">
        <is>
          <t>⚠️ شهریه $27,300 + ۱۱.۵ ماه زندگی ($1,110/ماه) از ۲۴ ماه → از ماه ۱۲ باید کار کنید</t>
        </is>
      </c>
      <c r="F58" s="1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8" s="6" t="inlineStr">
        <is>
          <t>3 / 5 / 8 / 6 → 55.0</t>
        </is>
      </c>
      <c r="H58" s="13">
        <f>ROUND(($B$28*L58+$B$29*M58+$B$30*N58+$B$31*O58)/SUM($B$28:$B$31)*10,1)</f>
        <v/>
      </c>
      <c r="I58" s="19" t="inlineStr">
        <is>
          <t>Safe</t>
        </is>
      </c>
      <c r="J58" s="12" t="inlineStr">
        <is>
          <t>۱۵ ژانویه ۲۰۲۷</t>
        </is>
      </c>
      <c r="K58" s="12" t="inlineStr">
        <is>
          <t>Västerås (ABB)؛ خوابگاه تضمینی؛ بورس MDU تا ۱۰۰٪ (رقابتی)</t>
        </is>
      </c>
      <c r="L58" t="n">
        <v>3</v>
      </c>
      <c r="M58" t="n">
        <v>5</v>
      </c>
      <c r="N58" t="n">
        <v>8</v>
      </c>
      <c r="O58" t="n">
        <v>6</v>
      </c>
    </row>
    <row r="59">
      <c r="A59" s="6" t="n">
        <v>17</v>
      </c>
      <c r="B59" s="12" t="inlineStr">
        <is>
          <t>Universität Passau – Passau</t>
        </is>
      </c>
      <c r="C59" s="12" t="inlineStr">
        <is>
          <t>M.Sc. Artificial Intelligence Engineering (۲ سال)</t>
        </is>
      </c>
      <c r="D59" s="6" t="inlineStr">
        <is>
          <t>$685 (کل $25–31k)</t>
        </is>
      </c>
      <c r="E59" s="7" t="inlineStr">
        <is>
          <t>✅ شهریه $685 + تمام ۲۴ ماه زندگی ($1,140/ماه) — و $12k اضافه می‌ماند</t>
        </is>
      </c>
      <c r="F59" s="12" t="inlineStr">
        <is>
          <t>✅ نیازی به کار نیست؛ اگر کار کنید (۲۰ ساعت/هفته × $16.6 (حداقل قانونی از ژانویه ۲۰۲۷؛ Werkstudent IT معمولاً $19–23) ≈ $1,300 خالص/ماه) همه پس‌انداز می‌شود</t>
        </is>
      </c>
      <c r="G59" s="6" t="inlineStr">
        <is>
          <t>4 / 6 / 3 / 10 → 51.5</t>
        </is>
      </c>
      <c r="H59" s="13">
        <f>ROUND(($B$28*L59+$B$29*M59+$B$30*N59+$B$31*O59)/SUM($B$28:$B$31)*10,1)</f>
        <v/>
      </c>
      <c r="I59" s="19" t="inlineStr">
        <is>
          <t>Safe</t>
        </is>
      </c>
      <c r="J59" s="12" t="inlineStr">
        <is>
          <t>۳۱ می ۲۰۲۷</t>
        </is>
      </c>
      <c r="K59" s="12" t="inlineStr">
        <is>
          <t>Safe آلمان (معدل ۲.۳ ≤ ۲.۷ ✓)؛ شهر کوچک؛ آلمانی A1 اجباری در سال اول؛ مونیخ ۲ ساعت</t>
        </is>
      </c>
      <c r="L59" t="n">
        <v>4</v>
      </c>
      <c r="M59" t="n">
        <v>6</v>
      </c>
      <c r="N59" t="n">
        <v>3</v>
      </c>
      <c r="O59" t="n">
        <v>10</v>
      </c>
    </row>
    <row r="60" ht="96" customHeight="1">
      <c r="A60" s="2" t="inlineStr">
        <is>
          <t>ستون «با $40,000 چه دارید؟»: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 = بدون کسری (یا زیر $1,000) با دست‌کم ۶ ماه پوشش · ⚠️ = کسری‌ای که کار تمام‌وقت در تعطیلات ترم (قانونی) می‌بندد، یا حاشیهٔ کمتر از ۶ ماه، یا کار به انگلیسی نایاب · ❌ = شهریه به‌تنهایی › $40k یا کسری بزرگ‌تر.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1"/>
    <row r="62">
      <c r="A62" s="3" t="inlineStr">
        <is>
          <t>پ-۲) برای مقایسه: برنامه‌هایی که با همین محاسبه (حداکثر ساعت مجاز) هم جور درنمی‌آیند یا فقط روی کاغذ جور درمی‌آیند</t>
        </is>
      </c>
    </row>
    <row r="63">
      <c r="A63" s="4" t="inlineStr">
        <is>
          <t>—</t>
        </is>
      </c>
      <c r="B63" s="4" t="inlineStr">
        <is>
          <t>دانشگاه – شهر</t>
        </is>
      </c>
      <c r="C63" s="4" t="inlineStr">
        <is>
          <t>برنامه (طول)</t>
        </is>
      </c>
      <c r="D63" s="4" t="inlineStr">
        <is>
          <t>شهریهٔ کل دوره (★ کل تا مدرک)</t>
        </is>
      </c>
      <c r="E63" s="4" t="inlineStr">
        <is>
          <t>با $40,000 چه دارید؟ شهریه + n ماه زندگی</t>
        </is>
      </c>
      <c r="F63" s="4" t="inlineStr">
        <is>
          <t>کار در حداکثر ساعت مجاز → چرا باز هم نه</t>
        </is>
      </c>
      <c r="G63" s="4" t="inlineStr">
        <is>
          <t>چه چیزی می‌توانست ببندد؟</t>
        </is>
      </c>
      <c r="H63" s="4" t="inlineStr"/>
      <c r="I63" s="4" t="inlineStr">
        <is>
          <t>شانس</t>
        </is>
      </c>
      <c r="J63" s="4" t="inlineStr"/>
      <c r="K63" s="4" t="inlineStr">
        <is>
          <t>چرا جذاب بود</t>
        </is>
      </c>
    </row>
    <row r="64">
      <c r="A64" s="20" t="inlineStr">
        <is>
          <t>—</t>
        </is>
      </c>
      <c r="B64" s="21" t="inlineStr">
        <is>
          <t>University of Twente (UT) – Enschede</t>
        </is>
      </c>
      <c r="C64" s="21" t="inlineStr">
        <is>
          <t>MSc Computer Science (گرایش‌ها: Cyber Security، Data Science، Software Tech، ...) (۲ سال)</t>
        </is>
      </c>
      <c r="D64" s="20" t="inlineStr">
        <is>
          <t>$49,500 (کل $77–85k)</t>
        </is>
      </c>
      <c r="E64" s="22" t="inlineStr">
        <is>
          <t>❌ شهریه $49,500 به‌تنهایی $9.5k بیشتر از $40,000 است → صفر ماه زندگی</t>
        </is>
      </c>
      <c r="F64" s="22" t="inlineStr">
        <is>
          <t>❌ کار جبران نمی‌کند — کسری قبل از اولین ماه زندگی شروع می‌شود (۱۶ ساعت/هفته × $16.8 (حداقل قانونی ۲۰۲۶؛ ۱۶ ساعت فقط با مجوز TWV کارفرما) ≈ $1,090 خالص/ماه)</t>
        </is>
      </c>
      <c r="G64" s="21" t="inlineStr">
        <is>
          <t>فقط بورس UTS (تا ≈ $25k/سال؛ Reach)</t>
        </is>
      </c>
      <c r="H64" s="21" t="inlineStr"/>
      <c r="I64" s="20" t="inlineStr">
        <is>
          <t>Target</t>
        </is>
      </c>
      <c r="J64" s="21" t="inlineStr"/>
      <c r="K64" s="21" t="inlineStr">
        <is>
          <t>انگلیسی‌دوست‌ترین بازار کار؛ ۱۲ ماه zoekjaar</t>
        </is>
      </c>
    </row>
    <row r="65">
      <c r="A65" s="20" t="inlineStr">
        <is>
          <t>—</t>
        </is>
      </c>
      <c r="B65" s="21" t="inlineStr">
        <is>
          <t>Radboud University – Nijmegen</t>
        </is>
      </c>
      <c r="C65" s="21" t="inlineStr">
        <is>
          <t>MSc Computing Science (گرایش‌ها: Cyber Security، Data Science، Software Science) (۲ سال)</t>
        </is>
      </c>
      <c r="D65" s="20" t="inlineStr">
        <is>
          <t>$44,900 (کل $74–82k)</t>
        </is>
      </c>
      <c r="E65" s="22" t="inlineStr">
        <is>
          <t>❌ شهریه $44,900 به‌تنهایی $4.9k بیشتر از $40,000 است → صفر ماه زندگی</t>
        </is>
      </c>
      <c r="F65" s="22" t="inlineStr">
        <is>
          <t>❌ کار جبران نمی‌کند — کسری قبل از اولین ماه زندگی شروع می‌شود (۱۶ ساعت/هفته × $16.8 (حداقل قانونی ۲۰۲۶؛ ۱۶ ساعت فقط با مجوز TWV کارفرما) ≈ $1,090 خالص/ماه)</t>
        </is>
      </c>
      <c r="G65" s="21" t="inlineStr">
        <is>
          <t>فقط Radboud Scholarship (Reach)</t>
        </is>
      </c>
      <c r="H65" s="21" t="inlineStr"/>
      <c r="I65" s="20" t="inlineStr">
        <is>
          <t>Target</t>
        </is>
      </c>
      <c r="J65" s="21" t="inlineStr"/>
      <c r="K65" s="21" t="inlineStr">
        <is>
          <t>ارزان‌ترِ هلند</t>
        </is>
      </c>
    </row>
    <row r="66">
      <c r="A66" s="20" t="inlineStr">
        <is>
          <t>—</t>
        </is>
      </c>
      <c r="B66" s="21" t="inlineStr">
        <is>
          <t>University of Amsterdam (UvA) – Amsterdam</t>
        </is>
      </c>
      <c r="C66" s="21" t="inlineStr">
        <is>
          <t>MSc Software Engineering (۱ ساله!) (۱ سال)</t>
        </is>
      </c>
      <c r="D66" s="20" t="inlineStr">
        <is>
          <t>$39,100 (کل $57–62k)</t>
        </is>
      </c>
      <c r="E66" s="22" t="inlineStr">
        <is>
          <t>❌ شهریه $39,100 + ۰.۵ ماه زندگی ($1,710/ماه) از ۱۲ ماه → از ماه ۱ باید کار کنید</t>
        </is>
      </c>
      <c r="F66" s="22"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21" t="inlineStr">
        <is>
          <t>هیچ</t>
        </is>
      </c>
      <c r="H66" s="21" t="inlineStr"/>
      <c r="I66" s="20" t="inlineStr">
        <is>
          <t>Target/Reach</t>
        </is>
      </c>
      <c r="J66" s="21" t="inlineStr"/>
      <c r="K66" s="21" t="inlineStr">
        <is>
          <t>۱ ساله در بهترین بازار انگلیسی‌زبان</t>
        </is>
      </c>
    </row>
    <row r="67">
      <c r="A67" s="20" t="inlineStr">
        <is>
          <t>—</t>
        </is>
      </c>
      <c r="B67" s="21" t="inlineStr">
        <is>
          <t>Aalborg University (AAU) – Aalborg</t>
        </is>
      </c>
      <c r="C67" s="21" t="inlineStr">
        <is>
          <t>MSc Computer Science (IT) (۲ سال)</t>
        </is>
      </c>
      <c r="D67" s="20" t="inlineStr">
        <is>
          <t>$35,000 (کل $63–70k)</t>
        </is>
      </c>
      <c r="E67" s="22" t="inlineStr">
        <is>
          <t>❌ شهریه $35,000 + ۳.۸ ماه زندگی ($1,340/ماه) از ۲۴ ماه → از ماه ۴ باید کار کنید</t>
        </is>
      </c>
      <c r="F67" s="22"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21" t="inlineStr">
        <is>
          <t>≈ ۱۵ بورس AAU (بعید)</t>
        </is>
      </c>
      <c r="H67" s="21" t="inlineStr"/>
      <c r="I67" s="20" t="inlineStr">
        <is>
          <t>Target</t>
        </is>
      </c>
      <c r="J67" s="21" t="inlineStr"/>
      <c r="K67" s="21" t="inlineStr">
        <is>
          <t>۳ سال اقامت کاریابی؛ حقوق بالا</t>
        </is>
      </c>
    </row>
    <row r="68">
      <c r="A68" s="20" t="inlineStr">
        <is>
          <t>—</t>
        </is>
      </c>
      <c r="B68" s="21" t="inlineStr">
        <is>
          <t>University of Southern Denmark (SDU) – Odense</t>
        </is>
      </c>
      <c r="C68" s="21" t="inlineStr">
        <is>
          <t>MSc Computer Science (۲ سال)</t>
        </is>
      </c>
      <c r="D68" s="20" t="inlineStr">
        <is>
          <t>$39,400 (کل $69–76k)</t>
        </is>
      </c>
      <c r="E68" s="22" t="inlineStr">
        <is>
          <t>❌ شهریه $39,400 + ۰.۴ ماه زندگی ($1,370/ماه) از ۲۴ ماه → از ماه ۱ باید کار کنید</t>
        </is>
      </c>
      <c r="F68" s="22"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21" t="inlineStr">
        <is>
          <t>هیچ</t>
        </is>
      </c>
      <c r="H68" s="21" t="inlineStr"/>
      <c r="I68" s="20" t="inlineStr">
        <is>
          <t>Target</t>
        </is>
      </c>
      <c r="J68" s="21" t="inlineStr"/>
      <c r="K68" s="21" t="inlineStr">
        <is>
          <t>—</t>
        </is>
      </c>
    </row>
    <row r="69">
      <c r="A69" s="20" t="inlineStr">
        <is>
          <t>—</t>
        </is>
      </c>
      <c r="B69" s="21" t="inlineStr">
        <is>
          <t>Durham University (Russell Group) – Durham</t>
        </is>
      </c>
      <c r="C69" s="21" t="inlineStr">
        <is>
          <t>MSc Advanced Computer Science (و MSc Data Science) (۱ سال)</t>
        </is>
      </c>
      <c r="D69" s="20" t="inlineStr">
        <is>
          <t>$45,700 (کل $61–65k)</t>
        </is>
      </c>
      <c r="E69" s="22" t="inlineStr">
        <is>
          <t>❌ شهریه $45,700 به‌تنهایی $5.7k بیشتر از $40,000 است → صفر ماه زندگی</t>
        </is>
      </c>
      <c r="F69" s="22" t="inlineStr">
        <is>
          <t>❌ کار جبران نمی‌کند — کسری قبل از اولین ماه زندگی شروع می‌شود (۲۰ ساعت/هفته × $16.8 (National Living Wage از آوریل ۲۰۲۶) ≈ $1,440 خالص/ماه)</t>
        </is>
      </c>
      <c r="G69" s="21" t="inlineStr">
        <is>
          <t>هیچ بورس قابل اتکایی برای ایران</t>
        </is>
      </c>
      <c r="H69" s="21" t="inlineStr"/>
      <c r="I69" s="20" t="inlineStr">
        <is>
          <t>Target</t>
        </is>
      </c>
      <c r="J69" s="21" t="inlineStr"/>
      <c r="K69" s="21" t="inlineStr">
        <is>
          <t>برند Russell Group</t>
        </is>
      </c>
    </row>
    <row r="70">
      <c r="A70" s="20" t="inlineStr">
        <is>
          <t>—</t>
        </is>
      </c>
      <c r="B70" s="21" t="inlineStr">
        <is>
          <t>Brunel University London – London – Uxbridge</t>
        </is>
      </c>
      <c r="C70" s="21" t="inlineStr">
        <is>
          <t>MSc Artificial Intelligence (۱ سال)</t>
        </is>
      </c>
      <c r="D70" s="20" t="inlineStr">
        <is>
          <t>$32,900 (کل $55–61k)</t>
        </is>
      </c>
      <c r="E70" s="22" t="inlineStr">
        <is>
          <t>❌ شهریه $32,900 + ۳.۴ ماه زندگی ($2,120/ماه) از ۱۲ ماه → از ماه ۴ باید کار کنید</t>
        </is>
      </c>
      <c r="F70" s="22"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21" t="inlineStr">
        <is>
          <t>هیچ</t>
        </is>
      </c>
      <c r="H70" s="21" t="inlineStr"/>
      <c r="I70" s="20" t="inlineStr">
        <is>
          <t>Safe/Target</t>
        </is>
      </c>
      <c r="J70" s="21" t="inlineStr"/>
      <c r="K70" s="21" t="inlineStr">
        <is>
          <t>لندن</t>
        </is>
      </c>
    </row>
    <row r="71">
      <c r="A71" s="20" t="inlineStr">
        <is>
          <t>—</t>
        </is>
      </c>
      <c r="B71" s="21" t="inlineStr">
        <is>
          <t>University of Zurich (UZH) – Zürich</t>
        </is>
      </c>
      <c r="C71" s="21" t="inlineStr">
        <is>
          <t>MSc Informatics (گرایش‌ها: Software Systems، Data Science، People-Oriented Computing…) (۱.۵–۲ سال)</t>
        </is>
      </c>
      <c r="D71" s="20" t="inlineStr">
        <is>
          <t>$3,190 (کل $45–58k)</t>
        </is>
      </c>
      <c r="E71" s="22" t="inlineStr">
        <is>
          <t>⚠️ شهریه $3,190 + ۱۳.۸ ماه زندگی ($2,660/ماه) از ۱۸ ماه → از ماه ۱۴ باید کار کنید</t>
        </is>
      </c>
      <c r="F71" s="22"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21" t="inlineStr">
        <is>
          <t>بورس UZH (Reach)</t>
        </is>
      </c>
      <c r="H71" s="21" t="inlineStr"/>
      <c r="I71" s="20" t="inlineStr">
        <is>
          <t>Reach</t>
        </is>
      </c>
      <c r="J71" s="21" t="inlineStr"/>
      <c r="K71" s="21" t="inlineStr">
        <is>
          <t>زوریخ = بزرگ‌ترین بازار IT سوئیس</t>
        </is>
      </c>
    </row>
    <row r="72">
      <c r="A72" s="20" t="inlineStr">
        <is>
          <t>—</t>
        </is>
      </c>
      <c r="B72" s="21" t="inlineStr">
        <is>
          <t>ETH Zürich – Zürich</t>
        </is>
      </c>
      <c r="C72" s="21" t="inlineStr">
        <is>
          <t>MSc Computer Science (۲ سال)</t>
        </is>
      </c>
      <c r="D72" s="20" t="inlineStr">
        <is>
          <t>$11,000 (کل $66–84k)</t>
        </is>
      </c>
      <c r="E72" s="22" t="inlineStr">
        <is>
          <t>❌ شهریه $11,000 + ۱۰.۹ ماه زندگی ($2,660/ماه) از ۲۴ ماه → از ماه ۱۱ باید کار کنید</t>
        </is>
      </c>
      <c r="F72" s="22"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21" t="inlineStr">
        <is>
          <t>ESOP (بسیار Reach)</t>
        </is>
      </c>
      <c r="H72" s="21" t="inlineStr"/>
      <c r="I72" s="20" t="inlineStr">
        <is>
          <t>Reach</t>
        </is>
      </c>
      <c r="J72" s="21" t="inlineStr"/>
      <c r="K72" s="21" t="inlineStr">
        <is>
          <t>رتبهٔ ۸ جهان</t>
        </is>
      </c>
    </row>
    <row r="73"/>
    <row r="74">
      <c r="A74" s="3" t="inlineStr">
        <is>
          <t>ت) نتیجه در ۵ خط</t>
        </is>
      </c>
    </row>
    <row r="75" ht="40" customHeight="1">
      <c r="A75" s="11" t="inlineStr">
        <is>
          <t>۱) تعریف شما: $40,000 = کل شهریه + n ماه اول زندگی؛ بعدش کار دانشجویی با حداکثر ساعت مجاز. نتیجه: آلمان شهریه + تمام دوره را از خودِ $40k می‌دهد (Stuttgart ۲۳.۱ ماه از ۲۴) و ۲۰ ساعت × $16.6 ≈ $1,305 ≥ زندگی؛ انگلستان ۲۰ ساعت × $16.8 ≈ $1,440 ≈ زندگی، پس بعد از ۸–۱۳ ماهِ پوشش کسری ماهانه فقط $20–150 است؛ سوئیس تا ماه ۶ کار ممنوع و بعد ۱۵ ساعت × کف کانتونی ≈ $1,450–1,590 که $350–650 از زندگی کمتر است — Neuchâtel/Fribourg/Basel این کسری را تقریباً ندارند، HSLU ≈ $4.3k و USI ≈ $5.6k تا پایان دوره؛ سوئد روی کاغذ می‌بندد ولی کار انگلیسی‌زبان نایاب است؛ هلند (شهریهٔ دو سال $45–50k) و دانمارک (۳.۸ ماه + ویزا) بیرون.</t>
        </is>
      </c>
    </row>
    <row r="76" ht="40" customHeight="1">
      <c r="A76" s="11" t="inlineStr">
        <is>
          <t>۲) با وزن‌های شما (کار = حقوق ۲۷.۵ / انگلیسی ۳۰ / هزینه ۱۵): Basel ۷۱.۳ › HSLU ۶۸.۳ › Neuchâtel ۶۷ › Fribourg ۶۵.۵ › Stuttgart ۶۴ = Manchester Met ۶۴ › Teesside ۶۱.۵ › Northumbria = Essex ۶۱.۳ › USI ۶۱ › Darmstadt ۶۰ › Leicester ۵۹.۸ › Saarland ۵۷.۳ › LiU ۵۶.۳ › BTH = MDU ۵۵ › Passau ۵۱.۵. سوئیس بالاست چون حقوق ۱۰/۱۰ دارد و شهریه‌اش ناچیز است؛ امتیاز را همیشه کنار دو ستون بودجه بخوانید.</t>
        </is>
      </c>
    </row>
    <row r="77" ht="40" customHeight="1">
      <c r="A77" s="11" t="inlineStr">
        <is>
          <t>۳) ریسک سوئیس با عدد: ۶ ماه اول حق کار ندارید (از خودِ $40k رد می‌شود)؛ از ماه ۷ فقط ۱۵ ساعت و با کف کانتونی، کسری ماهانه می‌ماند — HSLU/USI فقط با کار ۱۰۰٪ در تعطیلات ترم (قانونی، تا ≈ $7–8k در سال) می‌بندند؛ کانتون $25,400 (Basel 24,000) را در بانک می‌خواهد — انتقال از ایران سخت، زوریخ فقط حساب سوئیسی به نام خودتان؛ بعد از مدرک ۶ ماه برای کاری که از سهمیهٔ کانتونی کم می‌شود. پاداش: حقوق $103–127k.</t>
        </is>
      </c>
    </row>
    <row r="78" ht="40" customHeight="1">
      <c r="A78" s="11" t="inlineStr">
        <is>
          <t>۴) آلمان امن‌ترین است: بدون کار هم تمام می‌شود، Werkstudent ۲۰ ساعت از روز اول (کف $16.6، در IT $19–23) هم پول است هم راه استاندارد استخدام؛ ۱۸ ماه بعد از مدرک؛ حقوق $55–63k؛ بهایش آلمانی B1. انگلستان انگلیسیِ کامل و کار دانشجویی آسان دارد (Teesside حتی بدون کار)، ولی «کار جونیور» و «حقوق» در آن ضعیف‌ترین‌اند و اثبات تمکن Northumbria/Essex/MMU ≈ $1–3k بیشتر از $40k است (موقتاً از حساب خانواده).</t>
        </is>
      </c>
    </row>
    <row r="79" ht="40" customHeight="1">
      <c r="A79" s="11" t="inlineStr">
        <is>
          <t>۵) توصیه: ۸ درخواست — ۳ سوئیس (HSLU، Basel، Neuchâtel؛ USI فقط با ریسک‌پذیری بیشتر) + ۳ آلمان (Stuttgart، Darmstadt، Saarland) + ۲ انگلستان (Northumbria یا Manchester Met، Essex). قاعدهٔ تصمیم در می–ژوئن ۲۰۲۷: پذیرش سوئیس + راهی برای نشان دادن $25,400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80"/>
    <row r="81">
      <c r="A81" s="3" t="inlineStr">
        <is>
          <t>ث) چهار قدم بعدی</t>
        </is>
      </c>
    </row>
    <row r="82" ht="34" customHeight="1">
      <c r="A82"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اثبات $25,400 را برای متقاضی ایرانی چطور می‌پذیرند (بانک سوئیسی / ضمانت‌نامه / حساب خانواده).</t>
        </is>
      </c>
    </row>
    <row r="83" ht="34" customHeight="1">
      <c r="A83" s="11" t="inlineStr">
        <is>
          <t>۱۵ ژانویه ۲۰۲۷: Stuttgart (و LiU/BTH/MDU اگر پشتوانهٔ سوئد را خواستید) · ۲۸ فوریه: Fribourg (ویزایی‌ها) · ۳۱ مارس: Neuchâtel · ۱ آوریل: HSLU · ۳۰ آوریل: Basel، USI · ۳۱ می: Passau · می – ژوئیه: Darmstadt / Saarland · Essex / Northumbria / Manchester Met rolling.</t>
        </is>
      </c>
    </row>
    <row r="84" ht="34" customHeight="1">
      <c r="A84" s="11" t="inlineStr">
        <is>
          <t>با هر پذیرش، تمکن مالی را همان روز بررسی کنید: سوئیس $25,400 (Basel $29,000) در بانک قبل از ویزا · آلمان حساب مسدود $13,600 (ماهی $1,130 آزاد می‌شود) · انگلستان شهریهٔ سال + ۹ × $1,590 به مدت ۲۸ روز (حساب والدین با رضایت‌نامه مجاز). همهٔ این‌ها از همان $40k است، ولی باید یک‌جا نشان داده شود — و انتقال پول از ایران زمان و کارمزد دارد.</t>
        </is>
      </c>
    </row>
    <row r="85" ht="34" customHeight="1">
      <c r="A85"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86"/>
    <row r="87">
      <c r="A87" s="3" t="inlineStr">
        <is>
          <t>ج) بقیهٔ فایل</t>
        </is>
      </c>
    </row>
    <row r="88" ht="44" customHeight="1">
      <c r="A88"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3">
    <mergeCell ref="A83:K83"/>
    <mergeCell ref="A39:K39"/>
    <mergeCell ref="A77:K77"/>
    <mergeCell ref="A82:K82"/>
    <mergeCell ref="A60:K60"/>
    <mergeCell ref="A1:K1"/>
    <mergeCell ref="A79:K79"/>
    <mergeCell ref="A88:K88"/>
    <mergeCell ref="A78:K78"/>
    <mergeCell ref="A87:K87"/>
    <mergeCell ref="A41:K41"/>
    <mergeCell ref="A84:K84"/>
    <mergeCell ref="A75:K75"/>
    <mergeCell ref="A37:K37"/>
    <mergeCell ref="A74:K74"/>
    <mergeCell ref="A26:K26"/>
    <mergeCell ref="A2:K2"/>
    <mergeCell ref="A85:K85"/>
    <mergeCell ref="A76:K76"/>
    <mergeCell ref="A4:K4"/>
    <mergeCell ref="A62:K62"/>
    <mergeCell ref="A81:K81"/>
    <mergeCell ref="A38:K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3"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23"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23"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3"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23"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3"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23"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23"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23" t="inlineStr">
        <is>
          <t>محاسبه؛ جدول اول فقط سال اول را مقایسه کرده بود</t>
        </is>
      </c>
    </row>
    <row r="11">
      <c r="A11" s="6" t="inlineStr">
        <is>
          <t>۹</t>
        </is>
      </c>
      <c r="B11" s="5" t="inlineStr">
        <is>
          <t>بودجهٔ $40,000 = کل شهریه + زندگیِ n ماه اول (تعریف شما، ۲۸ سپتامبر). n = (۴۰,۰۰۰ − شهریهٔ کل دوره) ÷ زندگی ماهانهٔ همان شهر. بقیهٔ ماه‌ها: کار دانشجویی با حداکثر ساعت قانونی × کف دستمزد (خالص) در برابر هزینهٔ زندگی → کسری/اضافه تا پایان دوره</t>
        </is>
      </c>
      <c r="C11" s="12" t="inlineStr">
        <is>
          <t>✅ شهریه + تمام ۲۴ ماه زندگی: Darmstadt ($1,370 + ۲۴ ماه + $6.5k اضافه) · Saarland (+$11k) · Passau (+$12k) · Stuttgart $7,750 + ۲۳.۱ ماه از ۲۴. کار: ۲۰ ساعت × $16.6 (حداقل قانونی ۲۰۲۷) ≈ $1,305 خالص در برابر زندگی $1,140–1,400 → حتی Stuttgart بدون کسری. اثبات ویزا: حساب مسدود $13,600</t>
        </is>
      </c>
      <c r="D11" s="12" t="inlineStr">
        <is>
          <t>❌ Twente $49,500 و Radboud $44,900 = شهریه به‌تنهایی بیشتر از $40k؛ UvA یک‌ساله: شهریه $39,100 + ۰.۵ ماه؛ کار ۱۶ ساعت × $16.8 ≈ $1,090 خالص در برابر $1,710 → کسری کل ≈ $6.5k</t>
        </is>
      </c>
      <c r="E11" s="12" t="inlineStr">
        <is>
          <t>⚠️ بدون سقف قانونی کار؛ ۲۰ ساعت × ≈ $15 ≈ $1,130 خالص ≥ زندگی $1,060–1,160 → روی کاغذ بعد از ماه‌های پوشش کسری صفر: BTH $28,300 + ۱۱ ماه · MDU $27,300 + ۱۱.۴ ماه · LiU $33,500 + ۵.۶ ماه. مشکل واقعی: کار دانشجویی انگلیسی‌زبان نایاب ($350–900 واقعی) → عملاً فقط با بورس (MDU تا ۱۰۰٪، LiU ۵۰٪). اثبات: $1,080 × ۱۰ ماه</t>
        </is>
      </c>
      <c r="F11" s="12" t="inlineStr">
        <is>
          <t>❌ AAU: شهریه $35,000 + ۳.۸ ماه؛ ۲۰ ساعت × $21 ≈ $1,330 خالص ≈ زندگی $1,335 → روی کاغذ سر به سر، ولی کار از ماه ۴ بدون دانمارکی غیرواقعی + ویزا از تهران ✗؛ SDU: شهریه $39,400 + ۰.۴ ماه</t>
        </is>
      </c>
      <c r="G11" s="12" t="inlineStr">
        <is>
          <t>⚠️ کار ممنوع تا ماه ۶، بعد ۱۵ ساعت × کف کانتونی (Basel $26.9 · Neuchâtel $25.8 · Ticino $24.5 · شهر لوسرن $26.6) ≈ $1,450–1,590 خالص در برابر زندگی $1,875–2,240 → کسری $350–650 در هر ماهِ کار. Neuchâtel $2,870 + ۱۹.۸ ماه (تمام ۱۸) ✅ · Fribourg $3,580 + ۱۸.۳ ماه ✅ · Basel $3,090 + ۱۶.۵ ماه از ۱۸ → کسری کل ≈ $200 ✅ · HSLU $7,620 + ۱۵.۳ ماه از ۲۴ → کسری کل ≈ $4.3k ⚠️ (قانوناً ۱۰۰٪ در تعطیلات ترم، تا ≈ $7k/سال) · USI $19,400 + ۱۰.۷ ماه از ۲۴ → ≈ $5.6k ⚠️ پرریسک · UZH $3,190 + ۱۳.۸ ماه از ۱۸ → ≈ $2.6k (Reach) · ETH $11,000 + ۱۰.۹ ماه از ۲۴ → ≈ $11k ❌. اثبات: $25,400/سال (Basel 24,000؛ زوریخ فقط بانک سوئیسی به نام خودتان)</t>
        </is>
      </c>
      <c r="H11" s="12" t="inlineStr">
        <is>
          <t>✅ ۲۰ ساعت × $16.8 (National Living Wage) ≈ $1,440 خالص ≈ هزینهٔ زندگی ($1,390–1,590) → بعد از ماه‌های پوشش، کسری ماهانه فقط $20–150: Teesside $22,500 + ۱۲.۶ ماه (تمام دوره، بدون کار) · Essex با بورس $26,700 + ۸.۵ ماه · Northumbria $28,500 + ۷.۹ ماه · Manchester Met $27,800 + ۷.۷ ماه · Leicester $32,100 + ۵.۲ ماه ⚠️ (حاشیه صفر) · Brunel لندن $32,900 + ۳.۴ ماه → کسری کل ≈ $5.4k ❌ · Russell Group (شهریه $43–50k) ❌. اثبات: شهریهٔ سال + ۹ × $1,590 → Northumbria/Essex/MMU ≈ $41–43k، $1–3k بیشتر از بودجه (موقتاً از حساب خانواده مجاز)</t>
        </is>
      </c>
      <c r="I11" s="23" t="inlineStr">
        <is>
          <t>محاسبه در شیت «تصمیم» بخش پ (ستون‌های «شهریه + n ماه» و «کار در حداکثر ساعت مجاز»). سقف قانونی: آلمان ۲۰ ساعت (۱۴۰ روز کامل/سال) · انگلستان ۲۰ ساعت در ترم · سوئیس ۰ تا ماه ۶، بعد ۱۵ ساعت (۱۰۰٪ در تعطیلات ترم) · هلند ۱۶ ساعت + TWV · سوئد بدون سقف · دانمارک ۲۰ ساعت (تمام‌وقت ژوئن–اوت). دستمزد = حداقل قانونی/کانتونی (آلمان ۲۰۲۷ $16.6؛ انگلستان $16.8؛ هلند $16.8؛ کانتون‌های سوئیس) یا کف معمول (سوئد $15، دانمارک $21)؛ خالص بعد از کسورات دانشجویی</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23"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23"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23"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23"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23"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23"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23"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23"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23"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23"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23"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23"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23"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3"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23"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3"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23"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3"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23"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2" t="inlineStr">
        <is>
          <t>کار ۶ · حقوق ۶ · انگلیسی ۴ · هزینه ۱۰ → ۶۰ — ✅ حتی بدون کار جا می‌شود</t>
        </is>
      </c>
      <c r="D31" s="12" t="inlineStr">
        <is>
          <t>کار ۸ · حقوق ۵ · انگلیسی ۸ · هزینه ۲ → ۶۲.۸ — ❌ شهریه به‌تنهایی بیش از $40k</t>
        </is>
      </c>
      <c r="E31" s="12" t="inlineStr">
        <is>
          <t>کار ۴ · حقوق ۵ · انگلیسی ۸ · هزینه ۶ → ۵۷.۸ — ⚠️ فقط با بورس</t>
        </is>
      </c>
      <c r="F31" s="12" t="inlineStr">
        <is>
          <t>کار ۵ · حقوق ۷ · انگلیسی ۶ · هزینه ۴ → ۵۷ — ❌ بودجه + ویزا</t>
        </is>
      </c>
      <c r="G31" s="12" t="inlineStr">
        <is>
          <t>کار ۵ · حقوق ۱۰ · انگلیسی ۶ · هزینه ۵ → ۶۶.۸ — ✅ Neuchâtel/Fribourg/Basel؛ ⚠️ HSLU/USI فقط با کار تعطیلات ترم</t>
        </is>
      </c>
      <c r="H31" s="12" t="inlineStr">
        <is>
          <t>کار ۵ · حقوق ۳ · انگلیسی ۱۰ · هزینه ۵ → ۵۹.۵ — ✅ Teesside بدون کار؛ Northumbria/Essex/MMU با ۲۰ ساعت کار (≈ $1,440 ≈ زندگی)</t>
        </is>
      </c>
      <c r="I31" s="23"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فیلتر بودجه = شهریه + n ماه زندگی، بعد کار با حداکثر ساعت مجاز): Basel ۷۱.۳ › HSLU ۶۸.۳ › Neuchâtel ۶۷ › Fribourg ۶۵.۵ › Stuttgart ۶۴ = Manchester Met ۶۴ › Teesside ۶۱.۵ › Northumbria = Essex ۶۱.۳ › USI ۶۱ › Darmstadt ۶۰ › Leicester ۵۹.۸ › Saarland ۵۷.۳ › LiU ۵۶.۳ › BTH = MDU ۵۵ › Passau ۵۱.۵. امتیازها قضاوت‌اند؛ وزن‌ها در شیت «تصمیم» قابل تغییرند.</t>
        </is>
      </c>
    </row>
    <row r="32"/>
    <row r="33">
      <c r="B33" s="24"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4"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5" t="inlineStr">
        <is>
          <t>$38–41k</t>
        </is>
      </c>
      <c r="L2" s="12" t="inlineStr">
        <is>
          <t>2:2 در رشتهٔ مرتبط</t>
        </is>
      </c>
      <c r="M2" s="12" t="inlineStr">
        <is>
          <t>6.0</t>
        </is>
      </c>
      <c r="N2" s="12" t="inlineStr">
        <is>
          <t>— (THE 601–800)</t>
        </is>
      </c>
      <c r="O2" s="19"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6"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5" t="inlineStr">
        <is>
          <t>$38–41k</t>
        </is>
      </c>
      <c r="L3" s="12" t="inlineStr">
        <is>
          <t>2:2 در رشتهٔ مرتبط</t>
        </is>
      </c>
      <c r="M3" s="12" t="inlineStr">
        <is>
          <t>6.0</t>
        </is>
      </c>
      <c r="N3" s="12" t="inlineStr">
        <is>
          <t>—</t>
        </is>
      </c>
      <c r="O3" s="19"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6"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5" t="inlineStr">
        <is>
          <t>$38–41k</t>
        </is>
      </c>
      <c r="L4" s="12" t="inlineStr">
        <is>
          <t>2:2 در رشتهٔ مرتبط</t>
        </is>
      </c>
      <c r="M4" s="12" t="inlineStr">
        <is>
          <t>6.0</t>
        </is>
      </c>
      <c r="N4" s="12" t="inlineStr">
        <is>
          <t>—</t>
        </is>
      </c>
      <c r="O4" s="19"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6"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5" t="inlineStr">
        <is>
          <t>$44–48k</t>
        </is>
      </c>
      <c r="L5" s="12" t="inlineStr">
        <is>
          <t>2:2 در رشتهٔ کامپیوتری</t>
        </is>
      </c>
      <c r="M5" s="12" t="inlineStr">
        <is>
          <t>6.5</t>
        </is>
      </c>
      <c r="N5" s="12">
        <f>528</f>
        <v/>
      </c>
      <c r="O5" s="19"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6"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5" t="inlineStr">
        <is>
          <t>$44–48k</t>
        </is>
      </c>
      <c r="L6" s="12" t="inlineStr">
        <is>
          <t>2:2 در رشتهٔ کامپیوتری/ریاضی</t>
        </is>
      </c>
      <c r="M6" s="12" t="inlineStr">
        <is>
          <t>6.5</t>
        </is>
      </c>
      <c r="N6" s="12">
        <f>528</f>
        <v/>
      </c>
      <c r="O6" s="19"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6"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5" t="inlineStr">
        <is>
          <t>$42–47k</t>
        </is>
      </c>
      <c r="L7" s="12" t="inlineStr">
        <is>
          <t>2:2 (≈ ۵۵٪)</t>
        </is>
      </c>
      <c r="M7" s="12" t="inlineStr">
        <is>
          <t>6.5</t>
        </is>
      </c>
      <c r="N7" s="12">
        <f>639</f>
        <v/>
      </c>
      <c r="O7" s="19"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6"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5" t="inlineStr">
        <is>
          <t>$42–47k</t>
        </is>
      </c>
      <c r="L8" s="12" t="inlineStr">
        <is>
          <t>2:2</t>
        </is>
      </c>
      <c r="M8" s="12" t="inlineStr">
        <is>
          <t>6.5</t>
        </is>
      </c>
      <c r="N8" s="12">
        <f>639</f>
        <v/>
      </c>
      <c r="O8" s="19"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6"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5" t="inlineStr">
        <is>
          <t>$45–49k</t>
        </is>
      </c>
      <c r="L9" s="12" t="inlineStr">
        <is>
          <t>2:2 در رشتهٔ کامپیوتری</t>
        </is>
      </c>
      <c r="M9" s="12" t="inlineStr">
        <is>
          <t>6.5</t>
        </is>
      </c>
      <c r="N9" s="12" t="inlineStr">
        <is>
          <t>≈ 600–650</t>
        </is>
      </c>
      <c r="O9" s="19"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6"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5" t="inlineStr">
        <is>
          <t>$49–54k</t>
        </is>
      </c>
      <c r="L10" s="12" t="inlineStr">
        <is>
          <t>2:2؛ Computer Engineering پذیرفته می‌شود</t>
        </is>
      </c>
      <c r="M10" s="12" t="inlineStr">
        <is>
          <t>6.0</t>
        </is>
      </c>
      <c r="N10" s="12">
        <f>438</f>
        <v/>
      </c>
      <c r="O10" s="17"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6"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5" t="inlineStr">
        <is>
          <t>$49–54k</t>
        </is>
      </c>
      <c r="L11" s="12" t="inlineStr">
        <is>
          <t>2:2 در رشتهٔ کامپیوتری/ریاضی</t>
        </is>
      </c>
      <c r="M11" s="12" t="inlineStr">
        <is>
          <t>6.0</t>
        </is>
      </c>
      <c r="N11" s="12">
        <f>438</f>
        <v/>
      </c>
      <c r="O11" s="17"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6"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5" t="inlineStr">
        <is>
          <t>$48–53k</t>
        </is>
      </c>
      <c r="L12" s="12" t="inlineStr">
        <is>
          <t>2:1 (سابقهٔ کار مرتبط جبران می‌کند)</t>
        </is>
      </c>
      <c r="M12" s="12" t="inlineStr">
        <is>
          <t>6.5</t>
        </is>
      </c>
      <c r="N12" s="12">
        <f>314</f>
        <v/>
      </c>
      <c r="O12" s="18"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6"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5" t="inlineStr">
        <is>
          <t>$48–53k</t>
        </is>
      </c>
      <c r="L13" s="12" t="inlineStr">
        <is>
          <t>2:1</t>
        </is>
      </c>
      <c r="M13" s="12" t="inlineStr">
        <is>
          <t>6.5</t>
        </is>
      </c>
      <c r="N13" s="12">
        <f>314</f>
        <v/>
      </c>
      <c r="O13" s="18" t="inlineStr">
        <is>
          <t>Target</t>
        </is>
      </c>
      <c r="P13" s="12" t="inlineStr">
        <is>
          <t>5/5 — داغ‌ترین بازار؛ «AI Engineer» سریع‌ترین‌رشد (LinkedIn 2026)؛ ولی برنامه‌های ریاضی‌محور (Tübingen، UvA، KTH) بسیار رقابتی‌اند</t>
        </is>
      </c>
      <c r="Q13" s="12" t="inlineStr"/>
      <c r="R13" s="26"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5" t="inlineStr">
        <is>
          <t>$48–53k</t>
        </is>
      </c>
      <c r="L14" s="12" t="inlineStr">
        <is>
          <t>2:1</t>
        </is>
      </c>
      <c r="M14" s="12" t="inlineStr">
        <is>
          <t>6.5</t>
        </is>
      </c>
      <c r="N14" s="12">
        <f>314</f>
        <v/>
      </c>
      <c r="O14" s="18"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6"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5" t="inlineStr">
        <is>
          <t>$55–61k</t>
        </is>
      </c>
      <c r="L15" s="12" t="inlineStr">
        <is>
          <t>2:2</t>
        </is>
      </c>
      <c r="M15" s="12" t="inlineStr">
        <is>
          <t>6.5</t>
        </is>
      </c>
      <c r="N15" s="12" t="inlineStr">
        <is>
          <t>353</t>
        </is>
      </c>
      <c r="O15" s="17"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6"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5" t="inlineStr">
        <is>
          <t>$55–61k</t>
        </is>
      </c>
      <c r="L16" s="12" t="inlineStr">
        <is>
          <t>2:2</t>
        </is>
      </c>
      <c r="M16" s="12" t="inlineStr">
        <is>
          <t>6.5</t>
        </is>
      </c>
      <c r="N16" s="12" t="inlineStr">
        <is>
          <t>353</t>
        </is>
      </c>
      <c r="O16" s="17"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6"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5" t="inlineStr">
        <is>
          <t>$47–53k</t>
        </is>
      </c>
      <c r="L17" s="12" t="inlineStr">
        <is>
          <t>«good 2:2»</t>
        </is>
      </c>
      <c r="M17" s="12" t="inlineStr">
        <is>
          <t>6.5</t>
        </is>
      </c>
      <c r="N17" s="12" t="inlineStr">
        <is>
          <t>415</t>
        </is>
      </c>
      <c r="O17" s="18"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6"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5" t="inlineStr">
        <is>
          <t>$54–59k</t>
        </is>
      </c>
      <c r="L18" s="12" t="inlineStr">
        <is>
          <t>2:2</t>
        </is>
      </c>
      <c r="M18" s="12" t="inlineStr">
        <is>
          <t>6.5</t>
        </is>
      </c>
      <c r="N18" s="12">
        <f>485</f>
        <v/>
      </c>
      <c r="O18" s="18"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6"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5" t="inlineStr">
        <is>
          <t>$51–58k</t>
        </is>
      </c>
      <c r="L19" s="12" t="inlineStr">
        <is>
          <t>مدرک second-class در رشتهٔ برنامه‌نویسی</t>
        </is>
      </c>
      <c r="M19" s="12" t="inlineStr">
        <is>
          <t>6.5 (6.0)</t>
        </is>
      </c>
      <c r="N19" s="12" t="inlineStr">
        <is>
          <t>≈ 800–1000</t>
        </is>
      </c>
      <c r="O19" s="17"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6"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5" t="inlineStr">
        <is>
          <t>$56–62k</t>
        </is>
      </c>
      <c r="L20" s="12" t="inlineStr">
        <is>
          <t>2:2</t>
        </is>
      </c>
      <c r="M20" s="12" t="inlineStr">
        <is>
          <t>6.5</t>
        </is>
      </c>
      <c r="N20" s="12">
        <f>246</f>
        <v/>
      </c>
      <c r="O20" s="18"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6"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5" t="inlineStr">
        <is>
          <t>$56–61k</t>
        </is>
      </c>
      <c r="L21" s="12" t="inlineStr">
        <is>
          <t>2:2</t>
        </is>
      </c>
      <c r="M21" s="12" t="inlineStr">
        <is>
          <t>6.5 (W 6.0)</t>
        </is>
      </c>
      <c r="N21" s="12">
        <f>246</f>
        <v/>
      </c>
      <c r="O21" s="18"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6"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5" t="inlineStr">
        <is>
          <t>$59–65k</t>
        </is>
      </c>
      <c r="L22" s="12" t="inlineStr">
        <is>
          <t>2:2 با پیش‌زمینهٔ قوی</t>
        </is>
      </c>
      <c r="M22" s="12" t="inlineStr">
        <is>
          <t>6.5</t>
        </is>
      </c>
      <c r="N22" s="12">
        <f>158</f>
        <v/>
      </c>
      <c r="O22" s="14"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6"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5" t="inlineStr">
        <is>
          <t>$59–65k</t>
        </is>
      </c>
      <c r="L23" s="12" t="inlineStr">
        <is>
          <t>2:2</t>
        </is>
      </c>
      <c r="M23" s="12" t="inlineStr">
        <is>
          <t>6.5</t>
        </is>
      </c>
      <c r="N23" s="12">
        <f>158</f>
        <v/>
      </c>
      <c r="O23" s="18"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6"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5" t="inlineStr">
        <is>
          <t>$58–63k</t>
        </is>
      </c>
      <c r="L24" s="12" t="inlineStr">
        <is>
          <t>2:2 در رشتهٔ کامپیوتری/ریاضی‌محور (طبق QS TopUniversities و IDP — صفحهٔ رسمی را چک کنید)</t>
        </is>
      </c>
      <c r="M24" s="12" t="inlineStr">
        <is>
          <t>6.5</t>
        </is>
      </c>
      <c r="N24" s="12" t="inlineStr">
        <is>
          <t>149</t>
        </is>
      </c>
      <c r="O24" s="14"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6"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5" t="inlineStr">
        <is>
          <t>$55–60k</t>
        </is>
      </c>
      <c r="L25" s="12" t="inlineStr">
        <is>
          <t>2:1</t>
        </is>
      </c>
      <c r="M25" s="12" t="inlineStr">
        <is>
          <t>6.5</t>
        </is>
      </c>
      <c r="N25" s="12" t="inlineStr">
        <is>
          <t>164</t>
        </is>
      </c>
      <c r="O25" s="27"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6"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5" t="inlineStr">
        <is>
          <t>$59–65k</t>
        </is>
      </c>
      <c r="L26" s="12" t="inlineStr">
        <is>
          <t>2:1</t>
        </is>
      </c>
      <c r="M26" s="12" t="inlineStr">
        <is>
          <t>6.5</t>
        </is>
      </c>
      <c r="N26" s="12" t="inlineStr">
        <is>
          <t>82</t>
        </is>
      </c>
      <c r="O26" s="27"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6"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5"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7"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6"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5"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7"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6"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5"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7"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6"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5"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4"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6"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5"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7"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6"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5"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8"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6"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5"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8"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6"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5" t="inlineStr">
        <is>
          <t>$60–72k</t>
        </is>
      </c>
      <c r="L34" s="12" t="inlineStr">
        <is>
          <t>کارشناسی CS/مرتبط با ریاضی و برنامه‌نویسی قوی؛ بررسی موردی</t>
        </is>
      </c>
      <c r="M34" s="12" t="inlineStr">
        <is>
          <t>6.5 (B2؛ C1 تا پایان دوره)</t>
        </is>
      </c>
      <c r="N34" s="12">
        <f>456</f>
        <v/>
      </c>
      <c r="O34" s="18"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6"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5" t="inlineStr">
        <is>
          <t>$60–72k</t>
        </is>
      </c>
      <c r="L35" s="12" t="inlineStr">
        <is>
          <t>کارشناسی CS/مرتبط</t>
        </is>
      </c>
      <c r="M35" s="12" t="inlineStr">
        <is>
          <t>B2 → C1</t>
        </is>
      </c>
      <c r="N35" s="12">
        <f>456</f>
        <v/>
      </c>
      <c r="O35" s="18"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6"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5" t="inlineStr">
        <is>
          <t>$53–64k</t>
        </is>
      </c>
      <c r="L36" s="12" t="inlineStr">
        <is>
          <t>هر کارشناسی (دانشگاه یا UAS)؛ آزمون انگلیسی + آزمون استعداد HSLU</t>
        </is>
      </c>
      <c r="M36" s="12" t="inlineStr">
        <is>
          <t>C1 (B2 مشروط)</t>
        </is>
      </c>
      <c r="N36" s="12" t="inlineStr">
        <is>
          <t>—</t>
        </is>
      </c>
      <c r="O36" s="17"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6"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5"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8"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6"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5" t="inlineStr">
        <is>
          <t>$32–41k</t>
        </is>
      </c>
      <c r="L38" s="12" t="inlineStr">
        <is>
          <t>کارشناسی CS یا معادل (بررسی موردی؛ حداکثر ۶۰ ECTS تکمیلی)</t>
        </is>
      </c>
      <c r="M38" s="12" t="inlineStr">
        <is>
          <t>بدون آزمون (B2 توصیه — FAQ رسمی)</t>
        </is>
      </c>
      <c r="N38" s="12" t="inlineStr">
        <is>
          <t>—</t>
        </is>
      </c>
      <c r="O38" s="18"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6"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5" t="inlineStr">
        <is>
          <t>$35–43k</t>
        </is>
      </c>
      <c r="L39" s="12" t="inlineStr">
        <is>
          <t>کارشناسی CS یا معادل (بررسی موردی؛ حداکثر ۶۰ ECTS تکمیلی)</t>
        </is>
      </c>
      <c r="M39" s="12" t="inlineStr">
        <is>
          <t>بدون آزمون (B2 توصیه — FAQ رسمی)</t>
        </is>
      </c>
      <c r="N39" s="12">
        <f>670</f>
        <v/>
      </c>
      <c r="O39" s="18"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6"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5" t="inlineStr">
        <is>
          <t>$38–49k</t>
        </is>
      </c>
      <c r="L40" s="12" t="inlineStr">
        <is>
          <t>کارشناسی CS یا معادل با نمرات خوب؛ بررسی فردی</t>
        </is>
      </c>
      <c r="M40" s="12" t="inlineStr">
        <is>
          <t>B2–C1 (چک شود)</t>
        </is>
      </c>
      <c r="N40" s="12">
        <f>150</f>
        <v/>
      </c>
      <c r="O40" s="14"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6"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5" t="inlineStr">
        <is>
          <t>$45–58k</t>
        </is>
      </c>
      <c r="L41" s="12" t="inlineStr">
        <is>
          <t>کارشناسی Informatics/CS با نمرات بسیار خوب؛ فقط یک درخواست در هر ترم؛ هزینهٔ درخواست $180</t>
        </is>
      </c>
      <c r="M41" s="12" t="inlineStr">
        <is>
          <t>C1 / IELTS 7.0</t>
        </is>
      </c>
      <c r="N41" s="12">
        <f>98</f>
        <v/>
      </c>
      <c r="O41" s="27"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6"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5"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4"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6"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5"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7"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6"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5" t="inlineStr">
        <is>
          <t>$60–75k</t>
        </is>
      </c>
      <c r="L44" s="12" t="inlineStr">
        <is>
          <t>کارشناسی CS/ریاضی/مهندسی با نمرات عالی</t>
        </is>
      </c>
      <c r="M44" s="12" t="inlineStr">
        <is>
          <t>مدرک زبان الزامی نیست</t>
        </is>
      </c>
      <c r="N44" s="12">
        <f>22</f>
        <v/>
      </c>
      <c r="O44" s="27"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6"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5" t="inlineStr">
        <is>
          <t>$66–84k</t>
        </is>
      </c>
      <c r="L45" s="12" t="inlineStr">
        <is>
          <t>کارشناسی CS با نمرات ممتاز (عملاً ۱۰٪ بالای کلاس)؛ هزینهٔ درخواست $180؛ تا ۲ برنامه</t>
        </is>
      </c>
      <c r="M45" s="12" t="inlineStr">
        <is>
          <t>C1 / IELTS 7.0</t>
        </is>
      </c>
      <c r="N45" s="12">
        <f>8</f>
        <v/>
      </c>
      <c r="O45" s="27"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6"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5" t="inlineStr">
        <is>
          <t>$66–84k</t>
        </is>
      </c>
      <c r="L46" s="12" t="inlineStr">
        <is>
          <t>کارشناسی CS با نمرات ممتاز؛ پیش‌زمینهٔ ریاضی/سیستم قوی</t>
        </is>
      </c>
      <c r="M46" s="12" t="inlineStr">
        <is>
          <t>C1 / IELTS 7.0</t>
        </is>
      </c>
      <c r="N46" s="12">
        <f>8</f>
        <v/>
      </c>
      <c r="O46" s="27"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6"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5" t="inlineStr">
        <is>
          <t>$38–45k</t>
        </is>
      </c>
      <c r="L47" s="12" t="inlineStr">
        <is>
          <t>کارشناسی CS/مرتبط؛ بدون NC</t>
        </is>
      </c>
      <c r="M47" s="12" t="inlineStr">
        <is>
          <t>7.0 (C1)</t>
        </is>
      </c>
      <c r="N47" s="12" t="inlineStr">
        <is>
          <t>318</t>
        </is>
      </c>
      <c r="O47" s="18"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6"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5" t="inlineStr">
        <is>
          <t>$38–45k</t>
        </is>
      </c>
      <c r="L48" s="12" t="inlineStr">
        <is>
          <t>کارشناسی EE/CS/Computer Engineering؛ گزینش</t>
        </is>
      </c>
      <c r="M48" s="12" t="inlineStr">
        <is>
          <t>7.0 (C1)</t>
        </is>
      </c>
      <c r="N48" s="12" t="inlineStr">
        <is>
          <t>318</t>
        </is>
      </c>
      <c r="O48" s="18"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6"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5" t="inlineStr">
        <is>
          <t>$45–50k</t>
        </is>
      </c>
      <c r="L49" s="12" t="inlineStr">
        <is>
          <t>کارشناسی CS/مرتبط؛ بررسی ریزنمرات</t>
        </is>
      </c>
      <c r="M49" s="12" t="inlineStr">
        <is>
          <t>B2 (IELTS 6.0)</t>
        </is>
      </c>
      <c r="N49" s="12" t="inlineStr">
        <is>
          <t>218</t>
        </is>
      </c>
      <c r="O49" s="18"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6"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5" t="inlineStr">
        <is>
          <t>$35–41k</t>
        </is>
      </c>
      <c r="L50" s="12" t="inlineStr">
        <is>
          <t>کارشناسی مرتبط؛ آلمانی لازم نیست</t>
        </is>
      </c>
      <c r="M50" s="12" t="inlineStr">
        <is>
          <t>B2 (IELTS 6.0)</t>
        </is>
      </c>
      <c r="N50" s="12" t="inlineStr">
        <is>
          <t>218</t>
        </is>
      </c>
      <c r="O50" s="18"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6"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5" t="inlineStr">
        <is>
          <t>$30–37k</t>
        </is>
      </c>
      <c r="L51" s="12" t="inlineStr">
        <is>
          <t>کارشناسی CS با پیش‌نیازهای مشخص</t>
        </is>
      </c>
      <c r="M51" s="12" t="inlineStr">
        <is>
          <t>≈ 7.0 (C1) — چک شود</t>
        </is>
      </c>
      <c r="N51" s="12" t="inlineStr">
        <is>
          <t>250</t>
        </is>
      </c>
      <c r="O51" s="14"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6"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5" t="inlineStr">
        <is>
          <t>$25–30k</t>
        </is>
      </c>
      <c r="L52" s="12" t="inlineStr">
        <is>
          <t>کارشناسی CS؛ ارزیابی استعداد</t>
        </is>
      </c>
      <c r="M52" s="12" t="inlineStr">
        <is>
          <t>7.0</t>
        </is>
      </c>
      <c r="N52" s="12" t="inlineStr">
        <is>
          <t>185</t>
        </is>
      </c>
      <c r="O52" s="27"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6"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5" t="inlineStr">
        <is>
          <t>$26–32k</t>
        </is>
      </c>
      <c r="L53" s="12" t="inlineStr">
        <is>
          <t>کارشناسی CS + اثبات دروس پایه + ۲ توصیه‌نامه؛ بدون NC</t>
        </is>
      </c>
      <c r="M53" s="12" t="inlineStr">
        <is>
          <t>7.0 (C1؛ MOI پذیرفته نمی‌شود)</t>
        </is>
      </c>
      <c r="N53" s="12">
        <f>588 (CS ≈ 251)</f>
        <v/>
      </c>
      <c r="O53" s="18"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6"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5" t="inlineStr">
        <is>
          <t>$26–32k</t>
        </is>
      </c>
      <c r="L54" s="12" t="inlineStr">
        <is>
          <t>کارشناسی CS/مرتبط؛ بدون NC</t>
        </is>
      </c>
      <c r="M54" s="12" t="inlineStr">
        <is>
          <t>7.0 (C1)</t>
        </is>
      </c>
      <c r="N54" s="12">
        <f>588 (CS ≈ 251)</f>
        <v/>
      </c>
      <c r="O54" s="18"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6"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5" t="inlineStr">
        <is>
          <t>$23–29k</t>
        </is>
      </c>
      <c r="L55" s="12" t="inlineStr">
        <is>
          <t>کارشناسی CS/مرتبط؛ بدون محدودیت پذیرش</t>
        </is>
      </c>
      <c r="M55" s="12" t="inlineStr">
        <is>
          <t>B2 (IELTS 5.5)</t>
        </is>
      </c>
      <c r="N55" s="12" t="inlineStr">
        <is>
          <t>—</t>
        </is>
      </c>
      <c r="O55" s="19"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6"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5"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9"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6"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5" t="inlineStr">
        <is>
          <t>$25–29k</t>
        </is>
      </c>
      <c r="L57" s="12" t="inlineStr">
        <is>
          <t>معدل آلمانی ≤ 2.3 (معدل شما ≈ 2.27 — دقیقاً مرزی)؛ کارشناسی CS</t>
        </is>
      </c>
      <c r="M57" s="12" t="inlineStr">
        <is>
          <t>6.0–7.0 (منابع متناقض؛ رسمی را چک کنید)</t>
        </is>
      </c>
      <c r="N57" s="12" t="inlineStr">
        <is>
          <t>—</t>
        </is>
      </c>
      <c r="O57" s="17"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6"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5" t="inlineStr">
        <is>
          <t>$41–48k</t>
        </is>
      </c>
      <c r="L58" s="12" t="inlineStr">
        <is>
          <t>هر کارشناسی + ≥ ۱۲ ماه سابقهٔ مرتبط + آزمون استعداد (مهلت ۳۱ مارس)</t>
        </is>
      </c>
      <c r="M58" s="12" t="inlineStr">
        <is>
          <t>B2</t>
        </is>
      </c>
      <c r="N58" s="12" t="inlineStr">
        <is>
          <t>— (UAS)</t>
        </is>
      </c>
      <c r="O58" s="18"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6"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5" t="inlineStr">
        <is>
          <t>$26–32k</t>
        </is>
      </c>
      <c r="L59" s="12" t="inlineStr">
        <is>
          <t>معدل آلمانی ≤ 2.5؛ کارشناسی CS/IS/Design/Psychology</t>
        </is>
      </c>
      <c r="M59" s="12" t="inlineStr">
        <is>
          <t>6.5</t>
        </is>
      </c>
      <c r="N59" s="12" t="inlineStr">
        <is>
          <t>—</t>
        </is>
      </c>
      <c r="O59" s="19"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6"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5" t="inlineStr">
        <is>
          <t>$28–34k</t>
        </is>
      </c>
      <c r="L60" s="12" t="inlineStr">
        <is>
          <t>معدل آلمانی ≤ 2.5؛ ۲۵ جای محدود؛ آزمون استعداد؛ uni-assist</t>
        </is>
      </c>
      <c r="M60" s="12" t="inlineStr">
        <is>
          <t>6.5 (B2+)</t>
        </is>
      </c>
      <c r="N60" s="12" t="inlineStr">
        <is>
          <t>— (UAS)</t>
        </is>
      </c>
      <c r="O60" s="18"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6"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5" t="inlineStr">
        <is>
          <t>$27–34k</t>
        </is>
      </c>
      <c r="L61" s="12" t="inlineStr">
        <is>
          <t>کارشناسی CS، معدل ≥ ۶۵٪ (شما ۷۹٪ ✓)؛ ۲ درس پیشرفتهٔ سیستم؛ مهلت ۱ مارس</t>
        </is>
      </c>
      <c r="M61" s="12" t="inlineStr">
        <is>
          <t>B2 (IELTS 5.5)</t>
        </is>
      </c>
      <c r="N61" s="12" t="inlineStr">
        <is>
          <t>104</t>
        </is>
      </c>
      <c r="O61" s="27"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6"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5" t="inlineStr">
        <is>
          <t>$36–43k</t>
        </is>
      </c>
      <c r="L62" s="12" t="inlineStr">
        <is>
          <t>کارشناسی CS/ریاضی؛ آزمون توانایی؛ مهلت ۳۰ آوریل</t>
        </is>
      </c>
      <c r="M62" s="12" t="inlineStr">
        <is>
          <t>7.0</t>
        </is>
      </c>
      <c r="N62" s="12">
        <f>230</f>
        <v/>
      </c>
      <c r="O62" s="27"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6"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5" t="inlineStr">
        <is>
          <t>$63–72k</t>
        </is>
      </c>
      <c r="L63" s="12" t="inlineStr">
        <is>
          <t>کارشناسی CS؛ ارزیابی استعداد؛ بسیار رقابتی</t>
        </is>
      </c>
      <c r="M63" s="12" t="inlineStr">
        <is>
          <t>6.5</t>
        </is>
      </c>
      <c r="N63" s="12" t="inlineStr">
        <is>
          <t>≈ 25</t>
        </is>
      </c>
      <c r="O63" s="27"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6"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5" t="inlineStr">
        <is>
          <t>$77–85k</t>
        </is>
      </c>
      <c r="L64" s="12" t="inlineStr">
        <is>
          <t>حداقل رسمی برای مدرک ایرانی ۱۵/۲۰</t>
        </is>
      </c>
      <c r="M64" s="12" t="inlineStr">
        <is>
          <t>6.5</t>
        </is>
      </c>
      <c r="N64" s="12" t="inlineStr">
        <is>
          <t>223</t>
        </is>
      </c>
      <c r="O64" s="18"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6"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5" t="inlineStr">
        <is>
          <t>$77–85k</t>
        </is>
      </c>
      <c r="L65" s="12" t="inlineStr">
        <is>
          <t>CGPA ≥ ۷۰–۷۵٪؛ کارشناسی CS/EE/Computer Eng</t>
        </is>
      </c>
      <c r="M65" s="12" t="inlineStr">
        <is>
          <t>6.5</t>
        </is>
      </c>
      <c r="N65" s="12" t="inlineStr">
        <is>
          <t>223</t>
        </is>
      </c>
      <c r="O65" s="18"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6"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5" t="inlineStr">
        <is>
          <t>$77–85k</t>
        </is>
      </c>
      <c r="L66" s="12" t="inlineStr">
        <is>
          <t>کارشناسی CS/مرتبط</t>
        </is>
      </c>
      <c r="M66" s="12" t="inlineStr">
        <is>
          <t>6.5</t>
        </is>
      </c>
      <c r="N66" s="12" t="inlineStr">
        <is>
          <t>223</t>
        </is>
      </c>
      <c r="O66" s="18"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6"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5" t="inlineStr">
        <is>
          <t>$74–82k</t>
        </is>
      </c>
      <c r="L67" s="12" t="inlineStr">
        <is>
          <t>کارشناسی CS با ریاضی/الگوریتم کافی</t>
        </is>
      </c>
      <c r="M67" s="12" t="inlineStr">
        <is>
          <t>6.5</t>
        </is>
      </c>
      <c r="N67" s="12" t="inlineStr">
        <is>
          <t>283</t>
        </is>
      </c>
      <c r="O67" s="18"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6"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5" t="inlineStr">
        <is>
          <t>$74–82k</t>
        </is>
      </c>
      <c r="L68" s="12" t="inlineStr">
        <is>
          <t>کارشناسی CS/AI/مرتبط</t>
        </is>
      </c>
      <c r="M68" s="12" t="inlineStr">
        <is>
          <t>6.5</t>
        </is>
      </c>
      <c r="N68" s="12" t="inlineStr">
        <is>
          <t>283</t>
        </is>
      </c>
      <c r="O68" s="18"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6"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5" t="inlineStr">
        <is>
          <t>$84–92k</t>
        </is>
      </c>
      <c r="L69" s="12" t="inlineStr">
        <is>
          <t>کارشناسی CS</t>
        </is>
      </c>
      <c r="M69" s="12" t="inlineStr">
        <is>
          <t>6.5</t>
        </is>
      </c>
      <c r="N69" s="12" t="inlineStr">
        <is>
          <t>119</t>
        </is>
      </c>
      <c r="O69" s="14"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6"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5" t="inlineStr">
        <is>
          <t>$86–94k</t>
        </is>
      </c>
      <c r="L70" s="12" t="inlineStr">
        <is>
          <t>کارشناسی AI/CS با ریاضی</t>
        </is>
      </c>
      <c r="M70" s="12" t="inlineStr">
        <is>
          <t>6.5</t>
        </is>
      </c>
      <c r="N70" s="12" t="inlineStr">
        <is>
          <t>157</t>
        </is>
      </c>
      <c r="O70" s="14"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6"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5" t="inlineStr">
        <is>
          <t>$80–88k</t>
        </is>
      </c>
      <c r="L71" s="12" t="inlineStr">
        <is>
          <t>کارشناسی CS</t>
        </is>
      </c>
      <c r="M71" s="12" t="inlineStr">
        <is>
          <t>6.5</t>
        </is>
      </c>
      <c r="N71" s="12" t="inlineStr">
        <is>
          <t>157</t>
        </is>
      </c>
      <c r="O71" s="18" t="inlineStr">
        <is>
          <t>Target</t>
        </is>
      </c>
      <c r="P71" s="12" t="inlineStr">
        <is>
          <t>4/5 — بیشترین حجم آگهی در هر ۶ کشور؛ ورود جونیور از ۲۰۲۳ سخت‌تر شده — سابقهٔ کار شما مزیت است</t>
        </is>
      </c>
      <c r="Q71" s="12" t="inlineStr"/>
      <c r="R71" s="26"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5" t="inlineStr">
        <is>
          <t>$91–99k</t>
        </is>
      </c>
      <c r="L72" s="12" t="inlineStr">
        <is>
          <t>کارشناسی CS؛ ارشد پژوهشی گزینشی</t>
        </is>
      </c>
      <c r="M72" s="12" t="inlineStr">
        <is>
          <t>6.5</t>
        </is>
      </c>
      <c r="N72" s="12" t="inlineStr">
        <is>
          <t>113</t>
        </is>
      </c>
      <c r="O72" s="27"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6"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5" t="inlineStr">
        <is>
          <t>$91–99k</t>
        </is>
      </c>
      <c r="L73" s="12" t="inlineStr">
        <is>
          <t>کارشناسی CS/AI؛ گزینشی</t>
        </is>
      </c>
      <c r="M73" s="12" t="inlineStr">
        <is>
          <t>6.5</t>
        </is>
      </c>
      <c r="N73" s="12" t="inlineStr">
        <is>
          <t>113</t>
        </is>
      </c>
      <c r="O73" s="27"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6"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5" t="inlineStr">
        <is>
          <t>$57–62k</t>
        </is>
      </c>
      <c r="L74" s="12" t="inlineStr">
        <is>
          <t>کارشناسی CS با پیش‌زمینهٔ برنامه‌نویسی/نرم‌افزار؛ بررسی موردی</t>
        </is>
      </c>
      <c r="M74" s="12" t="inlineStr">
        <is>
          <t>6.5</t>
        </is>
      </c>
      <c r="N74" s="12" t="inlineStr">
        <is>
          <t>60</t>
        </is>
      </c>
      <c r="O74" s="14"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6"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5" t="inlineStr">
        <is>
          <t>$95–106k</t>
        </is>
      </c>
      <c r="L75" s="12" t="inlineStr">
        <is>
          <t>کارشناسی AI/CS با ریاضی قوی؛ بسیار رقابتی</t>
        </is>
      </c>
      <c r="M75" s="12" t="inlineStr">
        <is>
          <t>6.5</t>
        </is>
      </c>
      <c r="N75" s="12" t="inlineStr">
        <is>
          <t>60</t>
        </is>
      </c>
      <c r="O75" s="27" t="inlineStr">
        <is>
          <t>Reach</t>
        </is>
      </c>
      <c r="P75" s="12" t="inlineStr">
        <is>
          <t>5/5 — داغ‌ترین بازار؛ «AI Engineer» سریع‌ترین‌رشد (LinkedIn 2026)؛ ولی برنامه‌های ریاضی‌محور (Tübingen، UvA، KTH) بسیار رقابتی‌اند</t>
        </is>
      </c>
      <c r="Q75" s="12" t="inlineStr"/>
      <c r="R75" s="26"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5" t="inlineStr">
        <is>
          <t>$81–89k</t>
        </is>
      </c>
      <c r="L76" s="12" t="inlineStr">
        <is>
          <t>کارشناسی CS/ریاضی؛ گزینش بر اساس معدل</t>
        </is>
      </c>
      <c r="M76" s="12" t="inlineStr">
        <is>
          <t>6.5</t>
        </is>
      </c>
      <c r="N76" s="12" t="inlineStr">
        <is>
          <t>152</t>
        </is>
      </c>
      <c r="O76" s="27"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6"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5" t="inlineStr">
        <is>
          <t>$81–89k</t>
        </is>
      </c>
      <c r="L77" s="12" t="inlineStr">
        <is>
          <t>کارشناسی CS/EE؛ گزینش</t>
        </is>
      </c>
      <c r="M77" s="12" t="inlineStr">
        <is>
          <t>6.5</t>
        </is>
      </c>
      <c r="N77" s="12" t="inlineStr">
        <is>
          <t>152</t>
        </is>
      </c>
      <c r="O77" s="27"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6"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5" t="inlineStr">
        <is>
          <t>$85–93k</t>
        </is>
      </c>
      <c r="L78" s="12" t="inlineStr">
        <is>
          <t>معدل ≥ ۷۵٪ / ۲۰٪ برتر</t>
        </is>
      </c>
      <c r="M78" s="12" t="inlineStr">
        <is>
          <t>7.0</t>
        </is>
      </c>
      <c r="N78" s="12" t="inlineStr">
        <is>
          <t>48</t>
        </is>
      </c>
      <c r="O78" s="27"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6"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5" t="inlineStr">
        <is>
          <t>$31–35k</t>
        </is>
      </c>
      <c r="L79" s="12" t="inlineStr">
        <is>
          <t>کارشناسی IT/برنامه‌نویسی/بازی + پیشنهاد پروژه</t>
        </is>
      </c>
      <c r="M79" s="12" t="inlineStr">
        <is>
          <t>6.0</t>
        </is>
      </c>
      <c r="N79" s="12" t="inlineStr">
        <is>
          <t>— (UAS)</t>
        </is>
      </c>
      <c r="O79" s="17"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6"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5" t="inlineStr">
        <is>
          <t>$59–64k</t>
        </is>
      </c>
      <c r="L80" s="12" t="inlineStr">
        <is>
          <t>گزینش بر اساس گروه معدل</t>
        </is>
      </c>
      <c r="M80" s="12" t="inlineStr">
        <is>
          <t>6.5</t>
        </is>
      </c>
      <c r="N80" s="12" t="inlineStr">
        <is>
          <t>308</t>
        </is>
      </c>
      <c r="O80" s="18"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6"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5" t="inlineStr">
        <is>
          <t>$59–64k</t>
        </is>
      </c>
      <c r="L81" s="12" t="inlineStr">
        <is>
          <t>کارشناسی با ≥ ۳۰ واحد ریاضی/آمار + برنامه‌نویسی</t>
        </is>
      </c>
      <c r="M81" s="12" t="inlineStr">
        <is>
          <t>6.5</t>
        </is>
      </c>
      <c r="N81" s="12" t="inlineStr">
        <is>
          <t>308</t>
        </is>
      </c>
      <c r="O81" s="18" t="inlineStr">
        <is>
          <t>Target</t>
        </is>
      </c>
      <c r="P81" s="12" t="inlineStr">
        <is>
          <t>5/5 — داغ‌ترین بازار؛ «AI Engineer» سریع‌ترین‌رشد (LinkedIn 2026)؛ ولی برنامه‌های ریاضی‌محور (Tübingen، UvA، KTH) بسیار رقابتی‌اند</t>
        </is>
      </c>
      <c r="Q81" s="12" t="inlineStr"/>
      <c r="R81" s="26"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5" t="inlineStr">
        <is>
          <t>$55–60k</t>
        </is>
      </c>
      <c r="L82" s="12" t="inlineStr">
        <is>
          <t>کارشناسی CS/EE</t>
        </is>
      </c>
      <c r="M82" s="12" t="inlineStr">
        <is>
          <t>6.5</t>
        </is>
      </c>
      <c r="N82" s="12" t="inlineStr">
        <is>
          <t>—</t>
        </is>
      </c>
      <c r="O82" s="19"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6"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5" t="inlineStr">
        <is>
          <t>$51–56k</t>
        </is>
      </c>
      <c r="L83" s="12" t="inlineStr">
        <is>
          <t>≥ ۹۰ واحد CS/SE</t>
        </is>
      </c>
      <c r="M83" s="12" t="inlineStr">
        <is>
          <t>6.5</t>
        </is>
      </c>
      <c r="N83" s="12" t="inlineStr">
        <is>
          <t>—</t>
        </is>
      </c>
      <c r="O83" s="17"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6"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5" t="inlineStr">
        <is>
          <t>$67–75k</t>
        </is>
      </c>
      <c r="L84" s="12" t="inlineStr">
        <is>
          <t>کارشناسی CS/ریاضی قوی؛ بسیار رقابتی</t>
        </is>
      </c>
      <c r="M84" s="12" t="inlineStr">
        <is>
          <t>6.5</t>
        </is>
      </c>
      <c r="N84" s="12" t="inlineStr">
        <is>
          <t>82</t>
        </is>
      </c>
      <c r="O84" s="27"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6"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5" t="inlineStr">
        <is>
          <t>$67–75k</t>
        </is>
      </c>
      <c r="L85" s="12" t="inlineStr">
        <is>
          <t>کارشناسی CS</t>
        </is>
      </c>
      <c r="M85" s="12" t="inlineStr">
        <is>
          <t>6.5</t>
        </is>
      </c>
      <c r="N85" s="12" t="inlineStr">
        <is>
          <t>82</t>
        </is>
      </c>
      <c r="O85" s="27"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6"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5" t="inlineStr">
        <is>
          <t>$67–75k</t>
        </is>
      </c>
      <c r="L86" s="12" t="inlineStr">
        <is>
          <t>کارشناسی CS</t>
        </is>
      </c>
      <c r="M86" s="12" t="inlineStr">
        <is>
          <t>6.5</t>
        </is>
      </c>
      <c r="N86" s="12" t="inlineStr">
        <is>
          <t>82</t>
        </is>
      </c>
      <c r="O86" s="14" t="inlineStr">
        <is>
          <t>Target/Reach</t>
        </is>
      </c>
      <c r="P86" s="12" t="inlineStr">
        <is>
          <t>4/5 — تقاضای پایدار و کمتر مدرک‌محور؛ گواهی AWS/Azure کنار مدرک وزن زیادی دارد</t>
        </is>
      </c>
      <c r="Q86" s="12" t="inlineStr">
        <is>
          <t>Kista = قطب ICT سوئد (Ericsson)</t>
        </is>
      </c>
      <c r="R86" s="26"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5" t="inlineStr">
        <is>
          <t>$63–68k</t>
        </is>
      </c>
      <c r="L87" s="12" t="inlineStr">
        <is>
          <t>کارشناسی CS/ریاضی</t>
        </is>
      </c>
      <c r="M87" s="12" t="inlineStr">
        <is>
          <t>6.5</t>
        </is>
      </c>
      <c r="N87" s="12" t="inlineStr">
        <is>
          <t>174</t>
        </is>
      </c>
      <c r="O87" s="14"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6"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5" t="inlineStr">
        <is>
          <t>$63–68k</t>
        </is>
      </c>
      <c r="L88" s="12" t="inlineStr">
        <is>
          <t>کارشناسی CS/SE</t>
        </is>
      </c>
      <c r="M88" s="12" t="inlineStr">
        <is>
          <t>6.5</t>
        </is>
      </c>
      <c r="N88" s="12" t="inlineStr">
        <is>
          <t>174</t>
        </is>
      </c>
      <c r="O88" s="18" t="inlineStr">
        <is>
          <t>Target</t>
        </is>
      </c>
      <c r="P88" s="12" t="inlineStr">
        <is>
          <t>4/5 — بیشترین حجم آگهی در هر ۶ کشور؛ ورود جونیور از ۲۰۲۳ سخت‌تر شده — سابقهٔ کار شما مزیت است</t>
        </is>
      </c>
      <c r="Q88" s="12" t="inlineStr"/>
      <c r="R88" s="26"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5" t="inlineStr">
        <is>
          <t>$63–68k</t>
        </is>
      </c>
      <c r="L89" s="12" t="inlineStr">
        <is>
          <t>کارشناسی CS/Design</t>
        </is>
      </c>
      <c r="M89" s="12" t="inlineStr">
        <is>
          <t>6.5</t>
        </is>
      </c>
      <c r="N89" s="12" t="inlineStr">
        <is>
          <t>174</t>
        </is>
      </c>
      <c r="O89" s="18" t="inlineStr">
        <is>
          <t>Target</t>
        </is>
      </c>
      <c r="P89" s="12" t="inlineStr">
        <is>
          <t>2/5 — آگهی‌های UX/UXR از ۲۰۲۲ حدود ۷۰٪ کم شده و از ۲۰۲۳ ثابت مانده؛ رقابت شدید، حقوق شروع کمتر از توسعه‌دهنده</t>
        </is>
      </c>
      <c r="Q89" s="12" t="inlineStr"/>
      <c r="R89" s="26"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5" t="inlineStr">
        <is>
          <t>$58–62k</t>
        </is>
      </c>
      <c r="L90" s="12" t="inlineStr">
        <is>
          <t>کارشناسی CS/Design/Media</t>
        </is>
      </c>
      <c r="M90" s="12" t="inlineStr">
        <is>
          <t>6.5</t>
        </is>
      </c>
      <c r="N90" s="12" t="inlineStr">
        <is>
          <t>225</t>
        </is>
      </c>
      <c r="O90" s="18"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6"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5" t="inlineStr">
        <is>
          <t>$56–62k</t>
        </is>
      </c>
      <c r="L91" s="12" t="inlineStr">
        <is>
          <t>کارشناسی CS</t>
        </is>
      </c>
      <c r="M91" s="12" t="inlineStr">
        <is>
          <t>6.5</t>
        </is>
      </c>
      <c r="N91" s="12" t="inlineStr">
        <is>
          <t>87</t>
        </is>
      </c>
      <c r="O91" s="14"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6"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5" t="inlineStr">
        <is>
          <t>$55–60k</t>
        </is>
      </c>
      <c r="L92" s="12" t="inlineStr">
        <is>
          <t>کارشناسی CS/ریاضی</t>
        </is>
      </c>
      <c r="M92" s="12" t="inlineStr">
        <is>
          <t>6.5</t>
        </is>
      </c>
      <c r="N92" s="12" t="inlineStr">
        <is>
          <t>438</t>
        </is>
      </c>
      <c r="O92" s="18"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6"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5" t="inlineStr">
        <is>
          <t>$50–55k</t>
        </is>
      </c>
      <c r="L93" s="12" t="inlineStr">
        <is>
          <t>کارشناسی CS/مرتبط</t>
        </is>
      </c>
      <c r="M93" s="12" t="inlineStr">
        <is>
          <t>6.5</t>
        </is>
      </c>
      <c r="N93" s="12" t="inlineStr">
        <is>
          <t>—</t>
        </is>
      </c>
      <c r="O93" s="19"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6"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5" t="inlineStr">
        <is>
          <t>$52–56k</t>
        </is>
      </c>
      <c r="L94" s="12" t="inlineStr">
        <is>
          <t>کارشناسی CS/EE</t>
        </is>
      </c>
      <c r="M94" s="12" t="inlineStr">
        <is>
          <t>6.5</t>
        </is>
      </c>
      <c r="N94" s="12" t="inlineStr">
        <is>
          <t>—</t>
        </is>
      </c>
      <c r="O94" s="19"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6"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5" t="inlineStr">
        <is>
          <t>$52–56k</t>
        </is>
      </c>
      <c r="L95" s="12" t="inlineStr">
        <is>
          <t>کارشناسی CS/SE</t>
        </is>
      </c>
      <c r="M95" s="12" t="inlineStr">
        <is>
          <t>6.5</t>
        </is>
      </c>
      <c r="N95" s="12" t="inlineStr">
        <is>
          <t>—</t>
        </is>
      </c>
      <c r="O95" s="19" t="inlineStr">
        <is>
          <t>Safe</t>
        </is>
      </c>
      <c r="P95" s="12" t="inlineStr">
        <is>
          <t>4/5 — بیشترین حجم آگهی در هر ۶ کشور؛ ورود جونیور از ۲۰۲۳ سخت‌تر شده — سابقهٔ کار شما مزیت است</t>
        </is>
      </c>
      <c r="Q95" s="12" t="inlineStr"/>
      <c r="R95" s="26"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5"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8"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6"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5" t="inlineStr">
        <is>
          <t>$63–70k</t>
        </is>
      </c>
      <c r="L97" s="12" t="inlineStr">
        <is>
          <t>کارشناسی SE/CS</t>
        </is>
      </c>
      <c r="M97" s="12" t="inlineStr">
        <is>
          <t>6.5</t>
        </is>
      </c>
      <c r="N97" s="12">
        <f>329</f>
        <v/>
      </c>
      <c r="O97" s="18" t="inlineStr">
        <is>
          <t>Target</t>
        </is>
      </c>
      <c r="P97" s="12" t="inlineStr">
        <is>
          <t>4/5 — بیشترین حجم آگهی در هر ۶ کشور؛ ورود جونیور از ۲۰۲۳ سخت‌تر شده — سابقهٔ کار شما مزیت است</t>
        </is>
      </c>
      <c r="Q97" s="12" t="inlineStr"/>
      <c r="R97" s="26"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5" t="inlineStr">
        <is>
          <t>$71–81k</t>
        </is>
      </c>
      <c r="L98" s="12" t="inlineStr">
        <is>
          <t>کارشناسی CS/EE مرتبط؛ مهلت ۱ مارس</t>
        </is>
      </c>
      <c r="M98" s="12" t="inlineStr">
        <is>
          <t>6.5</t>
        </is>
      </c>
      <c r="N98" s="12">
        <f>329</f>
        <v/>
      </c>
      <c r="O98" s="18"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6"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5" t="inlineStr">
        <is>
          <t>$34–35k</t>
        </is>
      </c>
      <c r="L99" s="12" t="inlineStr">
        <is>
          <t>کارشناسی مرتبط (Medialogy، CS، Media Tech)</t>
        </is>
      </c>
      <c r="M99" s="12" t="inlineStr">
        <is>
          <t>6.5</t>
        </is>
      </c>
      <c r="N99" s="12">
        <f>329</f>
        <v/>
      </c>
      <c r="O99" s="18"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6"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5" t="inlineStr">
        <is>
          <t>$69–76k</t>
        </is>
      </c>
      <c r="L100" s="12" t="inlineStr">
        <is>
          <t>≥ ۱۰۰ ECTS دروس CS؛ ظرفیت محدود + آزمون</t>
        </is>
      </c>
      <c r="M100" s="12" t="inlineStr">
        <is>
          <t>6.5</t>
        </is>
      </c>
      <c r="N100" s="12">
        <f>283</f>
        <v/>
      </c>
      <c r="O100" s="18"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6"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5" t="inlineStr">
        <is>
          <t>$69–76k</t>
        </is>
      </c>
      <c r="L101" s="12" t="inlineStr">
        <is>
          <t>کارشناسی SE/CS</t>
        </is>
      </c>
      <c r="M101" s="12" t="inlineStr">
        <is>
          <t>6.5</t>
        </is>
      </c>
      <c r="N101" s="12">
        <f>283</f>
        <v/>
      </c>
      <c r="O101" s="18"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6"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5" t="inlineStr">
        <is>
          <t>$69–76k</t>
        </is>
      </c>
      <c r="L102" s="12" t="inlineStr">
        <is>
          <t>کارشناسی CS/AI</t>
        </is>
      </c>
      <c r="M102" s="12" t="inlineStr">
        <is>
          <t>6.5</t>
        </is>
      </c>
      <c r="N102" s="12">
        <f>283</f>
        <v/>
      </c>
      <c r="O102" s="18"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6"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5" t="inlineStr">
        <is>
          <t>$69–76k</t>
        </is>
      </c>
      <c r="L103" s="12" t="inlineStr">
        <is>
          <t>کارشناسی مرتبط (CS/EE/Mechatronics)</t>
        </is>
      </c>
      <c r="M103" s="12" t="inlineStr">
        <is>
          <t>6.5</t>
        </is>
      </c>
      <c r="N103" s="12">
        <f>283</f>
        <v/>
      </c>
      <c r="O103" s="18"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6"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5" t="inlineStr">
        <is>
          <t>$67–72k</t>
        </is>
      </c>
      <c r="L104" s="12" t="inlineStr">
        <is>
          <t>کارشناسی با محتوای کمی/برنامه‌نویسی</t>
        </is>
      </c>
      <c r="M104" s="12" t="inlineStr">
        <is>
          <t>6.5</t>
        </is>
      </c>
      <c r="N104" s="12">
        <f>283</f>
        <v/>
      </c>
      <c r="O104" s="18"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6"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5" t="inlineStr">
        <is>
          <t>$74–83k</t>
        </is>
      </c>
      <c r="L105" s="12" t="inlineStr">
        <is>
          <t>برای track فنی: کارشناسی CS</t>
        </is>
      </c>
      <c r="M105" s="12" t="inlineStr">
        <is>
          <t>6.5</t>
        </is>
      </c>
      <c r="N105" s="12" t="inlineStr">
        <is>
          <t>— (تخصصی)</t>
        </is>
      </c>
      <c r="O105" s="18"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6"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5" t="inlineStr">
        <is>
          <t>$74–83k</t>
        </is>
      </c>
      <c r="L106" s="12" t="inlineStr">
        <is>
          <t>کارشناسی CS/SE با برنامه‌نویسی قابل توجه</t>
        </is>
      </c>
      <c r="M106" s="12" t="inlineStr">
        <is>
          <t>6.5</t>
        </is>
      </c>
      <c r="N106" s="12" t="inlineStr">
        <is>
          <t>— (تخصصی)</t>
        </is>
      </c>
      <c r="O106" s="18"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6"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5" t="inlineStr">
        <is>
          <t>$74–83k</t>
        </is>
      </c>
      <c r="L107" s="12" t="inlineStr">
        <is>
          <t>کارشناسی مرتبط با داده/CS</t>
        </is>
      </c>
      <c r="M107" s="12" t="inlineStr">
        <is>
          <t>6.5</t>
        </is>
      </c>
      <c r="N107" s="12" t="inlineStr">
        <is>
          <t>— (تخصصی)</t>
        </is>
      </c>
      <c r="O107" s="18"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6"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5" t="inlineStr">
        <is>
          <t>$69–78k</t>
        </is>
      </c>
      <c r="L108" s="12" t="inlineStr">
        <is>
          <t>ظرفیت محدود؛ امتیازدهی: معدل ۶۰٪ + سابقهٔ کار ۱۰٪</t>
        </is>
      </c>
      <c r="M108" s="12" t="inlineStr">
        <is>
          <t>6.5</t>
        </is>
      </c>
      <c r="N108" s="12" t="inlineStr">
        <is>
          <t>105</t>
        </is>
      </c>
      <c r="O108" s="27"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6"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5" t="inlineStr">
        <is>
          <t>$69–78k</t>
        </is>
      </c>
      <c r="L109" s="12" t="inlineStr">
        <is>
          <t>۸۰–۹۰ ECTS دروس مرتبط؛ ظرفیت محدود</t>
        </is>
      </c>
      <c r="M109" s="12" t="inlineStr">
        <is>
          <t>6.5</t>
        </is>
      </c>
      <c r="N109" s="12" t="inlineStr">
        <is>
          <t>105</t>
        </is>
      </c>
      <c r="O109" s="27"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6"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5" t="inlineStr">
        <is>
          <t>$69–78k</t>
        </is>
      </c>
      <c r="L110" s="12" t="inlineStr">
        <is>
          <t>ظرفیت محدود؛ گزینش با معدل</t>
        </is>
      </c>
      <c r="M110" s="12" t="inlineStr">
        <is>
          <t>6.5</t>
        </is>
      </c>
      <c r="N110" s="12" t="inlineStr">
        <is>
          <t>105</t>
        </is>
      </c>
      <c r="O110" s="27" t="inlineStr">
        <is>
          <t>Reach</t>
        </is>
      </c>
      <c r="P110" s="12" t="inlineStr">
        <is>
          <t>4/5 — بیشترین حجم آگهی در هر ۶ کشور؛ ورود جونیور از ۲۰۲۳ سخت‌تر شده — سابقهٔ کار شما مزیت است</t>
        </is>
      </c>
      <c r="Q110" s="12" t="inlineStr"/>
      <c r="R110" s="26"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5" t="inlineStr">
        <is>
          <t>$72–80k</t>
        </is>
      </c>
      <c r="L111" s="12" t="inlineStr">
        <is>
          <t>کارشناسی CS با واحدهای مشخص</t>
        </is>
      </c>
      <c r="M111" s="12" t="inlineStr">
        <is>
          <t>6.5</t>
        </is>
      </c>
      <c r="N111" s="12" t="inlineStr">
        <is>
          <t>128</t>
        </is>
      </c>
      <c r="O111" s="14"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6" t="inlineStr">
        <is>
          <t>https://masters.au.dk/computerscience</t>
        </is>
      </c>
    </row>
    <row r="112"/>
    <row r="113" ht="34" customHeight="1">
      <c r="B113" s="28"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8"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8"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8"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8"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8"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23"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23"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3"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23"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23"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23"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23"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23" t="inlineStr">
        <is>
          <t>Wikipedia «2022–2026 video game industry layoffs» (GDC State of the Industry 2026؛ 80.lv)</t>
        </is>
      </c>
    </row>
    <row r="10"/>
    <row r="11" ht="70" customHeight="1">
      <c r="A11" s="29"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3"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3"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3"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3" t="inlineStr">
        <is>
          <t>utwente.nl؛ universityadmissions.se؛ سایت دانشگاه‌های سوئیس</t>
        </is>
      </c>
    </row>
    <row r="6">
      <c r="A6" s="5" t="inlineStr">
        <is>
          <t>۱ – ۳۰ نوامبر ۲۰۲۶</t>
        </is>
      </c>
      <c r="B6" s="30"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3"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23"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23"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3"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23" t="inlineStr">
        <is>
          <t>en.aau.dk/how-and-when-to-apply</t>
        </is>
      </c>
    </row>
    <row r="11">
      <c r="A11" s="5" t="inlineStr">
        <is>
          <t>۱۵ ژانویه ۲۰۲۷</t>
        </is>
      </c>
      <c r="B11" s="30"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23"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23" t="inlineStr">
        <is>
          <t>ru.nl deadlines</t>
        </is>
      </c>
    </row>
    <row r="13">
      <c r="A13" s="5" t="inlineStr">
        <is>
          <t>۱ فوریه ۲۰۲۷</t>
        </is>
      </c>
      <c r="B13" s="30"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23" t="inlineStr">
        <is>
          <t>universityadmissions.se؛ sdu.dk/datalogi؛ utwente.nl</t>
        </is>
      </c>
    </row>
    <row r="14">
      <c r="A14" s="5" t="inlineStr">
        <is>
          <t>۲۸ فوریه ۲۰۲۷</t>
        </is>
      </c>
      <c r="B14" s="30"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23"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3"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23" t="inlineStr">
        <is>
          <t>universityadmissions.se</t>
        </is>
      </c>
    </row>
    <row r="17">
      <c r="A17" s="5" t="inlineStr">
        <is>
          <t>۱ آوریل ۲۰۲۷</t>
        </is>
      </c>
      <c r="B17" s="30"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3"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23" t="inlineStr">
        <is>
          <t>umu.se key dates</t>
        </is>
      </c>
    </row>
    <row r="19">
      <c r="A19" s="5" t="inlineStr">
        <is>
          <t>۱ می ۲۰۲۷</t>
        </is>
      </c>
      <c r="B19" s="30" t="inlineStr">
        <is>
          <t>⛔ مهلت Twente (غیر-EEA)</t>
        </is>
      </c>
      <c r="C19" s="12" t="inlineStr">
        <is>
          <t>هلند</t>
        </is>
      </c>
      <c r="D19" s="12" t="inlineStr">
        <is>
          <t>MSc Computer Science / Embedded Systems / Interaction Technology.</t>
        </is>
      </c>
      <c r="E19" s="23" t="inlineStr">
        <is>
          <t>utwente.nl (به نقل از collegedunia، اوت ۲۰۲۶)</t>
        </is>
      </c>
    </row>
    <row r="20">
      <c r="A20" s="5" t="inlineStr">
        <is>
          <t>۳۰ آوریل ۲۰۲۷</t>
        </is>
      </c>
      <c r="B20" s="30"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3"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23"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3"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23"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3"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3"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3" t="inlineStr">
        <is>
          <t>—</t>
        </is>
      </c>
    </row>
    <row r="27"/>
    <row r="28" ht="60" customHeight="1">
      <c r="A28" s="29"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3"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3"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23"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23"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23"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3"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31"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32"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31"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33"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33"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33"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33"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33"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31"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33"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32"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32"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32"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31"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33"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32"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31"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32"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31"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31"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31"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31"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32"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33"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31"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33"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31"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31"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33"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32"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33"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33"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33"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31"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31"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33"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33"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32"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31"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31"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31"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32"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32"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33"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33"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33"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32"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33"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33"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33"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33"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33"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33"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33"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33"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32"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33"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33"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33"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33"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33"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31"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32"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32"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32"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23"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23"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23"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23"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23"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23"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23"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23"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23"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23"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23"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23"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23"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23"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23"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23"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23"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23"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23"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23"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23"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23"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23"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23"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23"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23"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23"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9"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4"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4"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4"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4" t="inlineStr">
        <is>
          <t>• اعداد «رسمی» از صفحهٔ دانشگاه (۲۰۲۶/۲۷) و اعداد با «≈» برآورد از منابع ثانویه‌اند؛ اجاره‌ها هر سال ۳–۸٪ بالا می‌رود.</t>
        </is>
      </c>
    </row>
    <row r="123" ht="48" customHeight="1">
      <c r="A123" s="34"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۲۷.۵ = حقوق ۲۷.۵ / انگلیسی ۳۰ / هزینه ۱۵) و بودجهٔ $40,000 = شهریه + n ماه زندگی، بعد کار دانشجویی با حداکثر ساعت مجاز — ۲۸ سپتامبر</t>
        </is>
      </c>
      <c r="B5" s="12" t="inlineStr">
        <is>
          <t>فرمول: n = (۴۰,۰۰۰ − شهریهٔ کل) ÷ زندگی ماهانه؛ از ماه n+۱ کار با حداکثر ساعت قانونی × کف دستمزد (خالص) در برابر زندگی. آلمان: شهریه + تمام ۲۴ ماه (Darmstadt/Saarland/Passau با $6–12k اضافه؛ Stuttgart ۲۳.۱ ماه) و ۲۰ ساعت × $16.6 ≈ $1,305 ≥ زندگی → بدون کسری ✅. انگلستان: ۲۰ ساعت × $16.8 ≈ $1,440 ≈ زندگی → Teesside (۱۲.۶ ماه) بدون کار، Essex ۸.۵ / Northumbria ۷.۹ / Manchester Met ۷.۷ ماه با کسری ماهانهٔ $20–150 ✅، Leicester ۵.۲ ماه ⚠️، لندن و Russell Group ❌. سوئیس: کار از ماه ۷، ۱۵ ساعت × کف کانتونی ≈ $1,450–1,590 در برابر $1,875–2,240 → Neuchâtel (۱۹.۸ ماه) و Fribourg (۱۸.۳) بدون کار ✅، Basel ۱۶.۵ ماه → کسری کل ≈ $200 ✅، HSLU ۱۵.۳ ماه → ≈ $4.3k ⚠️ (کار ۱۰۰٪ تعطیلات ترم قانونی است)، USI ۱۰.۷ ماه → ≈ $5.6k ⚠️ پرریسک، ETH ❌؛ اثبات $25,400/سال. سوئد: بدون سقف کار و ۲۰ ساعت × $15 ≈ $1,130 ≥ زندگی → روی کاغذ صفر کسری (BTH ۱۱ / MDU ۱۱.۴ / LiU ۵.۶ ماه)، ولی کار انگلیسی‌زبان نایاب → فقط با بورس ⚠️. هلند ❌ (شهریهٔ دو سال $45–50k؛ UvA کسری $6.5k). دانمارک ❌ (AAU ۳.۸ ماه؛ روی کاغذ سر به سر با $21 ولی بدون دانمارکی + ویزا). امتیاز برنامه‌ها: Basel ۷۱.۳ › HSLU ۶۸.۳ › Neuchâtel ۶۷ › Fribourg ۶۵.۵ › Stuttgart ۶۴ = Manchester Met ۶۴ › Teesside ۶۱.۵ › Northumbria = Essex ۶۱.۳ › USI ۶۱ › Darmstadt ۶۰ › Leicester ۵۹.۸ › Saarland ۵۷.۳ › LiU ۵۶.۳. توصیه: ۸ درخواست — ۳ سوئیس (HSLU، Basel، Neuchâtel) + ۳ آلمان (Stuttgart، Darmstadt، Saarland) + ۲ انگلستان (Northumbria یا Manchester Met، Essex).</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با مدل «شهریه + n ماه زندگی، بعد کار ۱۵ ساعت با کف کانتونی»: Neuchâtel/Fribourg/Basel ✅، HSLU ⚠️ (کسری ≈ $4.3k → کار تعطیلات)، USI ⚠️ پرریسک،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33"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33"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33"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33"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32"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32"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32"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33"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33"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33"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33"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33"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33"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33"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33"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33"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33"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32"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33"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33"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33"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32"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32" t="inlineStr">
        <is>
          <t>⚠️ فاصلهٔ امتیازها کم است؛ وزن‌ها در شیت «تصمیم» قابل تغییرند</t>
        </is>
      </c>
    </row>
    <row r="25">
      <c r="A25" s="5" t="inlineStr">
        <is>
          <t>بودجه و وزن‌ها – نسخهٔ دوم (۲۸ سپتامبر)</t>
        </is>
      </c>
      <c r="B25" s="12" t="inlineStr">
        <is>
          <t>بودجه $32,000 → $40,000 در سال (⚠️ منسوخ — بودجه برای کل دوره است، ردیف بعد)؛ وزن‌ها کار ۲۷.۵ = حقوق ۲۷.۵ / انگلیسی ۳۰ / هزینه ۱۵؛ «کار» سوئیس ۴ → ۵</t>
        </is>
      </c>
      <c r="C25" s="12" t="inlineStr">
        <is>
          <t>گفتهٔ شما + مادهٔ ۲۱(۳) AIG (معافیت فارغ‌التحصیلان سوئیس از اولویت نیروی داخلی؛ سهمیه باقی است — SEM Weisungen §4.2)</t>
        </is>
      </c>
      <c r="D25" s="12" t="inlineStr">
        <is>
          <t>قضاوت + قانون</t>
        </is>
      </c>
      <c r="E25" s="12" t="inlineStr">
        <is>
          <t>۲۸ سپتامبر ۲۰۲۶</t>
        </is>
      </c>
      <c r="F25" s="32"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2" t="inlineStr">
        <is>
          <t>$40,000 برای کل دوره (نه در سال)</t>
        </is>
      </c>
      <c r="C26" s="12" t="inlineStr">
        <is>
          <t>گفتهٔ شما</t>
        </is>
      </c>
      <c r="D26" s="12" t="inlineStr">
        <is>
          <t>—</t>
        </is>
      </c>
      <c r="E26" s="12" t="inlineStr">
        <is>
          <t>۲۸ سپتامبر ۲۰۲۶</t>
        </is>
      </c>
      <c r="F26" s="32"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2" t="inlineStr">
        <is>
          <t>$40,000 = کل شهریه + زندگی تا پیدا شدن کار دانشجویی</t>
        </is>
      </c>
      <c r="C27" s="12" t="inlineStr">
        <is>
          <t>گفتهٔ شما؛ سقف ساعت کار از منابع رسمی (SEM، BAMF، UKVI، IND)؛ حداقل دستمزد انگلستان $16.8 (£12.71) (gov.uk، ۱ آوریل ۲۰۲۶)</t>
        </is>
      </c>
      <c r="D27" s="12" t="inlineStr">
        <is>
          <t>قانون + برآورد درآمد</t>
        </is>
      </c>
      <c r="E27" s="12" t="inlineStr">
        <is>
          <t>۲۸ سپتامبر ۲۰۲۶</t>
        </is>
      </c>
      <c r="F27" s="32" t="inlineStr">
        <is>
          <t>⚠️ ردیف ۹، شیت «تصمیم» و بخش ۲۲ گزارش با این مدل بازنویسی شد؛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5" t="inlineStr">
        <is>
          <t>کل فایل – وضعیت</t>
        </is>
      </c>
      <c r="B28" s="12" t="inlineStr">
        <is>
          <t>≈ ۱,۶۰۰ سلول عددی؛ ≈ ۳۴۰ سلول با علامت ≈/برآورد</t>
        </is>
      </c>
      <c r="C28" s="12" t="inlineStr">
        <is>
          <t>—</t>
        </is>
      </c>
      <c r="D28" s="12" t="inlineStr">
        <is>
          <t>—</t>
        </is>
      </c>
      <c r="E28" s="12" t="inlineStr">
        <is>
          <t>۲۸ سپتامبر ۲۰۲۶</t>
        </is>
      </c>
      <c r="F28"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2"/>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5" t="inlineStr">
        <is>
          <t>https://www.make-it-in-germany.com/en/visa-residence/types/eu-blue-card</t>
        </is>
      </c>
    </row>
    <row r="3">
      <c r="A3" s="12" t="inlineStr">
        <is>
          <t>آلمان – Sperrkonto €992/ماه (2026)</t>
        </is>
      </c>
      <c r="B3" s="35" t="inlineStr">
        <is>
          <t>https://www.make-it-in-germany.com/en/study-training/study/financing</t>
        </is>
      </c>
    </row>
    <row r="4">
      <c r="A4" s="12" t="inlineStr">
        <is>
          <t>آلمان – Niederlassungserlaubnis §18c (فارغ‌التحصیلان، ۲ سال، B1)</t>
        </is>
      </c>
      <c r="B4" s="35" t="inlineStr">
        <is>
          <t>https://www.make-it-in-germany.com/en/visa-residence/living-permanently/permanent-residence</t>
        </is>
      </c>
    </row>
    <row r="5">
      <c r="A5" s="12" t="inlineStr">
        <is>
          <t>آلمان – Stuttgart MSc Computer Science (انگلیسی، IELTS 7، €1,500/ترم)</t>
        </is>
      </c>
      <c r="B5" s="35" t="inlineStr">
        <is>
          <t>https://www.uni-stuttgart.de/en/study/study-programs/Computer-Science-M.Sc./</t>
        </is>
      </c>
    </row>
    <row r="6">
      <c r="A6" s="12" t="inlineStr">
        <is>
          <t>آلمان – FAU MSc Artificial Intelligence (انگلیسی، B2)</t>
        </is>
      </c>
      <c r="B6" s="35" t="inlineStr">
        <is>
          <t>https://www.ai.study.fau.eu/prospective-students/living-studying-in-germany/language-proficiency/</t>
        </is>
      </c>
    </row>
    <row r="7">
      <c r="A7" s="12" t="inlineStr">
        <is>
          <t>آلمان – TU Darmstadt MSc Computer Science</t>
        </is>
      </c>
      <c r="B7" s="35" t="inlineStr">
        <is>
          <t>https://www.informatik.tu-darmstadt.de/studium_fb20/im_studium/studiengaenge_liste/computer_science_msc.en.jsp</t>
        </is>
      </c>
    </row>
    <row r="8">
      <c r="A8" s="12" t="inlineStr">
        <is>
          <t>آلمان – TU Dresden MSc Computer Science admission</t>
        </is>
      </c>
      <c r="B8" s="35" t="inlineStr">
        <is>
          <t>https://tu-dresden.de/ing/informatik/studium/studienangebot/master-studiengaenge/m-sc-computer-science/admission?set_language=en</t>
        </is>
      </c>
    </row>
    <row r="9">
      <c r="A9" s="12" t="inlineStr">
        <is>
          <t>آلمان – TLScontact Tehran (لیست انتظار دانشجویی)</t>
        </is>
      </c>
      <c r="B9" s="35" t="inlineStr">
        <is>
          <t>https://visas-de.tlscontact.com/en-us/country/ir/vac/irTHR2de</t>
        </is>
      </c>
    </row>
    <row r="10">
      <c r="A10" s="12" t="inlineStr">
        <is>
          <t>آلمان – وضعیت سفارت تهران (Iran International، اوت ۲۰۲۶)</t>
        </is>
      </c>
      <c r="B10" s="35" t="inlineStr">
        <is>
          <t>https://www.iranintl.com/en/202608115899</t>
        </is>
      </c>
    </row>
    <row r="11">
      <c r="A11" s="12" t="inlineStr">
        <is>
          <t>آلمان – Fintiba: ساکنان ایران پذیرفته نمی‌شوند</t>
        </is>
      </c>
      <c r="B11" s="35" t="inlineStr">
        <is>
          <t>https://www.simplegermany.com/best-blocked-account-germany/</t>
        </is>
      </c>
    </row>
    <row r="12">
      <c r="A12" s="12" t="inlineStr">
        <is>
          <t>آلمان – حقوق توسعه‌دهنده (StepStone)</t>
        </is>
      </c>
      <c r="B12" s="35" t="inlineStr">
        <is>
          <t>https://www.stepstone.de/gehalt/Software-Entwickler-in.html</t>
        </is>
      </c>
    </row>
    <row r="13">
      <c r="A13" s="12" t="inlineStr">
        <is>
          <t>هلند – IND مبالغ ۲۰۲۶ (HSM €3,122 / €4,357؛ دانشجو €1,130.77)</t>
        </is>
      </c>
      <c r="B13" s="35" t="inlineStr">
        <is>
          <t>https://ind.nl/en/required-amounts-income-requirements</t>
        </is>
      </c>
    </row>
    <row r="14">
      <c r="A14" s="12" t="inlineStr">
        <is>
          <t>هلند – Twente شهریه 2026/27 €21,700</t>
        </is>
      </c>
      <c r="B14" s="35" t="inlineStr">
        <is>
          <t>https://www.utwente.nl/en/education/master/programmes/computer-science/finance/</t>
        </is>
      </c>
    </row>
    <row r="15">
      <c r="A15" s="12" t="inlineStr">
        <is>
          <t>هلند – Twente حداقل معدل برای مدرک ایرانی (۱۵/۲۰)</t>
        </is>
      </c>
      <c r="B15" s="35" t="inlineStr">
        <is>
          <t>https://www.utwente.nl/en/education/master/programmes/european-studies/admission/international/</t>
        </is>
      </c>
    </row>
    <row r="16">
      <c r="A16" s="12" t="inlineStr">
        <is>
          <t>هلند – Twente QS 2027 = 223</t>
        </is>
      </c>
      <c r="B16" s="35" t="inlineStr">
        <is>
          <t>https://www.utwente.nl/en/about-us/impact-ambitions/rankings/</t>
        </is>
      </c>
    </row>
    <row r="17">
      <c r="A17" s="12" t="inlineStr">
        <is>
          <t>هلند – Radboud شهریهٔ رسمی 2026/27 غیر-EEA €19,714 (Data Science and AI؛ دانشکدهٔ علوم)</t>
        </is>
      </c>
      <c r="B17" s="35" t="inlineStr">
        <is>
          <t>https://www.ru.nl/en/education/masters/data-science-and-ai/tuition</t>
        </is>
      </c>
    </row>
    <row r="18">
      <c r="A18" s="12" t="inlineStr">
        <is>
          <t>هلند – MVV در ایران (سفارت در باکو)</t>
        </is>
      </c>
      <c r="B18" s="35" t="inlineStr">
        <is>
          <t>https://www.netherlandsworldwide.nl/visa-the-netherlands/mvv-long-stay/apply-iran</t>
        </is>
      </c>
    </row>
    <row r="19">
      <c r="A19" s="12" t="inlineStr">
        <is>
          <t>هلند – B1 برای PR/تابعیت (تصمیم کابینه ۲۰۲۶)</t>
        </is>
      </c>
      <c r="B19" s="35" t="inlineStr">
        <is>
          <t>https://thedutchdaily.nl/dutch-citizenship-b1-language-requirement-confirmed-2026/</t>
        </is>
      </c>
    </row>
    <row r="20">
      <c r="A20" s="12" t="inlineStr">
        <is>
          <t>سوئد – قوانین جدید اقامت تحصیلی از ۱۱ ژوئن ۲۰۲۶ (۱۵ ساعت/هفته)</t>
        </is>
      </c>
      <c r="B20" s="35" t="inlineStr">
        <is>
          <t>https://www.migrationsverket.se/nyheter/news-archive/2026-05-25-new-rules-for-residence-permits-for-studies-in-higher-education.html</t>
        </is>
      </c>
    </row>
    <row r="21">
      <c r="A21" s="12" t="inlineStr">
        <is>
          <t>سوئد – قوانین جدید مجوز کار از ۱ ژوئن ۲۰۲۶ (SEK 34,470)</t>
        </is>
      </c>
      <c r="B21" s="35" t="inlineStr">
        <is>
          <t>https://www.migrationsverket.se/nyheter/news-archive/2026-04-17-new-rules-for-work-permits-from-1-june-2026.html</t>
        </is>
      </c>
    </row>
    <row r="22">
      <c r="A22" s="12" t="inlineStr">
        <is>
          <t>سوئد – گروه‌های معاف (فارغ‌التحصیلان ۷۵٪)</t>
        </is>
      </c>
      <c r="B22" s="35" t="inlineStr">
        <is>
          <t>https://eiglaw.com/sweden-publishes-exempt-occupations-for-new-salary-rule/</t>
        </is>
      </c>
    </row>
    <row r="23">
      <c r="A23" s="12" t="inlineStr">
        <is>
          <t>سوئد – مجوز ۱۲ ماهه جست‌وجوی کار و تمکن SEK 10,656</t>
        </is>
      </c>
      <c r="B23" s="35" t="inlineStr">
        <is>
          <t>https://www.migrationsverket.se/en/you-want-to-extend/study/look-for-work-after-completing-your-studies-in-sweden.html</t>
        </is>
      </c>
    </row>
    <row r="24">
      <c r="A24" s="12" t="inlineStr">
        <is>
          <t>سوئد – Linköping MSc CS شهریه SEK 332,000 (کل)</t>
        </is>
      </c>
      <c r="B24" s="35" t="inlineStr">
        <is>
          <t>https://liu.se/en/education/program/6mics</t>
        </is>
      </c>
    </row>
    <row r="25">
      <c r="A25" s="12" t="inlineStr">
        <is>
          <t>سوئد – BTH MSc Software Engineering 120 credits (SEK 70,000/ترم)</t>
        </is>
      </c>
      <c r="B25" s="35" t="inlineStr">
        <is>
          <t>https://www.bth.se/english/education/programmes/masters-programme-in-software-engineering-120-credits</t>
        </is>
      </c>
    </row>
    <row r="26">
      <c r="A26" s="12" t="inlineStr">
        <is>
          <t>سوئد – BTH برنامه ۶۰ واحدی (از راه دور، نیمه‌وقت، ۲ سال سابقه)</t>
        </is>
      </c>
      <c r="B26" s="35" t="inlineStr">
        <is>
          <t>https://www.bth.se/english/education/programmes/masters-programme-in-software-engineering-60-credits</t>
        </is>
      </c>
    </row>
    <row r="27">
      <c r="A27" s="12" t="inlineStr">
        <is>
          <t>سوئد – Halmstad MSc Information Technology شهریه</t>
        </is>
      </c>
      <c r="B27" s="35" t="inlineStr">
        <is>
          <t>https://www.mastersportal.com/studies/22787/information-technology.html</t>
        </is>
      </c>
    </row>
    <row r="28">
      <c r="A28" s="12" t="inlineStr">
        <is>
          <t>سوئد – Halmstad مسکن (بدون تضمین)</t>
        </is>
      </c>
      <c r="B28" s="35" t="inlineStr">
        <is>
          <t>https://www.hh.se/english/education/student-life/find-accommodation.html</t>
        </is>
      </c>
    </row>
    <row r="29">
      <c r="A29" s="12" t="inlineStr">
        <is>
          <t>سوئد – شهروندی ۸ ساله از ژوئن ۲۰۲۶</t>
        </is>
      </c>
      <c r="B29" s="35" t="inlineStr">
        <is>
          <t>https://www.imidaily.com/europe/sweden-passes-law-curtailing-naturalization-8-year-wait-income-floor/</t>
        </is>
      </c>
    </row>
    <row r="30">
      <c r="A30" s="12" t="inlineStr">
        <is>
          <t>سوئد – اطلاعیه مهاجرتی سفارت تهران</t>
        </is>
      </c>
      <c r="B30" s="35" t="inlineStr">
        <is>
          <t>https://www.swedenabroad.se/globalassets/ambassader/iran-teheran/documents/migration-issues/new-folder/english-versin.pdf</t>
        </is>
      </c>
    </row>
    <row r="31">
      <c r="A31" s="12" t="inlineStr">
        <is>
          <t>دانمارک – Pay Limit Scheme 2026</t>
        </is>
      </c>
      <c r="B31" s="35" t="inlineStr">
        <is>
          <t>https://www.nyidanmark.dk/pl-PL/You-want-to-apply/Work/Pay-limit-scheme</t>
        </is>
      </c>
    </row>
    <row r="32">
      <c r="A32" s="12" t="inlineStr">
        <is>
          <t>دانمارک – برنامه‌های آموزش عالی: ۹۰ ساعت/ماه، ۶ ماه یا ۳ سال جست‌وجوی کار</t>
        </is>
      </c>
      <c r="B32" s="35" t="inlineStr">
        <is>
          <t>https://www.nyidanmark.dk/en-GB/You-want-to-apply/Study/Higher-Education</t>
        </is>
      </c>
    </row>
    <row r="33">
      <c r="A33" s="12" t="inlineStr">
        <is>
          <t>دانمارک – مجوز ۳ ساله جست‌وجوی کار</t>
        </is>
      </c>
      <c r="B33" s="35" t="inlineStr">
        <is>
          <t>https://www.nyidanmark.dk/de-DE/You-want-to-apply/Study/Study---job-seeking/Study---3-years-job-seeking</t>
        </is>
      </c>
    </row>
    <row r="34">
      <c r="A34" s="12" t="inlineStr">
        <is>
          <t>دانمارک – اقامت دائم</t>
        </is>
      </c>
      <c r="B34" s="35" t="inlineStr">
        <is>
          <t>https://www.nyidanmark.dk/de-DE/You-want-to-apply/Permanent-residence-permit/Permanent-residence</t>
        </is>
      </c>
    </row>
    <row r="35">
      <c r="A35" s="12" t="inlineStr">
        <is>
          <t>دانمارک – تمکن DKK 7,426 (2026)</t>
        </is>
      </c>
      <c r="B35" s="35" t="inlineStr">
        <is>
          <t>https://nyidanmark.dk/en-GB/Words-and-concepts/SIRI/Self-support---SIRI</t>
        </is>
      </c>
    </row>
    <row r="36">
      <c r="A36" s="12" t="inlineStr">
        <is>
          <t>دانمارک – AAU Computer Science (IT) شهریه €7,455/ترم</t>
        </is>
      </c>
      <c r="B36" s="35" t="inlineStr">
        <is>
          <t>https://studyindenmark.dk/portal/aalborg-university-aau/aalborg/computer-science-it-msc</t>
        </is>
      </c>
    </row>
    <row r="37">
      <c r="A37" s="12" t="inlineStr">
        <is>
          <t>دانمارک – SDU شهریهٔ رسمی از ورودی ۲۰۲۶: Science/Engineering €17,300 در سال</t>
        </is>
      </c>
      <c r="B37" s="35" t="inlineStr">
        <is>
          <t>https://www.sdu.dk/en/uddannelse/fees_and_funding/tuition</t>
        </is>
      </c>
    </row>
    <row r="38">
      <c r="A38" s="12" t="inlineStr">
        <is>
          <t>دانمارک – SDU MSc Computer Science (ظرفیت محدود، €17,300)</t>
        </is>
      </c>
      <c r="B38" s="35" t="inlineStr">
        <is>
          <t>https://www.sdu.dk/en/uddannelse/kandidat/datalogi/adgangskrav</t>
        </is>
      </c>
    </row>
    <row r="39">
      <c r="A39" s="12" t="inlineStr">
        <is>
          <t>دانمارک – سفارت تهران (درخواست از ایران ممکن نیست)</t>
        </is>
      </c>
      <c r="B39" s="35" t="inlineStr">
        <is>
          <t>https://iran.um.dk/en</t>
        </is>
      </c>
    </row>
    <row r="40">
      <c r="A40" s="12" t="inlineStr">
        <is>
          <t>دانمارک – IDA حقوق شروع ۲۰۲۶</t>
        </is>
      </c>
      <c r="B40" s="35"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5" t="inlineStr">
        <is>
          <t>https://www.studierendenwerke.de/en/topics/accomodation/accommodation-and-studies</t>
        </is>
      </c>
    </row>
    <row r="42">
      <c r="A42" s="12" t="inlineStr">
        <is>
          <t>مسکن – Studierendenwerk Stuttgart: €229–399 با قبوض، لیست انتظار معمول ۶–۸ ماه (اطلاعیهٔ رسمی)</t>
        </is>
      </c>
      <c r="B42" s="35"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5" t="inlineStr">
        <is>
          <t>https://www.ru.nl/en/students/international-students/housing/housing-options/apply-for-help-with-housing</t>
        </is>
      </c>
    </row>
    <row r="44">
      <c r="A44" s="12" t="inlineStr">
        <is>
          <t>مسکن – Radboud بروشور 2026–27: اتاق مبلهٔ €370–650؛ زندگی €1,100–1,200</t>
        </is>
      </c>
      <c r="B44" s="35"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5"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5" t="inlineStr">
        <is>
          <t>https://issuu.com/utwente/docs/master_programmes_university_of_twente/s/16597294</t>
        </is>
      </c>
    </row>
    <row r="47">
      <c r="A47" s="12" t="inlineStr">
        <is>
          <t>مسکن – Uppsala: تضمین رسمی خوابگاه برای شهریه‌پردازها</t>
        </is>
      </c>
      <c r="B47" s="35" t="inlineStr">
        <is>
          <t>https://www.uu.se/en/study/masters-studies/living-in-sweden/housing</t>
        </is>
      </c>
    </row>
    <row r="48">
      <c r="A48" s="12" t="inlineStr">
        <is>
          <t>مسکن – Stockholm University: بدون تضمین؛ ≈ ۶۰۰ واحد برای بین‌المللی‌ها</t>
        </is>
      </c>
      <c r="B48" s="35"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5"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5" t="inlineStr">
        <is>
          <t>https://www.findunirooms.com/denmark/aalborg-university/</t>
        </is>
      </c>
    </row>
    <row r="51">
      <c r="A51" s="12" t="inlineStr">
        <is>
          <t>مسکن – York: تضمین PG تا ۳۱ ژوئیه؛ اجارهٔ 2026/27 £186–224/هفته (۵۱ هفته)</t>
        </is>
      </c>
      <c r="B51" s="35" t="inlineStr">
        <is>
          <t>https://www.york.ac.uk/study/accommodation/postgraduate/</t>
        </is>
      </c>
    </row>
    <row r="52">
      <c r="A52" s="12" t="inlineStr">
        <is>
          <t>مسکن – Essex: تضمین خوابگاه PG برای کل دوره با اقدام تا مهلت</t>
        </is>
      </c>
      <c r="B52" s="35" t="inlineStr">
        <is>
          <t>https://www.essex.ac.uk/life/accommodation/apply/new-students/postgraduate</t>
        </is>
      </c>
    </row>
    <row r="53">
      <c r="A53" s="12" t="inlineStr">
        <is>
          <t>مسکن – Brunel: تضمین برای همهٔ دانشجویان جدید؛ مهلت ۱۵ مارس ۲۰۲۶؛ پیش‌پرداخت £350/£450</t>
        </is>
      </c>
      <c r="B53" s="35" t="inlineStr">
        <is>
          <t>https://www.brunel.ac.uk/life/accommodation/how-to-apply</t>
        </is>
      </c>
    </row>
    <row r="54">
      <c r="A54" s="12" t="inlineStr">
        <is>
          <t>مسکن – Newcastle: فهرست خوابگاه‌های PG 2026/27 (£117.60–239.75/هفته)</t>
        </is>
      </c>
      <c r="B54" s="35" t="inlineStr">
        <is>
          <t>https://www.ncl.ac.uk/accommodation/university/</t>
        </is>
      </c>
    </row>
    <row r="55">
      <c r="A55" s="12" t="inlineStr">
        <is>
          <t>مسکن – Northumbria: خوابگاه £94.19–158.31/هفته با قبوض؛ catered و self-catered؛ حداقل زندگی £1,015/ماه</t>
        </is>
      </c>
      <c r="B55" s="35"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5" t="inlineStr">
        <is>
          <t>https://www.durham.ac.uk/colleges-and-student-experience/colleges/university/accommodation/</t>
        </is>
      </c>
    </row>
    <row r="57">
      <c r="A57" s="12" t="inlineStr">
        <is>
          <t>مسکن – Durham قیمت 25/26: catered £10,233/سال، self-catered £7,146–7,801 (۳۹ هفته)، سهم غذا £3,087</t>
        </is>
      </c>
      <c r="B57" s="35"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5"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5"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5"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5"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5" t="inlineStr">
        <is>
          <t>https://delta.tudelft.nl/en/article/kences-housing-shortage-remains-severe-delft-believes-it-has-found-a-solution</t>
        </is>
      </c>
    </row>
    <row r="63">
      <c r="A63" s="12" t="inlineStr">
        <is>
          <t>مسکن – Kamernet Q1 2025: Enschede ارزان‌ترین (€397)، Amsterdam گران‌ترین (€979)</t>
        </is>
      </c>
      <c r="B63" s="35"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5"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5" t="inlineStr">
        <is>
          <t>https://de.statista.com/statistik/daten/studie/1447630/umfrage/durchschnittsmiete-in-studierendenwerken/</t>
        </is>
      </c>
    </row>
    <row r="66">
      <c r="A66" s="12" t="inlineStr">
        <is>
          <t>مسکن – Teesside: قیمت‌های رسمی 2026/27 (Parkside £85، Woodlands £125، KES £155–160؛ ودیعه £150)</t>
        </is>
      </c>
      <c r="B66" s="35" t="inlineStr">
        <is>
          <t>https://www.tees.ac.uk/sections/accommodation/buildings/kes.cfm</t>
        </is>
      </c>
    </row>
    <row r="67">
      <c r="A67" s="12" t="inlineStr">
        <is>
          <t>مسکن – Essex Colchester: اجاره‌های رسمی 2026-27 (Meadows £168 حمام مشترک؛ en-suite £189–199)</t>
        </is>
      </c>
      <c r="B67" s="35" t="inlineStr">
        <is>
          <t>https://www.essex.ac.uk/life/accommodation/colchester/rent-charges</t>
        </is>
      </c>
    </row>
    <row r="68">
      <c r="A68" s="12" t="inlineStr">
        <is>
          <t>مسکن – Brunel Mill Hall از £179.97/هفته (2026/27)</t>
        </is>
      </c>
      <c r="B68" s="35" t="inlineStr">
        <is>
          <t>https://www.brunel.ac.uk/life/accommodation/residences/residence?id=bd97a78a-03f2-4ed9-bce8-146d2e3ad8fc</t>
        </is>
      </c>
    </row>
    <row r="69">
      <c r="A69" s="12" t="inlineStr">
        <is>
          <t>مسکن – Sheffield: اجاره‌های PG 2026/27 (Allen Court £194–209؛ ۴۲/۵۱ هفته)</t>
        </is>
      </c>
      <c r="B69" s="35" t="inlineStr">
        <is>
          <t>https://sheffield.ac.uk/accommodation/rents</t>
        </is>
      </c>
    </row>
    <row r="70">
      <c r="A70" s="12" t="inlineStr">
        <is>
          <t>مسکن – Lancaster: قیمت‌های 2026/27 (حمام مشترک £139–168، en-suite £203–206، استودیو £241، catered £276)</t>
        </is>
      </c>
      <c r="B70" s="35" t="inlineStr">
        <is>
          <t>https://features.lancaster-university.uk/accommodation/</t>
        </is>
      </c>
    </row>
    <row r="71">
      <c r="A71" s="12" t="inlineStr">
        <is>
          <t>مسکن – WOKO زوریخ: فهرست ساختمان‌ها و اجاره (CHF 295–1,180)</t>
        </is>
      </c>
      <c r="B71" s="35" t="inlineStr">
        <is>
          <t>https://www.woko.ch/unser-angebot/liegenschaften</t>
        </is>
      </c>
    </row>
    <row r="72">
      <c r="A72" s="12" t="inlineStr">
        <is>
          <t>Russell Group – فهرست رسمی ۲۴ عضو (۲۰ در انگلستان)</t>
        </is>
      </c>
      <c r="B72" s="35" t="inlineStr">
        <is>
          <t>https://russellgroup.ac.uk/about/our-universities/</t>
        </is>
      </c>
    </row>
    <row r="73">
      <c r="A73" s="12" t="inlineStr">
        <is>
          <t>انگلستان – Warwick: جدول رسمی تطبیق مدرک ایرانی (1st ۱۷/۲۰، 2:1 ۱۵/۲۰، 2:2 ۱۳/۲۰)</t>
        </is>
      </c>
      <c r="B73" s="35" t="inlineStr">
        <is>
          <t>https://warwick.ac.uk/study/international/countryinformation/middleeast/iran/</t>
        </is>
      </c>
    </row>
    <row r="74">
      <c r="A74" s="12" t="inlineStr">
        <is>
          <t>انگلستان – Durham MSc Advanced Computer Science: £34,500 (2026)؛ جدول ایران (2:1 = ۱۴–۱۶/۲۰؛ Ecctis)</t>
        </is>
      </c>
      <c r="B74" s="35" t="inlineStr">
        <is>
          <t>https://www.durham.ac.uk/study/courses/advanced-computer-science-g5t609/</t>
        </is>
      </c>
    </row>
    <row r="75">
      <c r="A75" s="12" t="inlineStr">
        <is>
          <t>انگلستان – KCL: جدول رسمی ایران (First ۱۸، high 2:1 ۱۷، 2:1 ۱۵، high 2:2 ۱۳ از ۲۰)؛ Advanced Computing high 2:1، £40,450 (2026)</t>
        </is>
      </c>
      <c r="B75" s="35" t="inlineStr">
        <is>
          <t>https://www.kcl.ac.uk/study-legacy/postgraduate/apply/entry-requirements/international</t>
        </is>
      </c>
    </row>
    <row r="76">
      <c r="A76" s="12" t="inlineStr">
        <is>
          <t>انگلستان – Imperial MSc Computing (AI &amp; ML): First-class؛ £46,000 (2026/27)</t>
        </is>
      </c>
      <c r="B76" s="35" t="inlineStr">
        <is>
          <t>https://www.imperial.ac.uk/study/courses/postgraduate-taught/computing-artificial-intelligence-msc/</t>
        </is>
      </c>
    </row>
    <row r="77">
      <c r="A77" s="12" t="inlineStr">
        <is>
          <t>انگلستان – UCL MSc Computer Science (تبدیلی): £42,700 (2026/27)، 2:1 در رشتهٔ غیر CS</t>
        </is>
      </c>
      <c r="B77" s="35" t="inlineStr">
        <is>
          <t>https://www.ucl.ac.uk/prospective-students/graduate/taught-degrees/computer-science-msc-2026</t>
        </is>
      </c>
    </row>
    <row r="78">
      <c r="A78" s="12" t="inlineStr">
        <is>
          <t>انگلستان – Bristol MSc Data Science: £37,900 (سپتامبر ۲۰۲۷)، strong 2:1 (۶۵٪)</t>
        </is>
      </c>
      <c r="B78" s="35" t="inlineStr">
        <is>
          <t>https://www.bristol.ac.uk/study/postgraduate/taught/msc-data-science/</t>
        </is>
      </c>
    </row>
    <row r="79">
      <c r="A79" s="12" t="inlineStr">
        <is>
          <t>انگلستان – Bristol صفحهٔ ایران: کارشناسی ۴ ساله با حداقل ۱۵/۲۰ از دانشگاه مورد تأیید</t>
        </is>
      </c>
      <c r="B79" s="35"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5"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5"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5"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5" t="inlineStr">
        <is>
          <t>https://liu.se/en/article/scholarships</t>
        </is>
      </c>
    </row>
    <row r="84">
      <c r="A84" s="12" t="inlineStr">
        <is>
          <t>بورس – Chalmers: بورس‌های شهریه‌پردازها (IPOET ۷۵٪ با حداقل معدل ۸۰٪، Avancez)</t>
        </is>
      </c>
      <c r="B84" s="35" t="inlineStr">
        <is>
          <t>https://www.chalmers.se/en/education/application-and-admission/scholarships-for-fee-paying-students/</t>
        </is>
      </c>
    </row>
    <row r="85">
      <c r="A85" s="12" t="inlineStr">
        <is>
          <t>بورس – Halmstad University Scholarship ۲۵٪/۵۰٪ برای غیر-EU (ثانویه؛ hh.se را چک کنید)</t>
        </is>
      </c>
      <c r="B85" s="35" t="inlineStr">
        <is>
          <t>https://www.mastersportal.com/scholarships/10077/halmstad-university-scholarships.html</t>
        </is>
      </c>
    </row>
    <row r="86">
      <c r="A86" s="12" t="inlineStr">
        <is>
          <t>بورس – MDU: بورس تا ۱۰۰٪ شهریه برای متقاضیان اولویت ۱ (ثانویه؛ mdu.se را چک کنید)</t>
        </is>
      </c>
      <c r="B86" s="35" t="inlineStr">
        <is>
          <t>https://daadscholarship.com/malardalen-university-scholarships-2026-to-study-for-free-in-sweden/</t>
        </is>
      </c>
    </row>
    <row r="87">
      <c r="A87" s="12" t="inlineStr">
        <is>
          <t>بورس – SI Scholarship for Global Professionals: ۳۴ کشور واجد شرایط — ایران نیست (رسمی)</t>
        </is>
      </c>
      <c r="B87" s="35"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5"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5" t="inlineStr">
        <is>
          <t>https://www.en.aau.dk/education/apply/master/finance-and-fees</t>
        </is>
      </c>
    </row>
    <row r="90">
      <c r="A90" s="12" t="inlineStr">
        <is>
          <t>بورس – ETH Excellence Scholarship &amp; Opportunity Programme: CHF 12,000/ترم + معافیت؛ ۱۰٪ بالای کلاس؛ ۱–۳۰ نوامبر</t>
        </is>
      </c>
      <c r="B90" s="35"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5" t="inlineStr">
        <is>
          <t>https://www.eco.usi.ch/en/feeds/9861</t>
        </is>
      </c>
    </row>
    <row r="92">
      <c r="A92" s="12" t="inlineStr">
        <is>
          <t>بورس – Essex Academic Excellence International Masters Scholarship: جدول کشوری (ایران ۱۴/۲۰ → £4,500؛ جدول ۲۰۲۵–۲۶)</t>
        </is>
      </c>
      <c r="B92" s="35" t="inlineStr">
        <is>
          <t>https://www.essex.ac.uk/scholarships</t>
        </is>
      </c>
    </row>
    <row r="93">
      <c r="A93" s="12" t="inlineStr">
        <is>
          <t>بورس – Teesside Global Excellence Scholarship £2,000 (پیشنهاد تا ۳۰ آوریل؛ رسمی)</t>
        </is>
      </c>
      <c r="B93" s="35" t="inlineStr">
        <is>
          <t>https://www.tees.ac.uk/sections/international/global_excellence_scholarship.cfm</t>
        </is>
      </c>
    </row>
    <row r="94">
      <c r="A94" s="12" t="inlineStr">
        <is>
          <t>بورس – Brunel Vice-Chancellor's Postgraduate International Excellence Award £6,000 (حداقل 2:1؛ ودیعهٔ £5,000)</t>
        </is>
      </c>
      <c r="B94" s="35" t="inlineStr">
        <is>
          <t>https://www.brunel.ac.uk/scholarships</t>
        </is>
      </c>
    </row>
    <row r="95">
      <c r="A95" s="12" t="inlineStr">
        <is>
          <t>بورس – Northumbria PGT International Scholarship £3,000: فهرست کشوری/ادامه‌تحصیلی‌های داخل UK — ایران نیست</t>
        </is>
      </c>
      <c r="B95" s="35"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5" t="inlineStr">
        <is>
          <t>https://www.chevening.org/resource-hub/guidance/eligibility/</t>
        </is>
      </c>
    </row>
    <row r="97">
      <c r="A97" s="12" t="inlineStr">
        <is>
          <t>بورس – Deutschlandstipendium €300/ماه (رسمی)</t>
        </is>
      </c>
      <c r="B97" s="35"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5" t="inlineStr">
        <is>
          <t>https://ethz.ch/en/studies/master/application/dates.html</t>
        </is>
      </c>
    </row>
    <row r="99">
      <c r="A99" s="12" t="inlineStr">
        <is>
          <t>سوئیس – EPFL: شهریه CHF 2,240/ترم برای خارجی‌های غیرمقیم از پاییز ۲۰۲۵ (CHF 780 برای بقیه)</t>
        </is>
      </c>
      <c r="B99" s="35" t="inlineStr">
        <is>
          <t>https://www.epfl.ch/education/studies/en/rules-and-procedures/study-taxes/tuition-fee-other-fees/</t>
        </is>
      </c>
    </row>
    <row r="100">
      <c r="A100" s="12" t="inlineStr">
        <is>
          <t>سوئیس – EPFL: پنجره‌های اپلای ارشد (۱۵ دسامبر / ۳۱ مارس؛ یک برنامه در سال)</t>
        </is>
      </c>
      <c r="B100" s="35" t="inlineStr">
        <is>
          <t>https://www.epfl.ch/education/admission/admission-2/master-admission-criteria-application/online-application/</t>
        </is>
      </c>
    </row>
    <row r="101">
      <c r="A101" s="12" t="inlineStr">
        <is>
          <t>سوئیس – UZH: شهریه CHF 720 + 100 (خارجی، ارشد) + 59؛ هزینهٔ درخواست CHF 150</t>
        </is>
      </c>
      <c r="B101" s="35" t="inlineStr">
        <is>
          <t>https://www.uzh.ch/en/studies/application/fees.html</t>
        </is>
      </c>
    </row>
    <row r="102">
      <c r="A102" s="12" t="inlineStr">
        <is>
          <t>سوئیس – UZH: مهلت ویزایی‌ها ۲۸ فوریه / بدون ویزا ۳۰ آوریل (پاییز)</t>
        </is>
      </c>
      <c r="B102" s="35" t="inlineStr">
        <is>
          <t>https://www.oec.uzh.ch/en/studies/general/admission/master/faq-master-admission.html</t>
        </is>
      </c>
    </row>
    <row r="103">
      <c r="A103" s="12" t="inlineStr">
        <is>
          <t>سوئیس – USI MSc Informatics: CHF 4,000/ترم غیرمقیم، B2 در ورود → C1، مهلت غیر-EU ۳۰ آوریل</t>
        </is>
      </c>
      <c r="B103" s="35" t="inlineStr">
        <is>
          <t>https://www.usi.ch/en/education/master/informatics</t>
        </is>
      </c>
    </row>
    <row r="104">
      <c r="A104" s="12" t="inlineStr">
        <is>
          <t>سوئیس – USI MSc Artificial Intelligence: CHF 4,000/ترم، IELTS 6.5</t>
        </is>
      </c>
      <c r="B104" s="35"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5"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5" t="inlineStr">
        <is>
          <t>https://www.zhaw.ch/en/engineering/study/masters-degree-programme</t>
        </is>
      </c>
    </row>
    <row r="107">
      <c r="A107" s="12" t="inlineStr">
        <is>
          <t>سوئیس – HSLU MSc Applied Information &amp; Data Science: C1 (B2 مشروط)، آلمانی لازم نیست، هر کارشناسی</t>
        </is>
      </c>
      <c r="B107" s="35"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5"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5"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5" t="inlineStr">
        <is>
          <t>https://mcs.unibnf.ch/faq/</t>
        </is>
      </c>
    </row>
    <row r="111">
      <c r="A111" s="12" t="inlineStr">
        <is>
          <t>سوئیس – Neuchâtel شهریهٔ خارجی‌ها CHF 790/ترم (رسمی)</t>
        </is>
      </c>
      <c r="B111" s="35" t="inlineStr">
        <is>
          <t>https://www.unine.ch/admission/taxes-universitaires/</t>
        </is>
      </c>
    </row>
    <row r="112">
      <c r="A112" s="12" t="inlineStr">
        <is>
          <t>سوئیس – Neuchâtel مهلت ارشد ۳۰ آوریل؛ خارجی‌ها یک ماه زودتر؛ هزینهٔ پرونده CHF 100 (رسمی)</t>
        </is>
      </c>
      <c r="B112" s="35" t="inlineStr">
        <is>
          <t>https://www.unine.ch/admission/admission-master/delais-et-frais-dinscription-pour-les-masters/</t>
        </is>
      </c>
    </row>
    <row r="113">
      <c r="A113" s="12" t="inlineStr">
        <is>
          <t>سوئیس – Fribourg شهریهٔ خارجی‌ها CHF 870 + 115 = 985/ترم (رسمی)</t>
        </is>
      </c>
      <c r="B113" s="35"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5" t="inlineStr">
        <is>
          <t>https://www.unifr.ch/studies/en/admission/admission-master/admission-master-foreign.html</t>
        </is>
      </c>
    </row>
    <row r="115">
      <c r="A115" s="12" t="inlineStr">
        <is>
          <t>سوئیس – Basel MSc CS: 90 ECTS، انگلیسی، مهلت ۳۰ آوریل / ۳۰ نوامبر (رسمی)</t>
        </is>
      </c>
      <c r="B115" s="35" t="inlineStr">
        <is>
          <t>https://dmi.unibas.ch/en/studies/computer-science/masters/</t>
        </is>
      </c>
    </row>
    <row r="116">
      <c r="A116" s="12" t="inlineStr">
        <is>
          <t>سوئیس – Basel شهریه CHF 850/ترم برای همه + CHF 100 هزینهٔ درخواست (Uni Info 2026/27)</t>
        </is>
      </c>
      <c r="B116" s="35"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5"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5" t="inlineStr">
        <is>
          <t>https://www.usi.ch/en/education/master/informatics/application</t>
        </is>
      </c>
    </row>
    <row r="119">
      <c r="A119" s="12" t="inlineStr">
        <is>
          <t>سوئیس – SEM FAQ: ۶ ماه جست‌وجوی کار برای فارغ‌التحصیلان؛ اولویت داخلی/EU؛ سهمیه</t>
        </is>
      </c>
      <c r="B119" s="35" t="inlineStr">
        <is>
          <t>https://www.sem.admin.ch/sem/en/home/themen/arbeit/faq.html</t>
        </is>
      </c>
    </row>
    <row r="120">
      <c r="A120" s="12" t="inlineStr">
        <is>
          <t>سوئیس – سهمیهٔ ۲۰۲۶ اتباع غیر-EU: ۴,۵۰۰ B + ۴,۰۰۰ L؛ شرایط FNIA</t>
        </is>
      </c>
      <c r="B120" s="35" t="inlineStr">
        <is>
          <t>https://goldblum.ch/knowledgebase/residence-permit-in-switzerland-obtain/</t>
        </is>
      </c>
    </row>
    <row r="121">
      <c r="A121" s="12" t="inlineStr">
        <is>
          <t>سوئیس – Art. 21(3) FNIA: معافیت از آزمون بازار کار ولی نه از سهمیه؛ طرح 22.067 اجرا نشده</t>
        </is>
      </c>
      <c r="B121" s="35" t="inlineStr">
        <is>
          <t>https://vshcherbakov.com/2025/06/26/Path-to-working-permit-for-Swiss-graduates/</t>
        </is>
      </c>
    </row>
    <row r="122">
      <c r="A122" s="12" t="inlineStr">
        <is>
          <t>سوئیس – اقامت تحصیلی ۲۰۲۶: CHF 21,000/سال، ۱۵ ساعت کار بعد از ۶ ماه، پردازش ۸–۱۲ هفته</t>
        </is>
      </c>
      <c r="B122" s="35"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5" t="inlineStr">
        <is>
          <t>https://www.zhaw.ch/storage/sml/master/msc-bf-pie-information-for-international-students.pdf</t>
        </is>
      </c>
    </row>
    <row r="124">
      <c r="A124" s="12" t="inlineStr">
        <is>
          <t>سوئیس – تفاوت کانتون‌ها: Basel CHF 24,000؛ زوریخ حساب سوئیسی</t>
        </is>
      </c>
      <c r="B124" s="35" t="inlineStr">
        <is>
          <t>https://gradpilot.com/news/switzerland-student-visa-motivation-letter-canton-guide</t>
        </is>
      </c>
    </row>
    <row r="125">
      <c r="A125" s="12" t="inlineStr">
        <is>
          <t>سوئیس – اجازهٔ C: ۱۰ سال برای اتباع کشور ثالث، A2 شفاهی/A1 کتبی؛ ۵ سال با B1</t>
        </is>
      </c>
      <c r="B125" s="35" t="inlineStr">
        <is>
          <t>https://relofinder.ch/blog/swiss-c-permit-permanent-residence-2026-guide/</t>
        </is>
      </c>
    </row>
    <row r="126">
      <c r="A126" s="12" t="inlineStr">
        <is>
          <t>سوئیس – اجازهٔ C: احتساب سال‌های تحصیل و شرایط ادغام</t>
        </is>
      </c>
      <c r="B126" s="35"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5" t="inlineStr">
        <is>
          <t>https://www.eda.admin.ch/countries/iran/en/home.html</t>
        </is>
      </c>
    </row>
    <row r="128">
      <c r="A128" s="12" t="inlineStr">
        <is>
          <t>سوئیس – حقوق مهندس نرم‌افزار ۲۰۲۶ (جونیور CHF 85–105k؛ خالص زوریخ)</t>
        </is>
      </c>
      <c r="B128" s="35" t="inlineStr">
        <is>
          <t>https://whatisthesalary.com/it-salaries/software-engineer-salary-in-switzerland/</t>
        </is>
      </c>
    </row>
    <row r="129">
      <c r="A129" s="12" t="inlineStr">
        <is>
          <t>سوئیس – Glassdoor: میانهٔ Junior Software Engineer زوریخ CHF 92k</t>
        </is>
      </c>
      <c r="B129" s="35" t="inlineStr">
        <is>
          <t>https://www.glassdoor.com/Salaries/z%C3%BCrich-junior-software-engineer-salary-SRCH_IL.0,6_IC3297851_KO7,31.htm</t>
        </is>
      </c>
    </row>
    <row r="130">
      <c r="A130" s="12" t="inlineStr">
        <is>
          <t>سوئیس – بازهٔ حقوق زوریخ ۲۰۲۶ بر اساس نوع کارفرما</t>
        </is>
      </c>
      <c r="B130" s="35" t="inlineStr">
        <is>
          <t>https://upreer.ch/en/salaries/software-engineer-salary-zurich/</t>
        </is>
      </c>
    </row>
    <row r="131">
      <c r="A131" s="12" t="inlineStr">
        <is>
          <t>سوئیس – هزینهٔ زندگی زوریخ CHF 2,000–2,200/ماه (UZH)</t>
        </is>
      </c>
      <c r="B131" s="35" t="inlineStr">
        <is>
          <t>https://www.msfinance.uzh.ch/en/studyinginzurich/accommodation.html</t>
        </is>
      </c>
    </row>
    <row r="132">
      <c r="A132" s="12" t="inlineStr">
        <is>
          <t>سوئیس – QS 2027: ETH 8، EPFL 22، UZH 98، Basel 150، Bern 191، USI 456، Fribourg 670، ZHAW 851–900</t>
        </is>
      </c>
      <c r="B132" s="35" t="inlineStr">
        <is>
          <t>https://www.iamexpat.ch/education/education-news/eth-zurich-makes-top-universities-world</t>
        </is>
      </c>
    </row>
    <row r="133">
      <c r="A133" s="12" t="inlineStr">
        <is>
          <t>سوئیس – رد ابتکار «سوئیس ۱۰ میلیونی» SVP در ۱۴ ژوئن ۲۰۲۶ (۵۴.۸٪ نه)</t>
        </is>
      </c>
      <c r="B133" s="35"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5" t="inlineStr">
        <is>
          <t>https://www.efd.admin.ch/de/entlastungspaket-27</t>
        </is>
      </c>
    </row>
    <row r="135">
      <c r="A135" s="12" t="inlineStr">
        <is>
          <t>سوئیس – بازار IT ۲۰۲۶: استخدام گزینشی‌تر، بیکاری ≈ ۳.۲٪، کمبود ساختاری ICT</t>
        </is>
      </c>
      <c r="B135" s="35" t="inlineStr">
        <is>
          <t>https://capiwell.ch/swiss-it-labour-market-2026-specialised-skills-slower-growth-and-new-openings-for-start-ups/</t>
        </is>
      </c>
    </row>
    <row r="136">
      <c r="A136" s="12" t="inlineStr">
        <is>
          <t>نرخ CHF/USD ۲۷ سپتامبر ۲۰۲۶ (1.207)</t>
        </is>
      </c>
      <c r="B136" s="35" t="inlineStr">
        <is>
          <t>https://www.xe.com/en-us/currencyconverter/convert/?Amount=1&amp;From=CHF&amp;To=USD</t>
        </is>
      </c>
    </row>
    <row r="137">
      <c r="A137" s="12" t="inlineStr">
        <is>
          <t>بریتانیا – Graduate visa ۱۸ ماه (از ژانویه ۲۰۲۷)</t>
        </is>
      </c>
      <c r="B137" s="35" t="inlineStr">
        <is>
          <t>https://students.leeds.ac.uk/visa-information-after-studies/doc/graduate-visas</t>
        </is>
      </c>
    </row>
    <row r="138">
      <c r="A138" s="12" t="inlineStr">
        <is>
          <t>بریتانیا – HC 584 (۳ سپتامبر ۲۰۲۶): تمکن £1,570 / £1,203 از ۳۰ نوامبر ۲۰۲۶</t>
        </is>
      </c>
      <c r="B138" s="35" t="inlineStr">
        <is>
          <t>https://www.gov.uk/government/publications/statement-of-changes-to-the-immigration-rules-hc-584-3-september-2026</t>
        </is>
      </c>
    </row>
    <row r="139">
      <c r="A139" s="12" t="inlineStr">
        <is>
          <t>بریتانیا – Skilled Worker نرخ شغل SOC 2134 £54,700</t>
        </is>
      </c>
      <c r="B139" s="35" t="inlineStr">
        <is>
          <t>https://withrowan.co.uk/guides/skilled-worker-software-engineers</t>
        </is>
      </c>
    </row>
    <row r="140">
      <c r="A140" s="12" t="inlineStr">
        <is>
          <t>بریتانیا – Earned Settlement (وضعیت سپتامبر ۲۰۲۶)</t>
        </is>
      </c>
      <c r="B140" s="35" t="inlineStr">
        <is>
          <t>https://www.ukimmigration.law/earned-settlement-ilr-uk-plans/</t>
        </is>
      </c>
    </row>
    <row r="141">
      <c r="A141" s="12" t="inlineStr">
        <is>
          <t>انگلستان – Teesside MSc Computer Science 2026-27: £17,000، 2:2، IELTS 6.0</t>
        </is>
      </c>
      <c r="B141" s="35" t="inlineStr">
        <is>
          <t>https://www.tees.ac.uk/postgraduate_courses/computing_&amp;_cyber_security/msc_computer_science.cfm</t>
        </is>
      </c>
    </row>
    <row r="142">
      <c r="A142" s="12" t="inlineStr">
        <is>
          <t>انگلستان – Northumbria MSc Advanced Computer Science 2026/27: £21,500، 2:2</t>
        </is>
      </c>
      <c r="B142" s="35" t="inlineStr">
        <is>
          <t>https://www.northumbria.ac.uk/study-at-northumbria/courses/msc-advanced-computer-science-dtfava6/</t>
        </is>
      </c>
    </row>
    <row r="143">
      <c r="A143" s="12" t="inlineStr">
        <is>
          <t>انگلستان – Leicester MSc Advanced Computer Science سپتامبر ۲۰۲۶: £24,250، 2:1</t>
        </is>
      </c>
      <c r="B143" s="35" t="inlineStr">
        <is>
          <t>https://le.ac.uk/courses/advanced-computer-science-msc/2026</t>
        </is>
      </c>
    </row>
    <row r="144">
      <c r="A144" s="12" t="inlineStr">
        <is>
          <t>انگلستان – Essex MSc Advanced Computer Science 2026: £24,675، 2:2 (شامل Computer Engineering)</t>
        </is>
      </c>
      <c r="B144" s="35" t="inlineStr">
        <is>
          <t>https://www.essex.ac.uk/courses/pg00435/1/msc-advanced-computer-science</t>
        </is>
      </c>
    </row>
    <row r="145">
      <c r="A145" s="12" t="inlineStr">
        <is>
          <t>انگلستان – York MSc Advanced Computer Science 2026/27: £32,900، 2:2، IELTS 6.5</t>
        </is>
      </c>
      <c r="B145" s="35" t="inlineStr">
        <is>
          <t>https://www.york.ac.uk/study/postgraduate-taught/courses/msc-advanced-computer-science/</t>
        </is>
      </c>
    </row>
    <row r="146">
      <c r="A146" s="12" t="inlineStr">
        <is>
          <t>انگلستان – Chester MSc Advanced Computer Science 2026/27: £15,500 (کف قیمت انگلستان)</t>
        </is>
      </c>
      <c r="B146" s="35" t="inlineStr">
        <is>
          <t>https://www.chester.ac.uk/study/course-search/advanced-computer-science-msc/</t>
        </is>
      </c>
    </row>
    <row r="147">
      <c r="A147" s="12" t="inlineStr">
        <is>
          <t>بریتانیا – Brunel MSc AI 2026/27 £24,795</t>
        </is>
      </c>
      <c r="B147" s="35" t="inlineStr">
        <is>
          <t>https://www.brunel.ac.uk/study/courses/artificial-intelligence-msc</t>
        </is>
      </c>
    </row>
    <row r="148">
      <c r="A148" s="12" t="inlineStr">
        <is>
          <t>بریتانیا – عوارض £925 به ازای هر دانشجوی بین‌المللی (انگلستان، از 2028-29)</t>
        </is>
      </c>
      <c r="B148" s="35" t="inlineStr">
        <is>
          <t>https://www.researchprofessionalnews.com/rr-news-uk-politics-2025-11-international-levy-to-be-flat-fee-of-925-per-student/</t>
        </is>
      </c>
    </row>
    <row r="149">
      <c r="A149" s="12" t="inlineStr">
        <is>
          <t>بریتانیا – وضعیت VAC تهران</t>
        </is>
      </c>
      <c r="B149" s="35" t="inlineStr">
        <is>
          <t>https://livingintehran.com/2026/02/03/tehran-diplomatic-update-recent-embassy-reopenings-current-status-feb-2026/</t>
        </is>
      </c>
    </row>
    <row r="150">
      <c r="A150" s="12" t="inlineStr">
        <is>
          <t>QS WUR 2027 – TU Dresden</t>
        </is>
      </c>
      <c r="B150" s="35" t="inlineStr">
        <is>
          <t>https://tu-dresden.de/tu-dresden/newsportal/news/qs-ranking-2027-tud-gehoert-erneut-zu-den-zehn-besten-universitaeten-deutschlands-und-baut-internationalen-erfolg-weiter-aus</t>
        </is>
      </c>
    </row>
    <row r="151">
      <c r="A151" s="12" t="inlineStr">
        <is>
          <t>QS WUR 2027 – Stuttgart</t>
        </is>
      </c>
      <c r="B151" s="35" t="inlineStr">
        <is>
          <t>https://www.uni-stuttgart.de/en/university/news/all/QS-World-University-Rankings-2027-The-University-of-Stuttgart-is-recognized-for-its-strong-research-performance-and-commitment-to-sustainability/</t>
        </is>
      </c>
    </row>
    <row r="152">
      <c r="A152" s="12" t="inlineStr">
        <is>
          <t>QS WUR 2027 – Newcastle 149</t>
        </is>
      </c>
      <c r="B152" s="35" t="inlineStr">
        <is>
          <t>https://www.ncl.ac.uk/press/articles/latest/2026/06/qs2027/</t>
        </is>
      </c>
    </row>
    <row r="153">
      <c r="A153" s="12" t="inlineStr">
        <is>
          <t>QS WUR 2027 – York =158</t>
        </is>
      </c>
      <c r="B153" s="35" t="inlineStr">
        <is>
          <t>https://www.york.ac.uk/about/rankings/</t>
        </is>
      </c>
    </row>
    <row r="154">
      <c r="A154" s="12" t="inlineStr">
        <is>
          <t>QS WUR 2027 – Leicester =314</t>
        </is>
      </c>
      <c r="B154" s="35" t="inlineStr">
        <is>
          <t>https://www.topuniversities.com/universities/university-leicester</t>
        </is>
      </c>
    </row>
    <row r="155">
      <c r="A155" s="12" t="inlineStr">
        <is>
          <t>QS WUR 2027 – Essex =438</t>
        </is>
      </c>
      <c r="B155" s="35" t="inlineStr">
        <is>
          <t>https://www.topuniversities.com/universities/essex-university</t>
        </is>
      </c>
    </row>
    <row r="156">
      <c r="A156" s="12" t="inlineStr">
        <is>
          <t>QS WUR 2027 – Northumbria =528</t>
        </is>
      </c>
      <c r="B156" s="35" t="inlineStr">
        <is>
          <t>https://www.topuniversities.com/universities/northumbria-university-newcastle</t>
        </is>
      </c>
    </row>
    <row r="157">
      <c r="A157" s="12" t="inlineStr">
        <is>
          <t>QS WUR 2027 – Brunel</t>
        </is>
      </c>
      <c r="B157" s="35" t="inlineStr">
        <is>
          <t>https://students.brunel.ac.uk/campus-news/brunel-climbs-global-qs-rankings-after-strong-year-for-research-and-graduate-outcomes</t>
        </is>
      </c>
    </row>
    <row r="158">
      <c r="A158" s="12" t="inlineStr">
        <is>
          <t>QS WUR 2027 – سایر</t>
        </is>
      </c>
      <c r="B158" s="35" t="inlineStr">
        <is>
          <t>https://www.topuniversities.com/world-university-rankings</t>
        </is>
      </c>
    </row>
    <row r="159">
      <c r="A159" s="12" t="inlineStr">
        <is>
          <t>حداقل دستمزد ۲۰۲۶ هلند (€14.71)</t>
        </is>
      </c>
      <c r="B159" s="35" t="inlineStr">
        <is>
          <t>https://arlettipartners.com/new-increase-in-the-dutch-minimum-hourly-wage-from-january-1st-2026/</t>
        </is>
      </c>
    </row>
    <row r="160">
      <c r="A160" s="12" t="inlineStr">
        <is>
          <t>نرخ ارز (xe.com، ۲۷ سپتامبر ۲۰۲۶)</t>
        </is>
      </c>
      <c r="B160" s="35" t="inlineStr">
        <is>
          <t>https://www.xe.com/</t>
        </is>
      </c>
    </row>
    <row r="161">
      <c r="A161" s="12" t="inlineStr">
        <is>
          <t>بازار کار – LinkedIn/WEF ژانویه ۲۰۲۶: ۱.۳ میلیون شغل جدید AI؛ AI Engineer سریع‌ترین‌رشد</t>
        </is>
      </c>
      <c r="B161" s="35"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5"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5" t="inlineStr">
        <is>
          <t>https://www.isc2.org/research</t>
        </is>
      </c>
    </row>
    <row r="164">
      <c r="A164" s="12" t="inlineStr">
        <is>
          <t>بازار کار – اخراج‌های صنعت بازی ۲۰۲۲–۲۰۲۶ (≈۴۵ هزار؛ افت حقوق Unity)</t>
        </is>
      </c>
      <c r="B164" s="35" t="inlineStr">
        <is>
          <t>https://en.wikipedia.org/wiki/2022%E2%80%932026_video_game_industry_layoffs</t>
        </is>
      </c>
    </row>
    <row r="165">
      <c r="A165" s="12" t="inlineStr">
        <is>
          <t>بازار کار – آگهی‌های UX/UXR (Indeed تا Q4 2025)</t>
        </is>
      </c>
      <c r="B165" s="35" t="inlineStr">
        <is>
          <t>https://www.thevoiceofuser.com/everyone-knows-the-uxr-hiring-market-is-bad-how-bad-is-it-though/</t>
        </is>
      </c>
    </row>
    <row r="166">
      <c r="A166" s="12" t="inlineStr">
        <is>
          <t>بازار کار – اشباع جونیور علم داده ۲۰۲۶</t>
        </is>
      </c>
      <c r="B166" s="35" t="inlineStr">
        <is>
          <t>https://research.com/advice/are-too-many-students-choosing-data-science-oversaturation-competition-hiring-reality</t>
        </is>
      </c>
    </row>
    <row r="167">
      <c r="A167" s="12" t="inlineStr">
        <is>
          <t>آلمان – Saarland MSc Cybersecurity (C1، بدون شهریه)</t>
        </is>
      </c>
      <c r="B167" s="35" t="inlineStr">
        <is>
          <t>https://www.uni-saarland.de/en/study/programmes/master/cybersecurity.html</t>
        </is>
      </c>
    </row>
    <row r="168">
      <c r="A168" s="12" t="inlineStr">
        <is>
          <t>آلمان – Passau MSc AI Engineering (B2، معدل ≤ 2.7، A1 آلمانی سال اول)</t>
        </is>
      </c>
      <c r="B168" s="35" t="inlineStr">
        <is>
          <t>https://www.uni-passau.de/en/msc-ai-eng</t>
        </is>
      </c>
    </row>
    <row r="169">
      <c r="A169" s="12" t="inlineStr">
        <is>
          <t>آلمان – Cologne Game Lab MA Game Development &amp; Research (€2,500/ترم غیر-EU)</t>
        </is>
      </c>
      <c r="B169" s="35" t="inlineStr">
        <is>
          <t>https://colognegamelab.de/study-programs/post-graduate-programs/game-development-research-ma/faqs/</t>
        </is>
      </c>
    </row>
    <row r="170">
      <c r="A170" s="12" t="inlineStr">
        <is>
          <t>آلمان – Siegen MSc HCI (DAAD)</t>
        </is>
      </c>
      <c r="B170" s="35" t="inlineStr">
        <is>
          <t>https://www2.daad.de/deutschland/studienangebote/international-programmes/en/detail/4686/</t>
        </is>
      </c>
    </row>
    <row r="171">
      <c r="A171" s="12" t="inlineStr">
        <is>
          <t>آلمان – H-BRS MSc Autonomous Systems (B2+)</t>
        </is>
      </c>
      <c r="B171" s="35" t="inlineStr">
        <is>
          <t>https://www.h-brs.de/en/inf/admission-application-master-autonomous-systems</t>
        </is>
      </c>
    </row>
    <row r="172">
      <c r="A172" s="12" t="inlineStr">
        <is>
          <t>آلمان – RWTH MSc Software Systems Engineering</t>
        </is>
      </c>
      <c r="B172" s="35" t="inlineStr">
        <is>
          <t>https://sc.informatik.rwth-aachen.de/en/studium/master/sse/</t>
        </is>
      </c>
    </row>
    <row r="173">
      <c r="A173" s="12" t="inlineStr">
        <is>
          <t>آلمان – Tübingen MSc Machine Learning (IELTS 7، €1,500/ترم)</t>
        </is>
      </c>
      <c r="B173" s="35"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5" t="inlineStr">
        <is>
          <t>https://www.tum.de/en/studies/degree-programs/detail/informatics-master-of-science-msc</t>
        </is>
      </c>
    </row>
    <row r="175">
      <c r="A175" s="12" t="inlineStr">
        <is>
          <t>آلمان – FAU Autonomy Technologies (B2، IELTS 6.0)</t>
        </is>
      </c>
      <c r="B175" s="35" t="inlineStr">
        <is>
          <t>https://www.fau.eu/degree-program/autonomy-technologies-m-sc/</t>
        </is>
      </c>
    </row>
    <row r="176">
      <c r="A176" s="12" t="inlineStr">
        <is>
          <t>هلند – Twente Embedded Systems 2026/27: €21,700</t>
        </is>
      </c>
      <c r="B176" s="35" t="inlineStr">
        <is>
          <t>https://www.utwente.nl/en/education/master/programmes/embedded-systems/finance/</t>
        </is>
      </c>
    </row>
    <row r="177">
      <c r="A177" s="12" t="inlineStr">
        <is>
          <t>هلند – Leiden CS 2026/27: €22,500</t>
        </is>
      </c>
      <c r="B177" s="35" t="inlineStr">
        <is>
          <t>https://www.universiteitleiden.nl/en/education/study-programmes/master/computer-science/artificial-intelligence/admission-and-application/tuition-fees</t>
        </is>
      </c>
    </row>
    <row r="178">
      <c r="A178" s="12" t="inlineStr">
        <is>
          <t>هلند – Groningen AI 2026/27: €24,900</t>
        </is>
      </c>
      <c r="B178" s="35" t="inlineStr">
        <is>
          <t>https://www.rug.nl/masters/artificial-intelligence/?lang=en</t>
        </is>
      </c>
    </row>
    <row r="179">
      <c r="A179" s="12" t="inlineStr">
        <is>
          <t>هلند – Utrecht Game &amp; Media Technology 2026/27: €25,306</t>
        </is>
      </c>
      <c r="B179" s="35" t="inlineStr">
        <is>
          <t>https://www.uu.nl/en/masters/game-and-media-technology</t>
        </is>
      </c>
    </row>
    <row r="180">
      <c r="A180" s="12" t="inlineStr">
        <is>
          <t>هلند – QS 2027 فهرست دانشگاه‌های هلند</t>
        </is>
      </c>
      <c r="B180" s="35" t="inlineStr">
        <is>
          <t>https://dub.uu.nl/en/news/dutch-universities-fall-global-qs-rankings</t>
        </is>
      </c>
    </row>
    <row r="181">
      <c r="A181" s="12" t="inlineStr">
        <is>
          <t>سوئد – Gothenburg Game Design &amp; Technology: SEK 290,000 کل</t>
        </is>
      </c>
      <c r="B181" s="35"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5" t="inlineStr">
        <is>
          <t>https://www.kth.se/en/studies/master/machine-learning</t>
        </is>
      </c>
    </row>
    <row r="183">
      <c r="A183" s="12" t="inlineStr">
        <is>
          <t>سوئد – Umeå AI: SEK 152,300</t>
        </is>
      </c>
      <c r="B183" s="35" t="inlineStr">
        <is>
          <t>https://www.umu.se/en/education/master/masters-programme-in-artificial-intelligence/</t>
        </is>
      </c>
    </row>
    <row r="184">
      <c r="A184" s="12" t="inlineStr">
        <is>
          <t>سوئد – QS 2027 فهرست دانشگاه‌های سوئد</t>
        </is>
      </c>
      <c r="B184" s="35" t="inlineStr">
        <is>
          <t>https://www.study.eu/best-universities/sweden</t>
        </is>
      </c>
    </row>
    <row r="185">
      <c r="A185" s="12" t="inlineStr">
        <is>
          <t>دانمارک – ITU شهریهٔ رسمی ورودی ۲۰۲۶: €8,250 در ترم = €16,500 در سال (رقم قدیمی €6,700 منسوخ)</t>
        </is>
      </c>
      <c r="B185" s="35" t="inlineStr">
        <is>
          <t>https://en.itu.dk/Programmes/MSc-Programmes/Applying-to-a-MSc-programme/Non-EU-EOES</t>
        </is>
      </c>
    </row>
    <row r="186">
      <c r="A186" s="12" t="inlineStr">
        <is>
          <t>دانمارک – AAU Cyber Security / Medialogy €7,455 در ترم</t>
        </is>
      </c>
      <c r="B186" s="35" t="inlineStr">
        <is>
          <t>https://studyindenmark.dk/portal/aalborg-university-aau/copenhagen/cyber-security-msc-in-engineering</t>
        </is>
      </c>
    </row>
    <row r="187">
      <c r="A187" s="12" t="inlineStr">
        <is>
          <t>دانمارک – DTU €15,000 (Human-Centered AI / Autonomous Systems)</t>
        </is>
      </c>
      <c r="B187" s="35" t="inlineStr">
        <is>
          <t>https://www.dtu.dk/english/education/graduate/msc-programmes/autonomous-systems/prerequisites</t>
        </is>
      </c>
    </row>
    <row r="188">
      <c r="A188" s="12" t="inlineStr">
        <is>
          <t>دانمارک – Aarhus CS €17,300</t>
        </is>
      </c>
      <c r="B188" s="35" t="inlineStr">
        <is>
          <t>https://masters.au.dk/computerscience</t>
        </is>
      </c>
    </row>
    <row r="189">
      <c r="A189" s="12" t="inlineStr">
        <is>
          <t>دانمارک – QS 2027 فهرست دانشگاه‌های دانمارک</t>
        </is>
      </c>
      <c r="B189" s="35" t="inlineStr">
        <is>
          <t>https://leapscholar.com/blog/top-universities-in-denmark/</t>
        </is>
      </c>
    </row>
    <row r="190">
      <c r="A190" s="12" t="inlineStr">
        <is>
          <t>انگلستان – Goldsmiths MSc Computer Games Programming £22,000</t>
        </is>
      </c>
      <c r="B190" s="35" t="inlineStr">
        <is>
          <t>https://www.gold.ac.uk/pg/msc-computer-games-programming/</t>
        </is>
      </c>
    </row>
    <row r="191">
      <c r="A191" s="12" t="inlineStr">
        <is>
          <t>انگلستان – Royal Holloway MSc Information &amp; Cyber Security £25,500</t>
        </is>
      </c>
      <c r="B191" s="35" t="inlineStr">
        <is>
          <t>https://www.royalholloway.ac.uk/studying-here/postgraduate/information-security/information-and-cyber-security/</t>
        </is>
      </c>
    </row>
    <row r="192">
      <c r="A192" s="12" t="inlineStr">
        <is>
          <t>انگلستان – Kent MSc Cyber Security (NCSC)</t>
        </is>
      </c>
      <c r="B192" s="35" t="inlineStr">
        <is>
          <t>https://www.kent.ac.uk/courses/postgraduate/1225/cyber-security</t>
        </is>
      </c>
    </row>
    <row r="193">
      <c r="A193" s="12" t="inlineStr">
        <is>
          <t>انگلستان – MMU MSc Cyber Security £21,000</t>
        </is>
      </c>
      <c r="B193" s="35" t="inlineStr">
        <is>
          <t>https://www.mmu.ac.uk/study/postgraduate/course/msc-cyber-security</t>
        </is>
      </c>
    </row>
    <row r="194">
      <c r="A194" s="12" t="inlineStr">
        <is>
          <t>انگلستان – York MSc Human-Centred Interactive Technologies £32,900</t>
        </is>
      </c>
      <c r="B194" s="35" t="inlineStr">
        <is>
          <t>https://www.york.ac.uk/study/postgraduate-taught/courses/msc-human-centred-interactive-technologies/</t>
        </is>
      </c>
    </row>
    <row r="195">
      <c r="A195" s="12" t="inlineStr">
        <is>
          <t>انگلستان – Lancaster MSc Cyber Security £30,000</t>
        </is>
      </c>
      <c r="B195" s="35" t="inlineStr">
        <is>
          <t>https://www.lancaster.ac.uk/study/postgraduate/postgraduate-courses/cyber-security-msc/2026/</t>
        </is>
      </c>
    </row>
    <row r="196">
      <c r="A196" s="12" t="inlineStr">
        <is>
          <t>انگلستان – NTU QS 2027 =639</t>
        </is>
      </c>
      <c r="B196" s="35" t="inlineStr">
        <is>
          <t>https://collegedunia.com/uk/university/862-nottingham-trent-university-nottingham/ranking</t>
        </is>
      </c>
    </row>
    <row r="197">
      <c r="A197" s="12" t="inlineStr">
        <is>
          <t>آلمان – FAU: شهریهٔ غیر-EU از ترم تابستان ۲۰۲۷ (AI/CS €4,000، Autonomy Tech €2,000 در ترم؛ BayHIG §13)</t>
        </is>
      </c>
      <c r="B197" s="35"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5" t="inlineStr">
        <is>
          <t>https://www.uni-passau.de/en/study/news/news/no-tuition-fees-for-international-students-at-the-university-of-passau</t>
        </is>
      </c>
    </row>
    <row r="199">
      <c r="A199" s="12" t="inlineStr">
        <is>
          <t>دانمارک – Aarhus نرخ رسمی 2026/27: Computer Science / Data Science / Computer Engineering €17,300</t>
        </is>
      </c>
      <c r="B199" s="35" t="inlineStr">
        <is>
          <t>https://masters.au.dk/tuitionfees/current-tuition-fee-rates</t>
        </is>
      </c>
    </row>
    <row r="200">
      <c r="A200" s="12" t="inlineStr">
        <is>
          <t>دانمارک – AAU Computer Science (IT): شرط رسمی ≥ ۱۵۰ ECTS دروس CS؛ معیار رتبه‌بندی ۲۰۲۷ شامل سابقهٔ کار</t>
        </is>
      </c>
      <c r="B200" s="35" t="inlineStr">
        <is>
          <t>https://www.en.aau.dk/education/master/computer-science-it</t>
        </is>
      </c>
    </row>
    <row r="201">
      <c r="A201" s="12" t="inlineStr">
        <is>
          <t>سوئد – Chalmers شهریهٔ استاندارد 2026/27 ≈ SEK 175,000 (collegedunia به نقل از صفحهٔ شهریهٔ Chalmers)</t>
        </is>
      </c>
      <c r="B201" s="35"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5" t="inlineStr">
        <is>
          <t>https://www.surrey.ac.uk/postgraduate/cyber-security-msc</t>
        </is>
      </c>
    </row>
    <row r="203">
      <c r="A203" s="12" t="inlineStr">
        <is>
          <t>انگلستان – Newcastle MSc Computer Game Engineering £32,300، شرط 2:2 (QS TopUniversities)</t>
        </is>
      </c>
      <c r="B203" s="35" t="inlineStr">
        <is>
          <t>https://www.topuniversities.com/universities/newcastle-university/postgrad/msc-computer-game-engineering</t>
        </is>
      </c>
    </row>
    <row r="204">
      <c r="A204" s="12" t="inlineStr">
        <is>
          <t>هلند – TU/e شهریهٔ رسمی 2026/27 €21,700 (2027/28: €22,400)</t>
        </is>
      </c>
      <c r="B204" s="35" t="inlineStr">
        <is>
          <t>https://www.tue.nl/en/education/become-a-tue-student/tuition-fees</t>
        </is>
      </c>
    </row>
    <row r="205">
      <c r="A205" s="12" t="inlineStr">
        <is>
          <t>ایران – توقف برگزاری IELTS در ایران از ۳۱ ژانویه ۲۰۲۶ (اعلام IDP)</t>
        </is>
      </c>
      <c r="B205" s="35" t="inlineStr">
        <is>
          <t>https://wanaen.com/ielts-testing-to-be-suspended-in-iran/</t>
        </is>
      </c>
    </row>
    <row r="206">
      <c r="A206" s="12" t="inlineStr">
        <is>
          <t>ایران – وضعیت IELTS شهریور ۱۴۰۵: در ایران برگزار نمی‌شود؛ آزمون در کشور دیگر</t>
        </is>
      </c>
      <c r="B206" s="35"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5" t="inlineStr">
        <is>
          <t>https://zandienglish.ir/toefl-in-iran/</t>
        </is>
      </c>
    </row>
    <row r="208">
      <c r="A208" s="12" t="inlineStr">
        <is>
          <t>ایران – وثیقهٔ خروج تحصیلی مشمولان ۲۰۰ میلیون تومان (سامانهٔ سخا، تیر ۱۴۰۵)</t>
        </is>
      </c>
      <c r="B208" s="35"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5" t="inlineStr">
        <is>
          <t>https://www.umu.se/en/education/application-and-admission/key-dates-and-deadlines/</t>
        </is>
      </c>
    </row>
    <row r="210">
      <c r="A210" s="12" t="inlineStr">
        <is>
          <t>آلمان – Stuttgart MSc CS: بازهٔ اپلای ترم زمستان ۱۵ نوامبر – ۱۵ ژانویه؛ انگلیسی C1</t>
        </is>
      </c>
      <c r="B210" s="35" t="inlineStr">
        <is>
          <t>https://www.uni-stuttgart.de/en/study/study-programs/Computer-Science-M.Sc.-00001/</t>
        </is>
      </c>
    </row>
    <row r="211">
      <c r="A211" s="12" t="inlineStr">
        <is>
          <t>آلمان – Passau: بازهٔ اپلای AI Engineering ۱ آوریل – ۳۱ می</t>
        </is>
      </c>
      <c r="B211" s="35" t="inlineStr">
        <is>
          <t>https://www.uni-passau.de/en/apply/apply-with-intl-qualifications</t>
        </is>
      </c>
    </row>
    <row r="212">
      <c r="A212" s="12" t="inlineStr">
        <is>
          <t>دانمارک – AAU: مهلت شهریه‌پردازها ۱۵ ژانویه (EU: ۱ مارس)؛ پورتال از اواسط دسامبر</t>
        </is>
      </c>
      <c r="B212" s="35" t="inlineStr">
        <is>
          <t>https://www.en.aau.dk/education/apply/master/how-and-when-to-apply</t>
        </is>
      </c>
    </row>
    <row r="213">
      <c r="A213" s="12" t="inlineStr">
        <is>
          <t>دانمارک – SDU Computer Science: مهلت غیر-EU ۱ فوریه؛ شهریه یک سال پیش‌پرداخت</t>
        </is>
      </c>
      <c r="B213" s="35" t="inlineStr">
        <is>
          <t>https://www.sdu.dk/en/uddannelse/kandidat/datalogi</t>
        </is>
      </c>
    </row>
    <row r="214">
      <c r="A214" s="12" t="inlineStr">
        <is>
          <t>هلند – Radboud: مهلت غیر-EU ۱ آوریل، بورس ۳۱ ژانویه، ثبت‌نام ۱ ژوئن</t>
        </is>
      </c>
      <c r="B214" s="35" t="inlineStr">
        <is>
          <t>https://www.ru.nl/en/education/application-and-admission/application-procedure-masters/deadlines</t>
        </is>
      </c>
    </row>
    <row r="215">
      <c r="A215" s="12" t="inlineStr">
        <is>
          <t>انگلستان – National Living Wage £12.71 از ۱ آوریل ۲۰۲۶ (Low Pay Commission)</t>
        </is>
      </c>
      <c r="B215" s="35" t="inlineStr">
        <is>
          <t>https://www.gov.uk/government/news/national-living-wage-increases-to-1271-per-hour</t>
        </is>
      </c>
    </row>
    <row r="216">
      <c r="A216" s="12" t="inlineStr">
        <is>
          <t>آلمان – Mindestlohn €13.90 (۲۰۲۶) → €14.60 از ۱ ژانویه ۲۰۲۷؛ Werkstudent ۲۰ ساعت در ترم (WirtschaftsWoche)</t>
        </is>
      </c>
      <c r="B216" s="35" t="inlineStr">
        <is>
          <t>https://www.wiwo.de/erfolg/trends/werkstudenten-rechner-2026-brutto-netto-gehalt-online-berechnen-wiwo/28979742.html</t>
        </is>
      </c>
    </row>
    <row r="217">
      <c r="A217" s="12" t="inlineStr">
        <is>
          <t>سوئیس – کف دستمزد کانتونی ۲۰۲۶: Basel-Stadt CHF 22.20، Neuchâtel 21.35، Ticino 20.00–20.50، Genève 24.59 (خلاصهٔ غیررسمی؛ قانون کانتونی)</t>
        </is>
      </c>
      <c r="B217" s="35" t="inlineStr">
        <is>
          <t>https://checkeverything.ch/de/blog/mindestlohn-schweiz-2026</t>
        </is>
      </c>
    </row>
    <row r="218">
      <c r="A218" s="12" t="inlineStr">
        <is>
          <t>سوئیس – شهر لوسرن: کف دستمزد شهری از ۱ ژانویه ۲۰۲۶، ابقا در همه‌پرسی ۲۷ سپتامبر ۲۰۲۶ (cash.ch)</t>
        </is>
      </c>
      <c r="B218" s="35" t="inlineStr">
        <is>
          <t>https://www.cash.ch/news/stadt-luzern-behalt-kommunalen-mindestlohn-bei-971917</t>
        </is>
      </c>
    </row>
    <row r="219">
      <c r="A219" s="12" t="inlineStr">
        <is>
          <t>سوئیس – Art. 21 Abs. 3 AIG: فارغ‌التحصیلان سوئیس معاف از اولویت نیروی داخلی؛ سهمیه باقی است (SEM Weisungen §4.2؛ زوریخ ۲۰۲۵: ۳۹۹ L + ۲۴۹ B)</t>
        </is>
      </c>
      <c r="B219" s="35" t="inlineStr">
        <is>
          <t>https://www.fedlex.admin.ch/eli/cc/2007/758/en#art_21</t>
        </is>
      </c>
    </row>
    <row r="220">
      <c r="A220" s="12" t="inlineStr">
        <is>
          <t>هلند – UvA شهریهٔ نهادی 2026/27 (دانشکدهٔ علوم، غیر-EEA: ارشد یک‌ساله €34,300، دوساله €26,000، CS مشترک با VU €24,150)</t>
        </is>
      </c>
      <c r="B220" s="35" t="inlineStr">
        <is>
          <t>https://www.uva.nl/en/education/fees-and-funding/tuition-fees/tuition-fees.html</t>
        </is>
      </c>
    </row>
    <row r="221">
      <c r="A221" s="12" t="inlineStr">
        <is>
          <t>هلند – UvA MSc Software Engineering: 60 ECTS، ۱۲ ماه، انگلیسی</t>
        </is>
      </c>
      <c r="B221" s="35" t="inlineStr">
        <is>
          <t>https://www.uva.nl/en/programmes/masters/software-engineering/software-engineering.html</t>
        </is>
      </c>
    </row>
    <row r="222">
      <c r="A222" s="12" t="inlineStr">
        <is>
          <t>هلند – Twente: مهلت غیر-EEA ۱ می ۲۰۲۷؛ بورس UTS ۱۵ اکتبر ۲۰۲۶ – ۱ آوریل ۲۰۲۷</t>
        </is>
      </c>
      <c r="B222" s="35"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2026-09-28T13:49:45Z</dcterms:created>
  <dcterms:modified xsi:type="dcterms:W3CDTF">2026-09-28T13:49:46Z</dcterms:modified>
</cp:coreProperties>
</file>