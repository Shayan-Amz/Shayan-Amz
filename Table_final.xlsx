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تصمیم" sheetId="1" state="visible" r:id="rId1"/>
    <sheet name="جدول نهایی ۲۰۲۶" sheetId="2" state="visible" r:id="rId2"/>
    <sheet name="برنامه‌ها" sheetId="3" state="visible" r:id="rId3"/>
    <sheet name="حوزه‌ها و بازار کار" sheetId="4" state="visible" r:id="rId4"/>
    <sheet name="برنامهٔ زمانی ۲۰۲۷" sheetId="5" state="visible" r:id="rId5"/>
    <sheet name="خوابگاه و مسکن" sheetId="6" state="visible" r:id="rId6"/>
    <sheet name="جمع‌بندی" sheetId="7" state="visible" r:id="rId7"/>
    <sheet name="راستی‌آزمایی" sheetId="8" state="visible" r:id="rId8"/>
    <sheet name="منابع" sheetId="9" state="visible" r:id="rId9"/>
  </sheets>
  <definedNames>
    <definedName name="_xlnm.Print_Titles" localSheetId="1">'جدول نهایی ۲۰۲۶'!$1:$1</definedName>
    <definedName name="_xlnm._FilterDatabase" localSheetId="2" hidden="1">'برنامه‌ها'!$A$1:$R$111</definedName>
    <definedName name="_xlnm.Print_Titles" localSheetId="2">'برنامه‌ها'!$1:$1</definedName>
    <definedName name="_xlnm.Print_Titles" localSheetId="3">'حوزه‌ها و بازار کار'!$1:$1</definedName>
    <definedName name="_xlnm.Print_Titles" localSheetId="4">'برنامهٔ زمانی ۲۰۲۷'!$1:$1</definedName>
    <definedName name="_xlnm.Print_Titles" localSheetId="5">'خوابگاه و مسکن'!$1:$1</definedName>
    <definedName name="_xlnm.Print_Titles" localSheetId="6">'جمع‌بندی'!$1:$1</definedName>
    <definedName name="_xlnm.Print_Titles" localSheetId="7">'راستی‌آزمایی'!$1:$1</definedName>
    <definedName name="_xlnm.Print_Titles" localSheetId="8">'منابع'!$1:$1</definedName>
  </definedNames>
  <calcPr calcId="124519" fullCalcOnLoad="1"/>
</workbook>
</file>

<file path=xl/styles.xml><?xml version="1.0" encoding="utf-8"?>
<styleSheet xmlns="http://schemas.openxmlformats.org/spreadsheetml/2006/main">
  <numFmts count="0"/>
  <fonts count="39">
    <font>
      <name val="Calibri"/>
      <family val="2"/>
      <color theme="1"/>
      <sz val="11"/>
      <scheme val="minor"/>
    </font>
    <font>
      <b val="1"/>
      <color rgb="00FFFFFF"/>
      <sz val="11"/>
    </font>
    <font>
      <b val="1"/>
    </font>
    <font>
      <color rgb="00555555"/>
      <sz val="9"/>
    </font>
    <font>
      <color rgb="000563C1"/>
      <sz val="9"/>
      <u val="single"/>
    </font>
    <font/>
    <font>
      <color rgb="000563C1"/>
      <u val="single"/>
    </font>
    <font>
      <b val="1"/>
      <color rgb="001F4E78"/>
      <sz val="14"/>
    </font>
    <font>
      <sz val="11"/>
    </font>
    <font>
      <b val="1"/>
      <color rgb="00FFFFFF"/>
      <sz val="12"/>
    </font>
    <font>
      <b val="1"/>
      <sz val="11"/>
    </font>
    <font>
      <b val="1"/>
      <color rgb="00375623"/>
    </font>
    <font>
      <b val="1"/>
      <sz val="12"/>
    </font>
    <font>
      <color rgb="009C5700"/>
    </font>
    <font>
      <b val="1"/>
      <color rgb="009C5700"/>
    </font>
    <font>
      <color rgb="007F7F7F"/>
    </font>
    <font>
      <color rgb="009C0006"/>
    </font>
    <font>
      <b val="1"/>
      <color rgb="00000000"/>
    </font>
    <font>
      <name val="Tahoma"/>
      <b val="1"/>
      <color rgb="00FFFFFF"/>
      <sz val="10"/>
    </font>
    <font>
      <name val="Tahoma"/>
      <color theme="1"/>
      <sz val="10"/>
    </font>
    <font>
      <name val="Tahoma"/>
      <b val="1"/>
      <sz val="10"/>
    </font>
    <font>
      <name val="Tahoma"/>
      <color rgb="00555555"/>
      <sz val="9"/>
    </font>
    <font>
      <name val="Tahoma"/>
      <color rgb="000563C1"/>
      <sz val="9"/>
      <u val="single"/>
    </font>
    <font>
      <name val="Tahoma"/>
      <sz val="10"/>
    </font>
    <font>
      <name val="Tahoma"/>
      <color rgb="000563C1"/>
      <sz val="10"/>
      <u val="single"/>
    </font>
    <font>
      <name val="Tahoma"/>
      <b val="1"/>
      <color rgb="001F4E78"/>
      <sz val="13"/>
    </font>
    <font>
      <name val="Tahoma"/>
      <b val="1"/>
      <color rgb="00FFFFFF"/>
      <sz val="11"/>
    </font>
    <font>
      <name val="Tahoma"/>
      <b val="1"/>
      <color rgb="00375623"/>
      <sz val="10"/>
    </font>
    <font>
      <name val="Tahoma"/>
      <b val="1"/>
      <sz val="11"/>
    </font>
    <font>
      <name val="Tahoma"/>
      <color rgb="009C5700"/>
      <sz val="10"/>
    </font>
    <font>
      <name val="Tahoma"/>
      <b val="1"/>
      <color rgb="009C5700"/>
      <sz val="10"/>
    </font>
    <font>
      <name val="Tahoma"/>
      <color rgb="007F7F7F"/>
      <sz val="10"/>
    </font>
    <font>
      <name val="Tahoma"/>
      <color rgb="009C0006"/>
      <sz val="10"/>
    </font>
    <font>
      <name val="Tahoma"/>
      <b val="1"/>
      <color rgb="00000000"/>
      <sz val="10"/>
    </font>
    <font>
      <name val="Tahoma"/>
      <b val="1"/>
      <color rgb="001F4E78"/>
      <sz val="10"/>
    </font>
    <font>
      <name val="Tahoma"/>
      <b val="1"/>
      <color theme="1"/>
      <sz val="10"/>
    </font>
    <font>
      <name val="Tahoma"/>
      <b val="1"/>
      <color rgb="007F7F7F"/>
      <sz val="10"/>
    </font>
    <font>
      <name val="Tahoma"/>
      <b val="1"/>
      <sz val="9"/>
    </font>
    <font>
      <name val="Tahoma"/>
      <sz val="9"/>
    </font>
  </fonts>
  <fills count="25">
    <fill>
      <patternFill/>
    </fill>
    <fill>
      <patternFill patternType="gray125"/>
    </fill>
    <fill>
      <patternFill patternType="solid">
        <fgColor rgb="001F4E78"/>
      </patternFill>
    </fill>
    <fill>
      <patternFill patternType="solid">
        <fgColor rgb="00EAF1FB"/>
      </patternFill>
    </fill>
    <fill>
      <patternFill patternType="solid">
        <fgColor rgb="00FFF9E5"/>
      </patternFill>
    </fill>
    <fill>
      <patternFill patternType="solid">
        <fgColor rgb="00E2F0D9"/>
      </patternFill>
    </fill>
    <fill>
      <patternFill patternType="solid">
        <fgColor rgb="00EAF5E1"/>
      </patternFill>
    </fill>
    <fill>
      <patternFill patternType="solid">
        <fgColor rgb="00FFF2CC"/>
      </patternFill>
    </fill>
    <fill>
      <patternFill patternType="solid">
        <fgColor rgb="00FCE4D6"/>
      </patternFill>
    </fill>
    <fill>
      <patternFill patternType="solid">
        <fgColor rgb="00F8CBAD"/>
      </patternFill>
    </fill>
    <fill>
      <patternFill patternType="solid">
        <fgColor rgb="002E75B6"/>
      </patternFill>
    </fill>
    <fill>
      <patternFill patternType="solid">
        <fgColor rgb="00F8D7DA"/>
      </patternFill>
    </fill>
    <fill>
      <patternFill patternType="solid">
        <fgColor rgb="00F9DEDE"/>
      </patternFill>
    </fill>
    <fill>
      <patternFill patternType="solid">
        <fgColor rgb="00D9E8F8"/>
      </patternFill>
    </fill>
    <fill>
      <patternFill patternType="solid">
        <fgColor rgb="00E8DDF5"/>
      </patternFill>
    </fill>
    <fill>
      <patternFill patternType="solid">
        <fgColor rgb="00FFF3C4"/>
      </patternFill>
    </fill>
    <fill>
      <patternFill patternType="solid">
        <fgColor rgb="00FBE2CC"/>
      </patternFill>
    </fill>
    <fill>
      <patternFill patternType="solid">
        <fgColor rgb="00DBF1E0"/>
      </patternFill>
    </fill>
    <fill>
      <patternFill patternType="solid">
        <fgColor rgb="00FCF0F0"/>
      </patternFill>
    </fill>
    <fill>
      <patternFill patternType="solid">
        <fgColor rgb="00EDF4FB"/>
      </patternFill>
    </fill>
    <fill>
      <patternFill patternType="solid">
        <fgColor rgb="00F4EFFA"/>
      </patternFill>
    </fill>
    <fill>
      <patternFill patternType="solid">
        <fgColor rgb="00FFF9E4"/>
      </patternFill>
    </fill>
    <fill>
      <patternFill patternType="solid">
        <fgColor rgb="00FDF1E8"/>
      </patternFill>
    </fill>
    <fill>
      <patternFill patternType="solid">
        <fgColor rgb="00EEF8F1"/>
      </patternFill>
    </fill>
    <fill>
      <patternFill patternType="solid">
        <fgColor rgb="00F3F6FA"/>
      </patternFill>
    </fill>
  </fills>
  <borders count="3">
    <border>
      <left/>
      <right/>
      <top/>
      <bottom/>
      <diagonal/>
    </border>
    <border>
      <left style="thin">
        <color rgb="00BBBBBB"/>
      </left>
      <right style="thin">
        <color rgb="00BBBBBB"/>
      </right>
      <top style="thin">
        <color rgb="00BBBBBB"/>
      </top>
      <bottom style="thin">
        <color rgb="00BBBBBB"/>
      </bottom>
    </border>
    <border>
      <left style="thin">
        <color rgb="00BBBBBB"/>
      </left>
      <right style="thin">
        <color rgb="00BBBBBB"/>
      </right>
      <top style="medium">
        <color rgb="001F4E78"/>
      </top>
      <bottom style="thin">
        <color rgb="00BBBBBB"/>
      </bottom>
    </border>
  </borders>
  <cellStyleXfs count="1">
    <xf numFmtId="0" fontId="0" fillId="0" borderId="0"/>
  </cellStyleXfs>
  <cellXfs count="134">
    <xf numFmtId="0" fontId="0" fillId="0" borderId="0" pivotButton="0" quotePrefix="0" xfId="0"/>
    <xf numFmtId="0" fontId="25" fillId="0" borderId="0" applyAlignment="1" pivotButton="0" quotePrefix="0" xfId="0">
      <alignment horizontal="right" vertical="center" readingOrder="2"/>
    </xf>
    <xf numFmtId="0" fontId="21" fillId="0" borderId="0" applyAlignment="1" pivotButton="0" quotePrefix="0" xfId="0">
      <alignment horizontal="right" vertical="top" wrapText="1" readingOrder="2"/>
    </xf>
    <xf numFmtId="0" fontId="37" fillId="0" borderId="1" applyAlignment="1" pivotButton="0" quotePrefix="0" xfId="0">
      <alignment horizontal="center" vertical="center" wrapText="1" readingOrder="2"/>
    </xf>
    <xf numFmtId="0" fontId="38" fillId="5" borderId="1" applyAlignment="1" pivotButton="0" quotePrefix="0" xfId="0">
      <alignment horizontal="center" vertical="center" wrapText="1" readingOrder="2"/>
    </xf>
    <xf numFmtId="0" fontId="38" fillId="7" borderId="1" applyAlignment="1" pivotButton="0" quotePrefix="0" xfId="0">
      <alignment horizontal="center" vertical="center" wrapText="1" readingOrder="2"/>
    </xf>
    <xf numFmtId="0" fontId="38" fillId="11" borderId="1" applyAlignment="1" pivotButton="0" quotePrefix="0" xfId="0">
      <alignment horizontal="center" vertical="center" wrapText="1" readingOrder="2"/>
    </xf>
    <xf numFmtId="0" fontId="38" fillId="12" borderId="1" applyAlignment="1" pivotButton="0" quotePrefix="0" xfId="0">
      <alignment horizontal="center" vertical="center" wrapText="1" readingOrder="2"/>
    </xf>
    <xf numFmtId="0" fontId="38" fillId="13" borderId="1" applyAlignment="1" pivotButton="0" quotePrefix="0" xfId="0">
      <alignment horizontal="center" vertical="center" wrapText="1" readingOrder="2"/>
    </xf>
    <xf numFmtId="0" fontId="38" fillId="14" borderId="1" applyAlignment="1" pivotButton="0" quotePrefix="0" xfId="0">
      <alignment horizontal="center" vertical="center" wrapText="1" readingOrder="2"/>
    </xf>
    <xf numFmtId="0" fontId="38" fillId="15" borderId="1" applyAlignment="1" pivotButton="0" quotePrefix="0" xfId="0">
      <alignment horizontal="center" vertical="center" wrapText="1" readingOrder="2"/>
    </xf>
    <xf numFmtId="0" fontId="38" fillId="16" borderId="1" applyAlignment="1" pivotButton="0" quotePrefix="0" xfId="0">
      <alignment horizontal="center" vertical="center" wrapText="1" readingOrder="2"/>
    </xf>
    <xf numFmtId="0" fontId="38" fillId="17" borderId="1" applyAlignment="1" pivotButton="0" quotePrefix="0" xfId="0">
      <alignment horizontal="center" vertical="center" wrapText="1" readingOrder="2"/>
    </xf>
    <xf numFmtId="0" fontId="38" fillId="0" borderId="1" applyAlignment="1" pivotButton="0" quotePrefix="0" xfId="0">
      <alignment horizontal="right" vertical="center" wrapText="1" readingOrder="2"/>
    </xf>
    <xf numFmtId="0" fontId="26" fillId="10" borderId="0" applyAlignment="1" pivotButton="0" quotePrefix="0" xfId="0">
      <alignment horizontal="right" vertical="center" readingOrder="2"/>
    </xf>
    <xf numFmtId="0" fontId="18" fillId="2" borderId="1" applyAlignment="1" pivotButton="0" quotePrefix="0" xfId="0">
      <alignment horizontal="center" vertical="top" wrapText="1" readingOrder="2"/>
    </xf>
    <xf numFmtId="0" fontId="34" fillId="12" borderId="1" applyAlignment="1" pivotButton="0" quotePrefix="0" xfId="0">
      <alignment horizontal="center" vertical="top" wrapText="1" readingOrder="2"/>
    </xf>
    <xf numFmtId="0" fontId="34" fillId="13" borderId="1" applyAlignment="1" pivotButton="0" quotePrefix="0" xfId="0">
      <alignment horizontal="center" vertical="top" wrapText="1" readingOrder="2"/>
    </xf>
    <xf numFmtId="0" fontId="34" fillId="14" borderId="1" applyAlignment="1" pivotButton="0" quotePrefix="0" xfId="0">
      <alignment horizontal="center" vertical="top" wrapText="1" readingOrder="2"/>
    </xf>
    <xf numFmtId="0" fontId="34" fillId="15" borderId="1" applyAlignment="1" pivotButton="0" quotePrefix="0" xfId="0">
      <alignment horizontal="center" vertical="top" wrapText="1" readingOrder="2"/>
    </xf>
    <xf numFmtId="0" fontId="34" fillId="16" borderId="1" applyAlignment="1" pivotButton="0" quotePrefix="0" xfId="0">
      <alignment horizontal="center" vertical="top" wrapText="1" readingOrder="2"/>
    </xf>
    <xf numFmtId="0" fontId="34" fillId="17" borderId="1" applyAlignment="1" pivotButton="0" quotePrefix="0" xfId="0">
      <alignment horizontal="center" vertical="top" wrapText="1" readingOrder="2"/>
    </xf>
    <xf numFmtId="0" fontId="20" fillId="3" borderId="1" applyAlignment="1" pivotButton="0" quotePrefix="0" xfId="0">
      <alignment horizontal="right" vertical="top" wrapText="1" readingOrder="2"/>
    </xf>
    <xf numFmtId="0" fontId="19" fillId="18" borderId="1" applyAlignment="1" pivotButton="0" quotePrefix="0" xfId="0">
      <alignment horizontal="center" vertical="top" wrapText="1" readingOrder="2"/>
    </xf>
    <xf numFmtId="0" fontId="19" fillId="19" borderId="1" applyAlignment="1" pivotButton="0" quotePrefix="0" xfId="0">
      <alignment horizontal="center" vertical="top" wrapText="1" readingOrder="2"/>
    </xf>
    <xf numFmtId="0" fontId="19" fillId="20" borderId="1" applyAlignment="1" pivotButton="0" quotePrefix="0" xfId="0">
      <alignment horizontal="center" vertical="top" wrapText="1" readingOrder="2"/>
    </xf>
    <xf numFmtId="0" fontId="19" fillId="21" borderId="1" applyAlignment="1" pivotButton="0" quotePrefix="0" xfId="0">
      <alignment horizontal="center" vertical="top" wrapText="1" readingOrder="2"/>
    </xf>
    <xf numFmtId="0" fontId="19" fillId="22" borderId="1" applyAlignment="1" pivotButton="0" quotePrefix="0" xfId="0">
      <alignment horizontal="center" vertical="top" wrapText="1" readingOrder="2"/>
    </xf>
    <xf numFmtId="0" fontId="19" fillId="23" borderId="1" applyAlignment="1" pivotButton="0" quotePrefix="0" xfId="0">
      <alignment horizontal="center" vertical="top" wrapText="1" readingOrder="2"/>
    </xf>
    <xf numFmtId="0" fontId="20" fillId="7" borderId="1" applyAlignment="1" pivotButton="0" quotePrefix="0" xfId="0">
      <alignment horizontal="right" vertical="top" wrapText="1" readingOrder="2"/>
    </xf>
    <xf numFmtId="0" fontId="20" fillId="7" borderId="1" applyAlignment="1" pivotButton="0" quotePrefix="0" xfId="0">
      <alignment horizontal="center" vertical="top" wrapText="1" readingOrder="2"/>
    </xf>
    <xf numFmtId="0" fontId="19" fillId="11" borderId="1" applyAlignment="1" pivotButton="0" quotePrefix="0" xfId="0">
      <alignment horizontal="center" vertical="top" wrapText="1" readingOrder="2"/>
    </xf>
    <xf numFmtId="0" fontId="27" fillId="5" borderId="1" applyAlignment="1" pivotButton="0" quotePrefix="0" xfId="0">
      <alignment horizontal="center" vertical="top" wrapText="1" readingOrder="2"/>
    </xf>
    <xf numFmtId="0" fontId="19" fillId="5" borderId="1" applyAlignment="1" pivotButton="0" quotePrefix="0" xfId="0">
      <alignment horizontal="center" vertical="top" wrapText="1" readingOrder="2"/>
    </xf>
    <xf numFmtId="0" fontId="23" fillId="0" borderId="0" applyAlignment="1" pivotButton="0" quotePrefix="0" xfId="0">
      <alignment horizontal="right" vertical="top" wrapText="1" readingOrder="2"/>
    </xf>
    <xf numFmtId="0" fontId="28" fillId="5" borderId="1" applyAlignment="1" pivotButton="0" quotePrefix="0" xfId="0">
      <alignment horizontal="center" vertical="top" wrapText="1" readingOrder="2"/>
    </xf>
    <xf numFmtId="0" fontId="35" fillId="12" borderId="1" applyAlignment="1" pivotButton="0" quotePrefix="0" xfId="0">
      <alignment horizontal="right" vertical="top" wrapText="1" readingOrder="2"/>
    </xf>
    <xf numFmtId="0" fontId="19" fillId="0" borderId="1" applyAlignment="1" pivotButton="0" quotePrefix="0" xfId="0">
      <alignment horizontal="right" vertical="top" wrapText="1" readingOrder="2"/>
    </xf>
    <xf numFmtId="0" fontId="20" fillId="5" borderId="1" applyAlignment="1" pivotButton="0" quotePrefix="0" xfId="0">
      <alignment horizontal="right" vertical="top" wrapText="1" readingOrder="2"/>
    </xf>
    <xf numFmtId="0" fontId="19" fillId="5" borderId="1" applyAlignment="1" pivotButton="0" quotePrefix="0" xfId="0">
      <alignment horizontal="right" vertical="top" wrapText="1" readingOrder="2"/>
    </xf>
    <xf numFmtId="0" fontId="19" fillId="0" borderId="1" applyAlignment="1" pivotButton="0" quotePrefix="0" xfId="0">
      <alignment horizontal="center" vertical="top" wrapText="1" readingOrder="2"/>
    </xf>
    <xf numFmtId="0" fontId="28" fillId="7" borderId="1" applyAlignment="1" pivotButton="0" quotePrefix="0" xfId="0">
      <alignment horizontal="center" vertical="top" wrapText="1" readingOrder="2"/>
    </xf>
    <xf numFmtId="0" fontId="20" fillId="8" borderId="1" applyAlignment="1" pivotButton="0" quotePrefix="0" xfId="0">
      <alignment horizontal="center" vertical="top" wrapText="1" readingOrder="2"/>
    </xf>
    <xf numFmtId="0" fontId="19" fillId="0" borderId="1" pivotButton="0" quotePrefix="0" xfId="0"/>
    <xf numFmtId="0" fontId="29" fillId="7" borderId="1" applyAlignment="1" pivotButton="0" quotePrefix="0" xfId="0">
      <alignment horizontal="right" vertical="top" wrapText="1" readingOrder="2"/>
    </xf>
    <xf numFmtId="0" fontId="20" fillId="6" borderId="1" applyAlignment="1" pivotButton="0" quotePrefix="0" xfId="0">
      <alignment horizontal="center" vertical="top" wrapText="1" readingOrder="2"/>
    </xf>
    <xf numFmtId="0" fontId="35" fillId="13" borderId="1" applyAlignment="1" pivotButton="0" quotePrefix="0" xfId="0">
      <alignment horizontal="right" vertical="top" wrapText="1" readingOrder="2"/>
    </xf>
    <xf numFmtId="0" fontId="35" fillId="14" borderId="1" applyAlignment="1" pivotButton="0" quotePrefix="0" xfId="0">
      <alignment horizontal="right" vertical="top" wrapText="1" readingOrder="2"/>
    </xf>
    <xf numFmtId="0" fontId="30" fillId="7" borderId="1" applyAlignment="1" pivotButton="0" quotePrefix="0" xfId="0">
      <alignment horizontal="right" vertical="top" wrapText="1" readingOrder="2"/>
    </xf>
    <xf numFmtId="0" fontId="20" fillId="5" borderId="1" applyAlignment="1" pivotButton="0" quotePrefix="0" xfId="0">
      <alignment horizontal="center" vertical="top" wrapText="1" readingOrder="2"/>
    </xf>
    <xf numFmtId="0" fontId="35" fillId="15" borderId="1" applyAlignment="1" pivotButton="0" quotePrefix="0" xfId="0">
      <alignment horizontal="right" vertical="top" wrapText="1" readingOrder="2"/>
    </xf>
    <xf numFmtId="0" fontId="31" fillId="11" borderId="1" applyAlignment="1" pivotButton="0" quotePrefix="0" xfId="0">
      <alignment horizontal="center" vertical="top" wrapText="1" readingOrder="2"/>
    </xf>
    <xf numFmtId="0" fontId="36" fillId="12" borderId="1" applyAlignment="1" pivotButton="0" quotePrefix="0" xfId="0">
      <alignment horizontal="right" vertical="top" wrapText="1" readingOrder="2"/>
    </xf>
    <xf numFmtId="0" fontId="31" fillId="0" borderId="1" applyAlignment="1" pivotButton="0" quotePrefix="0" xfId="0">
      <alignment horizontal="right" vertical="top" wrapText="1" readingOrder="2"/>
    </xf>
    <xf numFmtId="0" fontId="32" fillId="11" borderId="1" applyAlignment="1" pivotButton="0" quotePrefix="0" xfId="0">
      <alignment horizontal="right" vertical="top" wrapText="1" readingOrder="2"/>
    </xf>
    <xf numFmtId="0" fontId="31" fillId="7" borderId="1" applyAlignment="1" pivotButton="0" quotePrefix="0" xfId="0">
      <alignment horizontal="center" vertical="top" wrapText="1" readingOrder="2"/>
    </xf>
    <xf numFmtId="0" fontId="36" fillId="14" borderId="1" applyAlignment="1" pivotButton="0" quotePrefix="0" xfId="0">
      <alignment horizontal="right" vertical="top" wrapText="1" readingOrder="2"/>
    </xf>
    <xf numFmtId="0" fontId="36" fillId="15" borderId="1" applyAlignment="1" pivotButton="0" quotePrefix="0" xfId="0">
      <alignment horizontal="right" vertical="top" wrapText="1" readingOrder="2"/>
    </xf>
    <xf numFmtId="0" fontId="36" fillId="16" borderId="1" applyAlignment="1" pivotButton="0" quotePrefix="0" xfId="0">
      <alignment horizontal="right" vertical="top" wrapText="1" readingOrder="2"/>
    </xf>
    <xf numFmtId="0" fontId="36" fillId="17" borderId="1" applyAlignment="1" pivotButton="0" quotePrefix="0" xfId="0">
      <alignment horizontal="right" vertical="top" wrapText="1" readingOrder="2"/>
    </xf>
    <xf numFmtId="0" fontId="31" fillId="5" borderId="1" applyAlignment="1" pivotButton="0" quotePrefix="0" xfId="0">
      <alignment horizontal="right" vertical="top" wrapText="1" readingOrder="2"/>
    </xf>
    <xf numFmtId="0" fontId="31" fillId="5" borderId="1" applyAlignment="1" pivotButton="0" quotePrefix="0" xfId="0">
      <alignment horizontal="center" vertical="top" wrapText="1" readingOrder="2"/>
    </xf>
    <xf numFmtId="0" fontId="20" fillId="0" borderId="1" applyAlignment="1" pivotButton="0" quotePrefix="0" xfId="0">
      <alignment horizontal="center" vertical="top" wrapText="1" readingOrder="2"/>
    </xf>
    <xf numFmtId="0" fontId="33" fillId="5" borderId="1" applyAlignment="1" pivotButton="0" quotePrefix="0" xfId="0">
      <alignment horizontal="right" vertical="top" wrapText="1" readingOrder="2"/>
    </xf>
    <xf numFmtId="0" fontId="19" fillId="19" borderId="1" applyAlignment="1" pivotButton="0" quotePrefix="0" xfId="0">
      <alignment horizontal="right" vertical="top" wrapText="1" readingOrder="2"/>
    </xf>
    <xf numFmtId="0" fontId="19" fillId="22" borderId="1" applyAlignment="1" pivotButton="0" quotePrefix="0" xfId="0">
      <alignment horizontal="right" vertical="top" wrapText="1" readingOrder="2"/>
    </xf>
    <xf numFmtId="0" fontId="19" fillId="21" borderId="1" applyAlignment="1" pivotButton="0" quotePrefix="0" xfId="0">
      <alignment horizontal="right" vertical="top" wrapText="1" readingOrder="2"/>
    </xf>
    <xf numFmtId="0" fontId="19" fillId="23" borderId="1" applyAlignment="1" pivotButton="0" quotePrefix="0" xfId="0">
      <alignment horizontal="right" vertical="top" wrapText="1" readingOrder="2"/>
    </xf>
    <xf numFmtId="0" fontId="19" fillId="18" borderId="1" applyAlignment="1" pivotButton="0" quotePrefix="0" xfId="0">
      <alignment horizontal="right" vertical="top" wrapText="1" readingOrder="2"/>
    </xf>
    <xf numFmtId="0" fontId="19" fillId="20" borderId="1" applyAlignment="1" pivotButton="0" quotePrefix="0" xfId="0">
      <alignment horizontal="right" vertical="top" wrapText="1" readingOrder="2"/>
    </xf>
    <xf numFmtId="0" fontId="21" fillId="0" borderId="1" applyAlignment="1" pivotButton="0" quotePrefix="0" xfId="0">
      <alignment horizontal="right" vertical="top" wrapText="1" readingOrder="2"/>
    </xf>
    <xf numFmtId="0" fontId="19" fillId="11" borderId="1" applyAlignment="1" pivotButton="0" quotePrefix="0" xfId="0">
      <alignment horizontal="right" vertical="top" wrapText="1" readingOrder="2"/>
    </xf>
    <xf numFmtId="0" fontId="20" fillId="0" borderId="1" pivotButton="0" quotePrefix="0" xfId="0"/>
    <xf numFmtId="0" fontId="35" fillId="14" borderId="1" applyAlignment="1" pivotButton="0" quotePrefix="0" xfId="0">
      <alignment horizontal="center" vertical="top" wrapText="1" readingOrder="2"/>
    </xf>
    <xf numFmtId="0" fontId="20" fillId="4" borderId="1" applyAlignment="1" pivotButton="0" quotePrefix="0" xfId="0">
      <alignment horizontal="right" vertical="top" wrapText="1" readingOrder="2"/>
    </xf>
    <xf numFmtId="0" fontId="22" fillId="0" borderId="1" applyAlignment="1" pivotButton="0" quotePrefix="0" xfId="0">
      <alignment horizontal="left" vertical="top" wrapText="1"/>
    </xf>
    <xf numFmtId="0" fontId="19" fillId="24" borderId="1" applyAlignment="1" pivotButton="0" quotePrefix="0" xfId="0">
      <alignment horizontal="center" vertical="top" wrapText="1" readingOrder="2"/>
    </xf>
    <xf numFmtId="0" fontId="19" fillId="24" borderId="1" applyAlignment="1" pivotButton="0" quotePrefix="0" xfId="0">
      <alignment horizontal="right" vertical="top" wrapText="1" readingOrder="2"/>
    </xf>
    <xf numFmtId="0" fontId="22" fillId="24" borderId="1" applyAlignment="1" pivotButton="0" quotePrefix="0" xfId="0">
      <alignment horizontal="left" vertical="top" wrapText="1"/>
    </xf>
    <xf numFmtId="0" fontId="20" fillId="9" borderId="1" applyAlignment="1" pivotButton="0" quotePrefix="0" xfId="0">
      <alignment horizontal="center" vertical="top" wrapText="1" readingOrder="2"/>
    </xf>
    <xf numFmtId="0" fontId="19" fillId="24" borderId="2" applyAlignment="1" pivotButton="0" quotePrefix="0" xfId="0">
      <alignment horizontal="center" vertical="top" wrapText="1" readingOrder="2"/>
    </xf>
    <xf numFmtId="0" fontId="35" fillId="12" borderId="2" applyAlignment="1" pivotButton="0" quotePrefix="0" xfId="0">
      <alignment horizontal="center" vertical="top" wrapText="1" readingOrder="2"/>
    </xf>
    <xf numFmtId="0" fontId="19" fillId="24" borderId="2" applyAlignment="1" pivotButton="0" quotePrefix="0" xfId="0">
      <alignment horizontal="right" vertical="top" wrapText="1" readingOrder="2"/>
    </xf>
    <xf numFmtId="0" fontId="20" fillId="4" borderId="2" applyAlignment="1" pivotButton="0" quotePrefix="0" xfId="0">
      <alignment horizontal="right" vertical="top" wrapText="1" readingOrder="2"/>
    </xf>
    <xf numFmtId="0" fontId="20" fillId="7" borderId="2" applyAlignment="1" pivotButton="0" quotePrefix="0" xfId="0">
      <alignment horizontal="center" vertical="top" wrapText="1" readingOrder="2"/>
    </xf>
    <xf numFmtId="0" fontId="22" fillId="24" borderId="2" applyAlignment="1" pivotButton="0" quotePrefix="0" xfId="0">
      <alignment horizontal="left" vertical="top" wrapText="1"/>
    </xf>
    <xf numFmtId="0" fontId="35" fillId="12" borderId="1" applyAlignment="1" pivotButton="0" quotePrefix="0" xfId="0">
      <alignment horizontal="center" vertical="top" wrapText="1" readingOrder="2"/>
    </xf>
    <xf numFmtId="0" fontId="19" fillId="7" borderId="1" applyAlignment="1" pivotButton="0" quotePrefix="0" xfId="0">
      <alignment horizontal="right" vertical="top" wrapText="1" readingOrder="2"/>
    </xf>
    <xf numFmtId="0" fontId="35" fillId="13" borderId="2" applyAlignment="1" pivotButton="0" quotePrefix="0" xfId="0">
      <alignment horizontal="center" vertical="top" wrapText="1" readingOrder="2"/>
    </xf>
    <xf numFmtId="0" fontId="35" fillId="13" borderId="1" applyAlignment="1" pivotButton="0" quotePrefix="0" xfId="0">
      <alignment horizontal="center" vertical="top" wrapText="1" readingOrder="2"/>
    </xf>
    <xf numFmtId="0" fontId="19" fillId="0" borderId="2" applyAlignment="1" pivotButton="0" quotePrefix="0" xfId="0">
      <alignment horizontal="center" vertical="top" wrapText="1" readingOrder="2"/>
    </xf>
    <xf numFmtId="0" fontId="35" fillId="16" borderId="2" applyAlignment="1" pivotButton="0" quotePrefix="0" xfId="0">
      <alignment horizontal="center" vertical="top" wrapText="1" readingOrder="2"/>
    </xf>
    <xf numFmtId="0" fontId="19" fillId="0" borderId="2" applyAlignment="1" pivotButton="0" quotePrefix="0" xfId="0">
      <alignment horizontal="right" vertical="top" wrapText="1" readingOrder="2"/>
    </xf>
    <xf numFmtId="0" fontId="22" fillId="0" borderId="2" applyAlignment="1" pivotButton="0" quotePrefix="0" xfId="0">
      <alignment horizontal="left" vertical="top" wrapText="1"/>
    </xf>
    <xf numFmtId="0" fontId="35" fillId="16" borderId="1" applyAlignment="1" pivotButton="0" quotePrefix="0" xfId="0">
      <alignment horizontal="center" vertical="top" wrapText="1" readingOrder="2"/>
    </xf>
    <xf numFmtId="0" fontId="35" fillId="15" borderId="2" applyAlignment="1" pivotButton="0" quotePrefix="0" xfId="0">
      <alignment horizontal="center" vertical="top" wrapText="1" readingOrder="2"/>
    </xf>
    <xf numFmtId="0" fontId="35" fillId="15" borderId="1" applyAlignment="1" pivotButton="0" quotePrefix="0" xfId="0">
      <alignment horizontal="center" vertical="top" wrapText="1" readingOrder="2"/>
    </xf>
    <xf numFmtId="0" fontId="35" fillId="17" borderId="2" applyAlignment="1" pivotButton="0" quotePrefix="0" xfId="0">
      <alignment horizontal="center" vertical="top" wrapText="1" readingOrder="2"/>
    </xf>
    <xf numFmtId="0" fontId="35" fillId="17" borderId="1" applyAlignment="1" pivotButton="0" quotePrefix="0" xfId="0">
      <alignment horizontal="center" vertical="top" wrapText="1" readingOrder="2"/>
    </xf>
    <xf numFmtId="0" fontId="19" fillId="0" borderId="0" applyAlignment="1" pivotButton="0" quotePrefix="0" xfId="0">
      <alignment horizontal="right" vertical="top" wrapText="1" readingOrder="2"/>
    </xf>
    <xf numFmtId="0" fontId="21" fillId="24" borderId="1" applyAlignment="1" pivotButton="0" quotePrefix="0" xfId="0">
      <alignment horizontal="right" vertical="top" wrapText="1" readingOrder="2"/>
    </xf>
    <xf numFmtId="0" fontId="20" fillId="0" borderId="0" applyAlignment="1" pivotButton="0" quotePrefix="0" xfId="0">
      <alignment horizontal="right" vertical="top" wrapText="1" readingOrder="2"/>
    </xf>
    <xf numFmtId="0" fontId="19" fillId="15" borderId="1" applyAlignment="1" pivotButton="0" quotePrefix="0" xfId="0">
      <alignment horizontal="right" vertical="top" wrapText="1" readingOrder="2"/>
    </xf>
    <xf numFmtId="0" fontId="20" fillId="9" borderId="1" applyAlignment="1" pivotButton="0" quotePrefix="0" xfId="0">
      <alignment horizontal="right" vertical="top" wrapText="1" readingOrder="2"/>
    </xf>
    <xf numFmtId="0" fontId="19" fillId="12" borderId="1" applyAlignment="1" pivotButton="0" quotePrefix="0" xfId="0">
      <alignment horizontal="right" vertical="top" wrapText="1" readingOrder="2"/>
    </xf>
    <xf numFmtId="0" fontId="19" fillId="13" borderId="1" applyAlignment="1" pivotButton="0" quotePrefix="0" xfId="0">
      <alignment horizontal="right" vertical="top" wrapText="1" readingOrder="2"/>
    </xf>
    <xf numFmtId="0" fontId="19" fillId="17" borderId="1" applyAlignment="1" pivotButton="0" quotePrefix="0" xfId="0">
      <alignment horizontal="right" vertical="top" wrapText="1" readingOrder="2"/>
    </xf>
    <xf numFmtId="0" fontId="19" fillId="16" borderId="1" applyAlignment="1" pivotButton="0" quotePrefix="0" xfId="0">
      <alignment horizontal="right" vertical="top" wrapText="1" readingOrder="2"/>
    </xf>
    <xf numFmtId="0" fontId="20" fillId="13" borderId="1" applyAlignment="1" pivotButton="0" quotePrefix="0" xfId="0">
      <alignment horizontal="right" vertical="top" wrapText="1" readingOrder="2"/>
    </xf>
    <xf numFmtId="0" fontId="20" fillId="16" borderId="1" applyAlignment="1" pivotButton="0" quotePrefix="0" xfId="0">
      <alignment horizontal="right" vertical="top" wrapText="1" readingOrder="2"/>
    </xf>
    <xf numFmtId="0" fontId="20" fillId="15" borderId="1" applyAlignment="1" pivotButton="0" quotePrefix="0" xfId="0">
      <alignment horizontal="right" vertical="top" wrapText="1" readingOrder="2"/>
    </xf>
    <xf numFmtId="0" fontId="20" fillId="17" borderId="1" applyAlignment="1" pivotButton="0" quotePrefix="0" xfId="0">
      <alignment horizontal="right" vertical="top" wrapText="1" readingOrder="2"/>
    </xf>
    <xf numFmtId="0" fontId="20" fillId="12" borderId="1" applyAlignment="1" pivotButton="0" quotePrefix="0" xfId="0">
      <alignment horizontal="right" vertical="top" wrapText="1" readingOrder="2"/>
    </xf>
    <xf numFmtId="0" fontId="20" fillId="14" borderId="1" applyAlignment="1" pivotButton="0" quotePrefix="0" xfId="0">
      <alignment horizontal="right" vertical="top" wrapText="1" readingOrder="2"/>
    </xf>
    <xf numFmtId="0" fontId="1" fillId="2" borderId="1" applyAlignment="1" pivotButton="0" quotePrefix="0" xfId="0">
      <alignment horizontal="center" vertical="top" wrapText="1" readingOrder="2"/>
    </xf>
    <xf numFmtId="0" fontId="19" fillId="9" borderId="1" applyAlignment="1" pivotButton="0" quotePrefix="0" xfId="0">
      <alignment horizontal="right" vertical="top" wrapText="1" readingOrder="2"/>
    </xf>
    <xf numFmtId="0" fontId="0" fillId="0" borderId="1" applyAlignment="1" pivotButton="0" quotePrefix="0" xfId="0">
      <alignment horizontal="right" vertical="top" wrapText="1" readingOrder="2"/>
    </xf>
    <xf numFmtId="0" fontId="0" fillId="24" borderId="1" applyAlignment="1" pivotButton="0" quotePrefix="0" xfId="0">
      <alignment horizontal="right" vertical="top" wrapText="1" readingOrder="2"/>
    </xf>
    <xf numFmtId="0" fontId="20" fillId="3" borderId="2" applyAlignment="1" pivotButton="0" quotePrefix="0" xfId="0">
      <alignment horizontal="right" vertical="top" wrapText="1" readingOrder="2"/>
    </xf>
    <xf numFmtId="0" fontId="35" fillId="16" borderId="2" applyAlignment="1" pivotButton="0" quotePrefix="0" xfId="0">
      <alignment horizontal="right" vertical="top" wrapText="1" readingOrder="2"/>
    </xf>
    <xf numFmtId="0" fontId="19" fillId="5" borderId="2" applyAlignment="1" pivotButton="0" quotePrefix="0" xfId="0">
      <alignment horizontal="right" vertical="top" wrapText="1" readingOrder="2"/>
    </xf>
    <xf numFmtId="0" fontId="0" fillId="0" borderId="2" applyAlignment="1" pivotButton="0" quotePrefix="0" xfId="0">
      <alignment horizontal="right" vertical="top" wrapText="1" readingOrder="2"/>
    </xf>
    <xf numFmtId="0" fontId="35" fillId="16" borderId="1" applyAlignment="1" pivotButton="0" quotePrefix="0" xfId="0">
      <alignment horizontal="right" vertical="top" wrapText="1" readingOrder="2"/>
    </xf>
    <xf numFmtId="0" fontId="35" fillId="15" borderId="2" applyAlignment="1" pivotButton="0" quotePrefix="0" xfId="0">
      <alignment horizontal="right" vertical="top" wrapText="1" readingOrder="2"/>
    </xf>
    <xf numFmtId="0" fontId="0" fillId="24" borderId="2" applyAlignment="1" pivotButton="0" quotePrefix="0" xfId="0">
      <alignment horizontal="right" vertical="top" wrapText="1" readingOrder="2"/>
    </xf>
    <xf numFmtId="0" fontId="35" fillId="17" borderId="2" applyAlignment="1" pivotButton="0" quotePrefix="0" xfId="0">
      <alignment horizontal="right" vertical="top" wrapText="1" readingOrder="2"/>
    </xf>
    <xf numFmtId="0" fontId="35" fillId="17" borderId="1" applyAlignment="1" pivotButton="0" quotePrefix="0" xfId="0">
      <alignment horizontal="right" vertical="top" wrapText="1" readingOrder="2"/>
    </xf>
    <xf numFmtId="0" fontId="35" fillId="12" borderId="2" applyAlignment="1" pivotButton="0" quotePrefix="0" xfId="0">
      <alignment horizontal="right" vertical="top" wrapText="1" readingOrder="2"/>
    </xf>
    <xf numFmtId="0" fontId="19" fillId="9" borderId="2" applyAlignment="1" pivotButton="0" quotePrefix="0" xfId="0">
      <alignment horizontal="right" vertical="top" wrapText="1" readingOrder="2"/>
    </xf>
    <xf numFmtId="0" fontId="35" fillId="14" borderId="2" applyAlignment="1" pivotButton="0" quotePrefix="0" xfId="0">
      <alignment horizontal="right" vertical="top" wrapText="1" readingOrder="2"/>
    </xf>
    <xf numFmtId="0" fontId="19" fillId="11" borderId="2" applyAlignment="1" pivotButton="0" quotePrefix="0" xfId="0">
      <alignment horizontal="right" vertical="top" wrapText="1" readingOrder="2"/>
    </xf>
    <xf numFmtId="0" fontId="21" fillId="24" borderId="2" applyAlignment="1" pivotButton="0" quotePrefix="0" xfId="0">
      <alignment horizontal="right" vertical="top" wrapText="1" readingOrder="2"/>
    </xf>
    <xf numFmtId="0" fontId="21" fillId="0" borderId="2" applyAlignment="1" pivotButton="0" quotePrefix="0" xfId="0">
      <alignment horizontal="right" vertical="top" wrapText="1" readingOrder="2"/>
    </xf>
    <xf numFmtId="0" fontId="19" fillId="14" borderId="1" applyAlignment="1" pivotButton="0" quotePrefix="0" xfId="0">
      <alignment horizontal="right" vertical="top" wrapText="1" readingOrder="2"/>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hyperlink" Target="https://www.tees.ac.uk/postgraduate_courses/computing_&amp;_cyber_security/msc_computer_science.cfm" TargetMode="External" Id="rId1" /><Relationship Type="http://schemas.openxmlformats.org/officeDocument/2006/relationships/hyperlink" Target="https://www.tees.ac.uk/postgraduate_courses/computing_&amp;_cyber_security/msc_artificial_intelligence.cfm" TargetMode="External" Id="rId2" /><Relationship Type="http://schemas.openxmlformats.org/officeDocument/2006/relationships/hyperlink" Target="https://www.tees.ac.uk/postgraduate_courses/computing_&amp;_cyber_security/msc_cyber_security.cfm" TargetMode="External" Id="rId3" /><Relationship Type="http://schemas.openxmlformats.org/officeDocument/2006/relationships/hyperlink" Target="https://www.northumbria.ac.uk/study-at-northumbria/courses/msc-advanced-computer-science-dtfava6/" TargetMode="External" Id="rId4" /><Relationship Type="http://schemas.openxmlformats.org/officeDocument/2006/relationships/hyperlink" Target="https://www.northumbria.ac.uk/study-at-northumbria/courses/msc-artificial-intelligence-dtfari6/" TargetMode="External" Id="rId5" /><Relationship Type="http://schemas.openxmlformats.org/officeDocument/2006/relationships/hyperlink" Target="https://www.ntu.ac.uk/study-and-courses/courses" TargetMode="External" Id="rId6" /><Relationship Type="http://schemas.openxmlformats.org/officeDocument/2006/relationships/hyperlink" Target="https://www.ntu.ac.uk/study-and-courses/courses" TargetMode="External" Id="rId7" /><Relationship Type="http://schemas.openxmlformats.org/officeDocument/2006/relationships/hyperlink" Target="https://www.mmu.ac.uk/study/postgraduate/course/msc-cyber-security" TargetMode="External" Id="rId8" /><Relationship Type="http://schemas.openxmlformats.org/officeDocument/2006/relationships/hyperlink" Target="https://www.essex.ac.uk/courses/pg00435/1/msc-advanced-computer-science" TargetMode="External" Id="rId9" /><Relationship Type="http://schemas.openxmlformats.org/officeDocument/2006/relationships/hyperlink" Target="https://www.essex.ac.uk/courses/pg00457/1/msc-artificial-intelligence" TargetMode="External" Id="rId10" /><Relationship Type="http://schemas.openxmlformats.org/officeDocument/2006/relationships/hyperlink" Target="https://le.ac.uk/courses/advanced-computer-science-msc/2026" TargetMode="External" Id="rId11" /><Relationship Type="http://schemas.openxmlformats.org/officeDocument/2006/relationships/hyperlink" Target="https://le.ac.uk/courses/artificial-intelligence-msc/2026" TargetMode="External" Id="rId12" /><Relationship Type="http://schemas.openxmlformats.org/officeDocument/2006/relationships/hyperlink" Target="https://le.ac.uk/courses/cloud-computing-msc/2026" TargetMode="External" Id="rId13" /><Relationship Type="http://schemas.openxmlformats.org/officeDocument/2006/relationships/hyperlink" Target="https://www.brunel.ac.uk/study/courses/artificial-intelligence-msc" TargetMode="External" Id="rId14" /><Relationship Type="http://schemas.openxmlformats.org/officeDocument/2006/relationships/hyperlink" Target="https://www.brunel.ac.uk/study/courses/data-science-and-analytics-msc" TargetMode="External" Id="rId15" /><Relationship Type="http://schemas.openxmlformats.org/officeDocument/2006/relationships/hyperlink" Target="https://www.kent.ac.uk/courses/postgraduate/1225/cyber-security" TargetMode="External" Id="rId16" /><Relationship Type="http://schemas.openxmlformats.org/officeDocument/2006/relationships/hyperlink" Target="https://www.royalholloway.ac.uk/studying-here/postgraduate/information-security/information-and-cyber-security/" TargetMode="External" Id="rId17" /><Relationship Type="http://schemas.openxmlformats.org/officeDocument/2006/relationships/hyperlink" Target="https://www.gold.ac.uk/pg/msc-computer-games-programming/" TargetMode="External" Id="rId18" /><Relationship Type="http://schemas.openxmlformats.org/officeDocument/2006/relationships/hyperlink" Target="https://www.surrey.ac.uk/postgraduate/artificial-intelligence-msc" TargetMode="External" Id="rId19" /><Relationship Type="http://schemas.openxmlformats.org/officeDocument/2006/relationships/hyperlink" Target="https://www.surrey.ac.uk/postgraduate/cyber-security-msc" TargetMode="External" Id="rId20" /><Relationship Type="http://schemas.openxmlformats.org/officeDocument/2006/relationships/hyperlink" Target="https://www.york.ac.uk/study/postgraduate-taught/courses/msc-advanced-computer-science/" TargetMode="External" Id="rId21" /><Relationship Type="http://schemas.openxmlformats.org/officeDocument/2006/relationships/hyperlink" Target="https://www.york.ac.uk/study/postgraduate-taught/courses/msc-human-centred-interactive-technologies/" TargetMode="External" Id="rId22" /><Relationship Type="http://schemas.openxmlformats.org/officeDocument/2006/relationships/hyperlink" Target="https://www.ncl.ac.uk/postgraduate/" TargetMode="External" Id="rId23" /><Relationship Type="http://schemas.openxmlformats.org/officeDocument/2006/relationships/hyperlink" Target="https://www.lancaster.ac.uk/study/postgraduate/postgraduate-courses/cyber-security-msc/2026/" TargetMode="External" Id="rId24" /><Relationship Type="http://schemas.openxmlformats.org/officeDocument/2006/relationships/hyperlink" Target="https://www.sheffield.ac.uk/postgraduate/taught/courses" TargetMode="External" Id="rId25" /><Relationship Type="http://schemas.openxmlformats.org/officeDocument/2006/relationships/hyperlink" Target="https://www.imperial.ac.uk/study/courses/postgraduate-taught/computing-artificial-intelligence-msc/" TargetMode="External" Id="rId26" /><Relationship Type="http://schemas.openxmlformats.org/officeDocument/2006/relationships/hyperlink" Target="https://www.ucl.ac.uk/prospective-students/graduate/taught-degrees/computer-science-msc-2026" TargetMode="External" Id="rId27" /><Relationship Type="http://schemas.openxmlformats.org/officeDocument/2006/relationships/hyperlink" Target="https://www.kcl.ac.uk/study-legacy/postgraduate/apply/entry-requirements/international" TargetMode="External" Id="rId28" /><Relationship Type="http://schemas.openxmlformats.org/officeDocument/2006/relationships/hyperlink" Target="https://warwick.ac.uk/study/international/countryinformation/middleeast/iran/" TargetMode="External" Id="rId29" /><Relationship Type="http://schemas.openxmlformats.org/officeDocument/2006/relationships/hyperlink" Target="https://www.bristol.ac.uk/study/postgraduate/taught/msc-data-science/" TargetMode="External" Id="rId30" /><Relationship Type="http://schemas.openxmlformats.org/officeDocument/2006/relationships/hyperlink" Target="https://www.durham.ac.uk/study/courses/advanced-computer-science-g5t609/" TargetMode="External" Id="rId31" /><Relationship Type="http://schemas.openxmlformats.org/officeDocument/2006/relationships/hyperlink" Target="https://www.usi.ch/en/education/master/informatics" TargetMode="External" Id="rId32" /><Relationship Type="http://schemas.openxmlformats.org/officeDocument/2006/relationships/hyperlink" Target="https://www.usi.ch/en/education/master/artificial-intelligence" TargetMode="External" Id="rId33" /><Relationship Type="http://schemas.openxmlformats.org/officeDocument/2006/relationships/hyperlink" Target="https://www.usi.ch/en/education/master/software-and-data-engineering" TargetMode="External" Id="rId34" /><Relationship Type="http://schemas.openxmlformats.org/officeDocument/2006/relationships/hyperlink" Target="https://www.hslu.ch/en/lucerne-school-of-business/degree-programmes/master/applied-data-science-and-ai/" TargetMode="External" Id="rId35" /><Relationship Type="http://schemas.openxmlformats.org/officeDocument/2006/relationships/hyperlink" Target="https://www.philnat.unibe.ch/studies/study_programs/master_s_in_computer_science/index_eng.html" TargetMode="External" Id="rId36" /><Relationship Type="http://schemas.openxmlformats.org/officeDocument/2006/relationships/hyperlink" Target="https://mcs.unibnf.ch/" TargetMode="External" Id="rId37" /><Relationship Type="http://schemas.openxmlformats.org/officeDocument/2006/relationships/hyperlink" Target="https://www.unifr.ch/inf/en/" TargetMode="External" Id="rId38" /><Relationship Type="http://schemas.openxmlformats.org/officeDocument/2006/relationships/hyperlink" Target="https://dmi.unibas.ch/en/studies/computer-science/masters/" TargetMode="External" Id="rId39" /><Relationship Type="http://schemas.openxmlformats.org/officeDocument/2006/relationships/hyperlink" Target="https://www.ifi.uzh.ch/en/studies/master.html" TargetMode="External" Id="rId40" /><Relationship Type="http://schemas.openxmlformats.org/officeDocument/2006/relationships/hyperlink" Target="https://www.zhaw.ch/en/engineering/study/masters-degree-programme" TargetMode="External" Id="rId41" /><Relationship Type="http://schemas.openxmlformats.org/officeDocument/2006/relationships/hyperlink" Target="https://www.epfl.ch/education/master/programs/computer-science/" TargetMode="External" Id="rId42" /><Relationship Type="http://schemas.openxmlformats.org/officeDocument/2006/relationships/hyperlink" Target="https://www.epfl.ch/education/master/programs/data-science/" TargetMode="External" Id="rId43" /><Relationship Type="http://schemas.openxmlformats.org/officeDocument/2006/relationships/hyperlink" Target="https://ethz.ch/en/studies/master/degree-programmes/engineering-sciences/computer-science.html" TargetMode="External" Id="rId44" /><Relationship Type="http://schemas.openxmlformats.org/officeDocument/2006/relationships/hyperlink" Target="https://ethz.ch/en/studies/master/degree-programmes/engineering-sciences/cyber-security.html" TargetMode="External" Id="rId45" /><Relationship Type="http://schemas.openxmlformats.org/officeDocument/2006/relationships/hyperlink" Target="https://www.uni-stuttgart.de/en/study/study-programs/" TargetMode="External" Id="rId46" /><Relationship Type="http://schemas.openxmlformats.org/officeDocument/2006/relationships/hyperlink" Target="https://www.mygermanuniversity.com/master/information-technology-infotech/678" TargetMode="External" Id="rId47" /><Relationship Type="http://schemas.openxmlformats.org/officeDocument/2006/relationships/hyperlink" Target="https://www.fau.eu/degree-program/artificial-intelligence-m-sc/" TargetMode="External" Id="rId48" /><Relationship Type="http://schemas.openxmlformats.org/officeDocument/2006/relationships/hyperlink" Target="https://www.fau.eu/degree-program/autonomy-technologies-m-sc/" TargetMode="External" Id="rId49" /><Relationship Type="http://schemas.openxmlformats.org/officeDocument/2006/relationships/hyperlink" Target="https://www.tu-darmstadt.de/studieren/" TargetMode="External" Id="rId50" /><Relationship Type="http://schemas.openxmlformats.org/officeDocument/2006/relationships/hyperlink" Target="https://tu-dresden.de/studium/vor-dem-studium/studienangebot" TargetMode="External" Id="rId51" /><Relationship Type="http://schemas.openxmlformats.org/officeDocument/2006/relationships/hyperlink" Target="https://www.uni-saarland.de/en/study/programmes/master/cybersecurity.html" TargetMode="External" Id="rId52" /><Relationship Type="http://schemas.openxmlformats.org/officeDocument/2006/relationships/hyperlink" Target="https://www.uni-saarland.de/en/study/programmes/master/data-science.html" TargetMode="External" Id="rId53" /><Relationship Type="http://schemas.openxmlformats.org/officeDocument/2006/relationships/hyperlink" Target="https://www.mygermanuniversity.com/master/automotive-software-engineering/91" TargetMode="External" Id="rId54" /><Relationship Type="http://schemas.openxmlformats.org/officeDocument/2006/relationships/hyperlink" Target="https://www.uni-passau.de/en/msc-ai-eng" TargetMode="External" Id="rId55" /><Relationship Type="http://schemas.openxmlformats.org/officeDocument/2006/relationships/hyperlink" Target="https://www.dke.ovgu.de/" TargetMode="External" Id="rId56" /><Relationship Type="http://schemas.openxmlformats.org/officeDocument/2006/relationships/hyperlink" Target="https://colognegamelab.de/study-programs/post-graduate-programs/game-development-research-ma/faqs/" TargetMode="External" Id="rId57" /><Relationship Type="http://schemas.openxmlformats.org/officeDocument/2006/relationships/hyperlink" Target="https://www2.daad.de/deutschland/studienangebote/international-programmes/en/detail/4686/" TargetMode="External" Id="rId58" /><Relationship Type="http://schemas.openxmlformats.org/officeDocument/2006/relationships/hyperlink" Target="https://www.h-brs.de/en/inf/admission-application-master-autonomous-systems" TargetMode="External" Id="rId59" /><Relationship Type="http://schemas.openxmlformats.org/officeDocument/2006/relationships/hyperlink" Target="https://sc.informatik.rwth-aachen.de/en/studium/master/sse/" TargetMode="External" Id="rId60" /><Relationship Type="http://schemas.openxmlformats.org/officeDocument/2006/relationships/hyperlink" Target="https://uni-tuebingen.de/fakultaeten/mathematisch-naturwissenschaftliche-fakultaet/fachbereiche/informatik/studium/studierende/lehre-studienorganisation/studiengaenge/machine-learning/admission-and-application/" TargetMode="External" Id="rId61" /><Relationship Type="http://schemas.openxmlformats.org/officeDocument/2006/relationships/hyperlink" Target="https://www.tum.de/en/studies/degree-programs/detail/informatics-master-of-science-msc" TargetMode="External" Id="rId62" /><Relationship Type="http://schemas.openxmlformats.org/officeDocument/2006/relationships/hyperlink" Target="https://www.utwente.nl/en/education/master/programmes/computer-science/" TargetMode="External" Id="rId63" /><Relationship Type="http://schemas.openxmlformats.org/officeDocument/2006/relationships/hyperlink" Target="https://www.utwente.nl/en/education/master/programmes/embedded-systems/finance/" TargetMode="External" Id="rId64" /><Relationship Type="http://schemas.openxmlformats.org/officeDocument/2006/relationships/hyperlink" Target="https://www.utwente.nl/en/education/master/programmes/interaction-technology/" TargetMode="External" Id="rId65" /><Relationship Type="http://schemas.openxmlformats.org/officeDocument/2006/relationships/hyperlink" Target="https://www.ru.nl/en/education/masters/computing-science" TargetMode="External" Id="rId66" /><Relationship Type="http://schemas.openxmlformats.org/officeDocument/2006/relationships/hyperlink" Target="https://www.ru.nl/en/education/masters/artificial-intelligence" TargetMode="External" Id="rId67" /><Relationship Type="http://schemas.openxmlformats.org/officeDocument/2006/relationships/hyperlink" Target="https://www.universiteitleiden.nl/en/education/study-programmes/master/computer-science/artificial-intelligence/admission-and-application/tuition-fees" TargetMode="External" Id="rId68" /><Relationship Type="http://schemas.openxmlformats.org/officeDocument/2006/relationships/hyperlink" Target="https://www.rug.nl/masters/artificial-intelligence/?lang=en" TargetMode="External" Id="rId69" /><Relationship Type="http://schemas.openxmlformats.org/officeDocument/2006/relationships/hyperlink" Target="https://www.rug.nl/masters/computing-science/?lang=en" TargetMode="External" Id="rId70" /><Relationship Type="http://schemas.openxmlformats.org/officeDocument/2006/relationships/hyperlink" Target="https://www.uu.nl/en/masters/game-and-media-technology" TargetMode="External" Id="rId71" /><Relationship Type="http://schemas.openxmlformats.org/officeDocument/2006/relationships/hyperlink" Target="https://www.uu.nl/en/masters/artificial-intelligence" TargetMode="External" Id="rId72" /><Relationship Type="http://schemas.openxmlformats.org/officeDocument/2006/relationships/hyperlink" Target="https://www.uva.nl/en/programmes/masters/software-engineering/software-engineering.html" TargetMode="External" Id="rId73" /><Relationship Type="http://schemas.openxmlformats.org/officeDocument/2006/relationships/hyperlink" Target="https://www.uva.nl/en/programmes/masters/artificial-intelligence/artificial-intelligence.html" TargetMode="External" Id="rId74" /><Relationship Type="http://schemas.openxmlformats.org/officeDocument/2006/relationships/hyperlink" Target="https://www.tue.nl/en/education/graduate-school/master-data-science-and-artificial-intelligence" TargetMode="External" Id="rId75" /><Relationship Type="http://schemas.openxmlformats.org/officeDocument/2006/relationships/hyperlink" Target="https://www.tue.nl/en/education/graduate-school/master-embedded-systems" TargetMode="External" Id="rId76" /><Relationship Type="http://schemas.openxmlformats.org/officeDocument/2006/relationships/hyperlink" Target="https://www.tudelft.nl/onderwijs/opleidingen/masters/cs/msc-computer-science" TargetMode="External" Id="rId77" /><Relationship Type="http://schemas.openxmlformats.org/officeDocument/2006/relationships/hyperlink" Target="https://www.topuniversities.com/universities/breda-university-applied-sciences/postgrad/master-game-technology" TargetMode="External" Id="rId78" /><Relationship Type="http://schemas.openxmlformats.org/officeDocument/2006/relationships/hyperlink" Target="https://liu.se/en/education/program/6mics" TargetMode="External" Id="rId79" /><Relationship Type="http://schemas.openxmlformats.org/officeDocument/2006/relationships/hyperlink" Target="https://liu.se/en/education/program/f7msl" TargetMode="External" Id="rId80" /><Relationship Type="http://schemas.openxmlformats.org/officeDocument/2006/relationships/hyperlink" Target="https://www.hh.se/english/education/programmes.html" TargetMode="External" Id="rId81" /><Relationship Type="http://schemas.openxmlformats.org/officeDocument/2006/relationships/hyperlink" Target="https://www.bth.se/eng/programmes/" TargetMode="External" Id="rId82" /><Relationship Type="http://schemas.openxmlformats.org/officeDocument/2006/relationships/hyperlink" Target="https://www.kth.se/en/studies/master/machine-learning" TargetMode="External" Id="rId83" /><Relationship Type="http://schemas.openxmlformats.org/officeDocument/2006/relationships/hyperlink" Target="https://www.kth.se/en/studies/master/cybersecurity" TargetMode="External" Id="rId84" /><Relationship Type="http://schemas.openxmlformats.org/officeDocument/2006/relationships/hyperlink" Target="https://www.kth.se/en/studies/master/software-engineering-of-distributed-systems" TargetMode="External" Id="rId85" /><Relationship Type="http://schemas.openxmlformats.org/officeDocument/2006/relationships/hyperlink" Target="https://www.chalmers.se/en/education/find-masters-programme/data-science-and-ai-msc/" TargetMode="External" Id="rId86" /><Relationship Type="http://schemas.openxmlformats.org/officeDocument/2006/relationships/hyperlink" Target="https://www.chalmers.se/en/education/find-masters-programme/software-engineering-and-technology-msc/" TargetMode="External" Id="rId87" /><Relationship Type="http://schemas.openxmlformats.org/officeDocument/2006/relationships/hyperlink" Target="https://www.chalmers.se/en/education/find-masters-programme/interaction-design-and-technologies-msc/" TargetMode="External" Id="rId88" /><Relationship Type="http://schemas.openxmlformats.org/officeDocument/2006/relationships/hyperlink" Target="https://www.gu.se/en/study-gothenburg/game-design-technology-masters-programme-n2gdt" TargetMode="External" Id="rId89" /><Relationship Type="http://schemas.openxmlformats.org/officeDocument/2006/relationships/hyperlink" Target="https://www.uu.se/en/study/programme/masters-programme-in-computer-science" TargetMode="External" Id="rId90" /><Relationship Type="http://schemas.openxmlformats.org/officeDocument/2006/relationships/hyperlink" Target="https://www.umu.se/en/education/master/masters-programme-in-artificial-intelligence/" TargetMode="External" Id="rId91" /><Relationship Type="http://schemas.openxmlformats.org/officeDocument/2006/relationships/hyperlink" Target="https://www.his.se/en/education/" TargetMode="External" Id="rId92" /><Relationship Type="http://schemas.openxmlformats.org/officeDocument/2006/relationships/hyperlink" Target="https://www.mdu.se/en/malardalen-university/education" TargetMode="External" Id="rId93" /><Relationship Type="http://schemas.openxmlformats.org/officeDocument/2006/relationships/hyperlink" Target="https://www.mdu.se/en/malardalen-university/education" TargetMode="External" Id="rId94" /><Relationship Type="http://schemas.openxmlformats.org/officeDocument/2006/relationships/hyperlink" Target="https://www.en.aau.dk/education/master/computer-science-it" TargetMode="External" Id="rId95" /><Relationship Type="http://schemas.openxmlformats.org/officeDocument/2006/relationships/hyperlink" Target="https://www.en.aau.dk/education/master/software" TargetMode="External" Id="rId96" /><Relationship Type="http://schemas.openxmlformats.org/officeDocument/2006/relationships/hyperlink" Target="https://www.en.aau.dk/education/master/cyber-security/" TargetMode="External" Id="rId97" /><Relationship Type="http://schemas.openxmlformats.org/officeDocument/2006/relationships/hyperlink" Target="https://www.en.aau.dk/education/master/medialogy-aal" TargetMode="External" Id="rId98" /><Relationship Type="http://schemas.openxmlformats.org/officeDocument/2006/relationships/hyperlink" Target="https://www.sdu.dk/en/uddannelse/fees_and_funding/tuition" TargetMode="External" Id="rId99" /><Relationship Type="http://schemas.openxmlformats.org/officeDocument/2006/relationships/hyperlink" Target="https://www.sdu.dk/en/uddannelse/kandidat/softwareengineering" TargetMode="External" Id="rId100" /><Relationship Type="http://schemas.openxmlformats.org/officeDocument/2006/relationships/hyperlink" Target="https://www.sdu.dk/en/studyscience" TargetMode="External" Id="rId101" /><Relationship Type="http://schemas.openxmlformats.org/officeDocument/2006/relationships/hyperlink" Target="https://www.sdu.dk/en/uddannelse/kandidat/alle-kandidatuddannelser" TargetMode="External" Id="rId102" /><Relationship Type="http://schemas.openxmlformats.org/officeDocument/2006/relationships/hyperlink" Target="https://www.sdu.dk/en/uddannelse/kandidat/alle-kandidatuddannelser" TargetMode="External" Id="rId103" /><Relationship Type="http://schemas.openxmlformats.org/officeDocument/2006/relationships/hyperlink" Target="https://en.itu.dk/Programmes/MSc-Programmes/Applying-to-a-MSc-programme/Non-EU-EOES" TargetMode="External" Id="rId104" /><Relationship Type="http://schemas.openxmlformats.org/officeDocument/2006/relationships/hyperlink" Target="https://en.itu.dk/Programmes/MSc-Programmes/Applying-to-a-MSc-programme/Non-EU-EOES" TargetMode="External" Id="rId105" /><Relationship Type="http://schemas.openxmlformats.org/officeDocument/2006/relationships/hyperlink" Target="https://en.itu.dk/Programmes/MSc-Programmes/Applying-to-a-MSc-programme/Non-EU-EOES" TargetMode="External" Id="rId106" /><Relationship Type="http://schemas.openxmlformats.org/officeDocument/2006/relationships/hyperlink" Target="https://www.dtu.dk/english/education/graduate/msc-programmes/human-centered-artificial-intelligence" TargetMode="External" Id="rId107" /><Relationship Type="http://schemas.openxmlformats.org/officeDocument/2006/relationships/hyperlink" Target="https://www.dtu.dk/english/education/graduate/msc-programmes/autonomous-systems/prerequisites" TargetMode="External" Id="rId108" /><Relationship Type="http://schemas.openxmlformats.org/officeDocument/2006/relationships/hyperlink" Target="https://www.dtu.dk/english/education/graduate/msc-programmes/computer-science-and-engineering" TargetMode="External" Id="rId109" /><Relationship Type="http://schemas.openxmlformats.org/officeDocument/2006/relationships/hyperlink" Target="https://masters.au.dk/computerscience" TargetMode="External" Id="rId110" /></Relationships>
</file>

<file path=xl/worksheets/_rels/sheet9.xml.rels><Relationships xmlns="http://schemas.openxmlformats.org/package/2006/relationships"><Relationship Type="http://schemas.openxmlformats.org/officeDocument/2006/relationships/hyperlink" Target="https://www.make-it-in-germany.com/en/visa-residence/types/eu-blue-card" TargetMode="External" Id="rId1" /><Relationship Type="http://schemas.openxmlformats.org/officeDocument/2006/relationships/hyperlink" Target="https://www.make-it-in-germany.com/en/study-training/study/financing" TargetMode="External" Id="rId2" /><Relationship Type="http://schemas.openxmlformats.org/officeDocument/2006/relationships/hyperlink" Target="https://www.make-it-in-germany.com/en/visa-residence/living-permanently/permanent-residence" TargetMode="External" Id="rId3" /><Relationship Type="http://schemas.openxmlformats.org/officeDocument/2006/relationships/hyperlink" Target="https://www.uni-stuttgart.de/en/study/study-programs/Computer-Science-M.Sc./" TargetMode="External" Id="rId4" /><Relationship Type="http://schemas.openxmlformats.org/officeDocument/2006/relationships/hyperlink" Target="https://www.ai.study.fau.eu/prospective-students/living-studying-in-germany/language-proficiency/" TargetMode="External" Id="rId5" /><Relationship Type="http://schemas.openxmlformats.org/officeDocument/2006/relationships/hyperlink" Target="https://www.informatik.tu-darmstadt.de/studium_fb20/im_studium/studiengaenge_liste/computer_science_msc.en.jsp" TargetMode="External" Id="rId6" /><Relationship Type="http://schemas.openxmlformats.org/officeDocument/2006/relationships/hyperlink" Target="https://tu-dresden.de/ing/informatik/studium/studienangebot/master-studiengaenge/m-sc-computer-science/admission?set_language=en" TargetMode="External" Id="rId7" /><Relationship Type="http://schemas.openxmlformats.org/officeDocument/2006/relationships/hyperlink" Target="https://visas-de.tlscontact.com/en-us/country/ir/vac/irTHR2de" TargetMode="External" Id="rId8" /><Relationship Type="http://schemas.openxmlformats.org/officeDocument/2006/relationships/hyperlink" Target="https://www.iranintl.com/en/202608115899" TargetMode="External" Id="rId9" /><Relationship Type="http://schemas.openxmlformats.org/officeDocument/2006/relationships/hyperlink" Target="https://www.simplegermany.com/best-blocked-account-germany/" TargetMode="External" Id="rId10" /><Relationship Type="http://schemas.openxmlformats.org/officeDocument/2006/relationships/hyperlink" Target="https://www.stepstone.de/gehalt/Software-Entwickler-in.html" TargetMode="External" Id="rId11" /><Relationship Type="http://schemas.openxmlformats.org/officeDocument/2006/relationships/hyperlink" Target="https://ind.nl/en/required-amounts-income-requirements" TargetMode="External" Id="rId12" /><Relationship Type="http://schemas.openxmlformats.org/officeDocument/2006/relationships/hyperlink" Target="https://www.utwente.nl/en/education/master/programmes/computer-science/finance/" TargetMode="External" Id="rId13" /><Relationship Type="http://schemas.openxmlformats.org/officeDocument/2006/relationships/hyperlink" Target="https://www.utwente.nl/en/education/master/programmes/european-studies/admission/international/" TargetMode="External" Id="rId14" /><Relationship Type="http://schemas.openxmlformats.org/officeDocument/2006/relationships/hyperlink" Target="https://www.utwente.nl/en/about-us/impact-ambitions/rankings/" TargetMode="External" Id="rId15" /><Relationship Type="http://schemas.openxmlformats.org/officeDocument/2006/relationships/hyperlink" Target="https://www.ru.nl/en/education/masters/data-science-and-ai/tuition" TargetMode="External" Id="rId16" /><Relationship Type="http://schemas.openxmlformats.org/officeDocument/2006/relationships/hyperlink" Target="https://www.netherlandsworldwide.nl/visa-the-netherlands/mvv-long-stay/apply-iran" TargetMode="External" Id="rId17" /><Relationship Type="http://schemas.openxmlformats.org/officeDocument/2006/relationships/hyperlink" Target="https://thedutchdaily.nl/dutch-citizenship-b1-language-requirement-confirmed-2026/" TargetMode="External" Id="rId18" /><Relationship Type="http://schemas.openxmlformats.org/officeDocument/2006/relationships/hyperlink" Target="https://www.migrationsverket.se/nyheter/news-archive/2026-05-25-new-rules-for-residence-permits-for-studies-in-higher-education.html" TargetMode="External" Id="rId19" /><Relationship Type="http://schemas.openxmlformats.org/officeDocument/2006/relationships/hyperlink" Target="https://www.migrationsverket.se/nyheter/news-archive/2026-04-17-new-rules-for-work-permits-from-1-june-2026.html" TargetMode="External" Id="rId20" /><Relationship Type="http://schemas.openxmlformats.org/officeDocument/2006/relationships/hyperlink" Target="https://eiglaw.com/sweden-publishes-exempt-occupations-for-new-salary-rule/" TargetMode="External" Id="rId21" /><Relationship Type="http://schemas.openxmlformats.org/officeDocument/2006/relationships/hyperlink" Target="https://www.migrationsverket.se/en/you-want-to-extend/study/look-for-work-after-completing-your-studies-in-sweden.html" TargetMode="External" Id="rId22" /><Relationship Type="http://schemas.openxmlformats.org/officeDocument/2006/relationships/hyperlink" Target="https://liu.se/en/education/program/6mics" TargetMode="External" Id="rId23" /><Relationship Type="http://schemas.openxmlformats.org/officeDocument/2006/relationships/hyperlink" Target="https://www.bth.se/english/education/programmes/masters-programme-in-software-engineering-120-credits" TargetMode="External" Id="rId24" /><Relationship Type="http://schemas.openxmlformats.org/officeDocument/2006/relationships/hyperlink" Target="https://www.bth.se/english/education/programmes/masters-programme-in-software-engineering-60-credits" TargetMode="External" Id="rId25" /><Relationship Type="http://schemas.openxmlformats.org/officeDocument/2006/relationships/hyperlink" Target="https://www.mastersportal.com/studies/22787/information-technology.html" TargetMode="External" Id="rId26" /><Relationship Type="http://schemas.openxmlformats.org/officeDocument/2006/relationships/hyperlink" Target="https://www.hh.se/english/education/student-life/find-accommodation.html" TargetMode="External" Id="rId27" /><Relationship Type="http://schemas.openxmlformats.org/officeDocument/2006/relationships/hyperlink" Target="https://www.imidaily.com/europe/sweden-passes-law-curtailing-naturalization-8-year-wait-income-floor/" TargetMode="External" Id="rId28" /><Relationship Type="http://schemas.openxmlformats.org/officeDocument/2006/relationships/hyperlink" Target="https://www.swedenabroad.se/globalassets/ambassader/iran-teheran/documents/migration-issues/new-folder/english-versin.pdf" TargetMode="External" Id="rId29" /><Relationship Type="http://schemas.openxmlformats.org/officeDocument/2006/relationships/hyperlink" Target="https://www.nyidanmark.dk/pl-PL/You-want-to-apply/Work/Pay-limit-scheme" TargetMode="External" Id="rId30" /><Relationship Type="http://schemas.openxmlformats.org/officeDocument/2006/relationships/hyperlink" Target="https://www.nyidanmark.dk/en-GB/You-want-to-apply/Study/Higher-Education" TargetMode="External" Id="rId31" /><Relationship Type="http://schemas.openxmlformats.org/officeDocument/2006/relationships/hyperlink" Target="https://www.nyidanmark.dk/de-DE/You-want-to-apply/Study/Study---job-seeking/Study---3-years-job-seeking" TargetMode="External" Id="rId32" /><Relationship Type="http://schemas.openxmlformats.org/officeDocument/2006/relationships/hyperlink" Target="https://www.nyidanmark.dk/de-DE/You-want-to-apply/Permanent-residence-permit/Permanent-residence" TargetMode="External" Id="rId33" /><Relationship Type="http://schemas.openxmlformats.org/officeDocument/2006/relationships/hyperlink" Target="https://nyidanmark.dk/en-GB/Words-and-concepts/SIRI/Self-support---SIRI" TargetMode="External" Id="rId34" /><Relationship Type="http://schemas.openxmlformats.org/officeDocument/2006/relationships/hyperlink" Target="https://studyindenmark.dk/portal/aalborg-university-aau/aalborg/computer-science-it-msc" TargetMode="External" Id="rId35" /><Relationship Type="http://schemas.openxmlformats.org/officeDocument/2006/relationships/hyperlink" Target="https://www.sdu.dk/en/uddannelse/fees_and_funding/tuition" TargetMode="External" Id="rId36" /><Relationship Type="http://schemas.openxmlformats.org/officeDocument/2006/relationships/hyperlink" Target="https://www.sdu.dk/en/uddannelse/kandidat/datalogi/adgangskrav" TargetMode="External" Id="rId37" /><Relationship Type="http://schemas.openxmlformats.org/officeDocument/2006/relationships/hyperlink" Target="https://iran.um.dk/en" TargetMode="External" Id="rId38" /><Relationship Type="http://schemas.openxmlformats.org/officeDocument/2006/relationships/hyperlink" Target="https://studerende.ida.dk/snart-nyuddannet/loen/softwareingenioer-loen-saa-meget-kommer-du-til-at-tjene/" TargetMode="External" Id="rId39" /><Relationship Type="http://schemas.openxmlformats.org/officeDocument/2006/relationships/hyperlink" Target="https://www.studierendenwerke.de/en/topics/accomodation/accommodation-and-studies" TargetMode="External" Id="rId40" /><Relationship Type="http://schemas.openxmlformats.org/officeDocument/2006/relationships/hyperlink" Target="https://www.studierendenwerk-stuttgart.de/ueber-uns/presse/pressemitteilungen/mitteilung/wohnraum-fuer-studierende-in-der-hochschulregion-stuttgart" TargetMode="External" Id="rId41" /><Relationship Type="http://schemas.openxmlformats.org/officeDocument/2006/relationships/hyperlink" Target="https://www.ru.nl/en/students/international-students/housing/housing-options/apply-for-help-with-housing" TargetMode="External" Id="rId42" /><Relationship Type="http://schemas.openxmlformats.org/officeDocument/2006/relationships/hyperlink" Target="https://www.timeshighereducation.com/cms-academic/sites/default/files/institution_downloads/2025-08/OM_BAMA_intbrochure_2026-2027_interactieve_3.pdf" TargetMode="External" Id="rId43" /><Relationship Type="http://schemas.openxmlformats.org/officeDocument/2006/relationships/hyperlink" Target="https://www.uu.nl/en/education/welcome-to-utrecht/prepare-your-stay/arrange-housing/ways-to-find-housing/uu-reserved-accommodation-progamme/reserved-accommodation-for-masters-sep-26/reserved-housing-plaza" TargetMode="External" Id="rId44" /><Relationship Type="http://schemas.openxmlformats.org/officeDocument/2006/relationships/hyperlink" Target="https://issuu.com/utwente/docs/master_programmes_university_of_twente/s/16597294" TargetMode="External" Id="rId45" /><Relationship Type="http://schemas.openxmlformats.org/officeDocument/2006/relationships/hyperlink" Target="https://www.uu.se/en/study/masters-studies/living-in-sweden/housing" TargetMode="External" Id="rId46" /><Relationship Type="http://schemas.openxmlformats.org/officeDocument/2006/relationships/hyperlink" Target="https://medarbetare.su.se/en/education/first-and-second-level/internationalisation-for-students/housing-for-international-students" TargetMode="External" Id="rId47" /><Relationship Type="http://schemas.openxmlformats.org/officeDocument/2006/relationships/hyperlink" Target="https://www.en.aau.dk/living-in-denmark/accommodation/international-students-in-copenhagen" TargetMode="External" Id="rId48" /><Relationship Type="http://schemas.openxmlformats.org/officeDocument/2006/relationships/hyperlink" Target="https://www.findunirooms.com/denmark/aalborg-university/" TargetMode="External" Id="rId49" /><Relationship Type="http://schemas.openxmlformats.org/officeDocument/2006/relationships/hyperlink" Target="https://www.york.ac.uk/study/accommodation/postgraduate/" TargetMode="External" Id="rId50" /><Relationship Type="http://schemas.openxmlformats.org/officeDocument/2006/relationships/hyperlink" Target="https://www.essex.ac.uk/life/accommodation/apply/new-students/postgraduate" TargetMode="External" Id="rId51" /><Relationship Type="http://schemas.openxmlformats.org/officeDocument/2006/relationships/hyperlink" Target="https://www.brunel.ac.uk/life/accommodation/how-to-apply" TargetMode="External" Id="rId52" /><Relationship Type="http://schemas.openxmlformats.org/officeDocument/2006/relationships/hyperlink" Target="https://www.ncl.ac.uk/accommodation/university/" TargetMode="External" Id="rId53" /><Relationship Type="http://schemas.openxmlformats.org/officeDocument/2006/relationships/hyperlink" Target="https://www.northumbria.ac.uk/study-at-northumbria/postgraduate-study/pg-info-new/postgraduate-study-living-costs/" TargetMode="External" Id="rId54" /><Relationship Type="http://schemas.openxmlformats.org/officeDocument/2006/relationships/hyperlink" Target="https://www.durham.ac.uk/colleges-and-student-experience/colleges/university/accommodation/" TargetMode="External" Id="rId55" /><Relationship Type="http://schemas.openxmlformats.org/officeDocument/2006/relationships/hyperlink" Target="https://www.palatinate.org.uk/college-accommodation-prices-increase-by-5/" TargetMode="External" Id="rId56" /><Relationship Type="http://schemas.openxmlformats.org/officeDocument/2006/relationships/hyperlink" Target="https://www.harveywjames.com/news-imperial-college-rent-guarantee-scheme-london" TargetMode="External" Id="rId57" /><Relationship Type="http://schemas.openxmlformats.org/officeDocument/2006/relationships/hyperlink" Target="https://www.svt.se/nyheter/inrikes/rapport-flera-kommuner-med-bostadsgaranti-kan-inte-erbjuda-studenter-bostad" TargetMode="External" Id="rId58" /><Relationship Type="http://schemas.openxmlformats.org/officeDocument/2006/relationships/hyperlink" Target="https://www.kau.se/nyheter/karlstad-fortsatt-gront-i-studentbostadsrapport" TargetMode="External" Id="rId59" /><Relationship Type="http://schemas.openxmlformats.org/officeDocument/2006/relationships/hyperlink" Target="https://de.marketscreener.com/boerse-nachrichten/mlp-studentenwohnreport-2025-wohnen-bleibt-fuer-studierende-zu-teuer-a-und-wird-zunehmend-zum-stan-ce7d5bd9d88ef62c" TargetMode="External" Id="rId60" /><Relationship Type="http://schemas.openxmlformats.org/officeDocument/2006/relationships/hyperlink" Target="https://delta.tudelft.nl/en/article/kences-housing-shortage-remains-severe-delft-believes-it-has-found-a-solution" TargetMode="External" Id="rId61" /><Relationship Type="http://schemas.openxmlformats.org/officeDocument/2006/relationships/hyperlink" Target="https://kamernet.nl/tips/verhuurders/huurprijs/kamernet-verhuurrapportage-q1-2025" TargetMode="External" Id="rId62" /><Relationship Type="http://schemas.openxmlformats.org/officeDocument/2006/relationships/hyperlink" Target="https://www.manchester.ac.uk/study/international/accommodation/guarantee/" TargetMode="External" Id="rId63" /><Relationship Type="http://schemas.openxmlformats.org/officeDocument/2006/relationships/hyperlink" Target="https://de.statista.com/statistik/daten/studie/1447630/umfrage/durchschnittsmiete-in-studierendenwerken/" TargetMode="External" Id="rId64" /><Relationship Type="http://schemas.openxmlformats.org/officeDocument/2006/relationships/hyperlink" Target="https://www.tees.ac.uk/sections/accommodation/buildings/kes.cfm" TargetMode="External" Id="rId65" /><Relationship Type="http://schemas.openxmlformats.org/officeDocument/2006/relationships/hyperlink" Target="https://www.essex.ac.uk/life/accommodation/colchester/rent-charges" TargetMode="External" Id="rId66" /><Relationship Type="http://schemas.openxmlformats.org/officeDocument/2006/relationships/hyperlink" Target="https://www.brunel.ac.uk/life/accommodation/residences/residence?id=bd97a78a-03f2-4ed9-bce8-146d2e3ad8fc" TargetMode="External" Id="rId67" /><Relationship Type="http://schemas.openxmlformats.org/officeDocument/2006/relationships/hyperlink" Target="https://sheffield.ac.uk/accommodation/rents" TargetMode="External" Id="rId68" /><Relationship Type="http://schemas.openxmlformats.org/officeDocument/2006/relationships/hyperlink" Target="https://features.lancaster-university.uk/accommodation/" TargetMode="External" Id="rId69" /><Relationship Type="http://schemas.openxmlformats.org/officeDocument/2006/relationships/hyperlink" Target="https://www.woko.ch/unser-angebot/liegenschaften" TargetMode="External" Id="rId70" /><Relationship Type="http://schemas.openxmlformats.org/officeDocument/2006/relationships/hyperlink" Target="https://russellgroup.ac.uk/about/our-universities/" TargetMode="External" Id="rId71" /><Relationship Type="http://schemas.openxmlformats.org/officeDocument/2006/relationships/hyperlink" Target="https://warwick.ac.uk/study/international/countryinformation/middleeast/iran/" TargetMode="External" Id="rId72" /><Relationship Type="http://schemas.openxmlformats.org/officeDocument/2006/relationships/hyperlink" Target="https://www.durham.ac.uk/study/courses/advanced-computer-science-g5t609/" TargetMode="External" Id="rId73" /><Relationship Type="http://schemas.openxmlformats.org/officeDocument/2006/relationships/hyperlink" Target="https://www.kcl.ac.uk/study-legacy/postgraduate/apply/entry-requirements/international" TargetMode="External" Id="rId74" /><Relationship Type="http://schemas.openxmlformats.org/officeDocument/2006/relationships/hyperlink" Target="https://www.imperial.ac.uk/study/courses/postgraduate-taught/computing-artificial-intelligence-msc/" TargetMode="External" Id="rId75" /><Relationship Type="http://schemas.openxmlformats.org/officeDocument/2006/relationships/hyperlink" Target="https://www.ucl.ac.uk/prospective-students/graduate/taught-degrees/computer-science-msc-2026" TargetMode="External" Id="rId76" /><Relationship Type="http://schemas.openxmlformats.org/officeDocument/2006/relationships/hyperlink" Target="https://www.bristol.ac.uk/study/postgraduate/taught/msc-data-science/" TargetMode="External" Id="rId77" /><Relationship Type="http://schemas.openxmlformats.org/officeDocument/2006/relationships/hyperlink" Target="https://www.bristol.ac.uk/international/countries/iran.html" TargetMode="External" Id="rId78" /><Relationship Type="http://schemas.openxmlformats.org/officeDocument/2006/relationships/hyperlink" Target="https://www.manchester.ac.uk/about/news/university-of-manchester-tops-uk-rankings-for-graduate-employer-interest/" TargetMode="External" Id="rId79" /><Relationship Type="http://schemas.openxmlformats.org/officeDocument/2006/relationships/hyperlink" Target="https://unilens.co.uk/insights/highest-graduate-earnings-uk-universities-2026" TargetMode="External" Id="rId80" /><Relationship Type="http://schemas.openxmlformats.org/officeDocument/2006/relationships/hyperlink" Target="https://www.gov.uk/guidance/immigration-rules/immigration-rules-appendix-atas-academic-technology-approval-scheme-atas" TargetMode="External" Id="rId81" /><Relationship Type="http://schemas.openxmlformats.org/officeDocument/2006/relationships/hyperlink" Target="https://liu.se/en/article/scholarships" TargetMode="External" Id="rId82" /><Relationship Type="http://schemas.openxmlformats.org/officeDocument/2006/relationships/hyperlink" Target="https://www.chalmers.se/en/education/application-and-admission/scholarships-for-fee-paying-students/" TargetMode="External" Id="rId83" /><Relationship Type="http://schemas.openxmlformats.org/officeDocument/2006/relationships/hyperlink" Target="https://www.mastersportal.com/scholarships/10077/halmstad-university-scholarships.html" TargetMode="External" Id="rId84" /><Relationship Type="http://schemas.openxmlformats.org/officeDocument/2006/relationships/hyperlink" Target="https://daadscholarship.com/malardalen-university-scholarships-2026-to-study-for-free-in-sweden/" TargetMode="External" Id="rId85" /><Relationship Type="http://schemas.openxmlformats.org/officeDocument/2006/relationships/hyperlink" Target="https://si.se/en/apply/scholarships/swedish-institute-scholarships-for-global-professionals/" TargetMode="External" Id="rId86" /><Relationship Type="http://schemas.openxmlformats.org/officeDocument/2006/relationships/hyperlink" Target="https://www.mastersportal.com/scholarships/988/holland-scholarship-for-non-eea-international-students.html" TargetMode="External" Id="rId87" /><Relationship Type="http://schemas.openxmlformats.org/officeDocument/2006/relationships/hyperlink" Target="https://www.en.aau.dk/education/apply/master/finance-and-fees" TargetMode="External" Id="rId88" /><Relationship Type="http://schemas.openxmlformats.org/officeDocument/2006/relationships/hyperlink" Target="https://ethz.ch/en/studies/financial/scholarships/excellencescholarship.html" TargetMode="External" Id="rId89" /><Relationship Type="http://schemas.openxmlformats.org/officeDocument/2006/relationships/hyperlink" Target="https://www.eco.usi.ch/en/feeds/9861" TargetMode="External" Id="rId90" /><Relationship Type="http://schemas.openxmlformats.org/officeDocument/2006/relationships/hyperlink" Target="https://www.essex.ac.uk/scholarships" TargetMode="External" Id="rId91" /><Relationship Type="http://schemas.openxmlformats.org/officeDocument/2006/relationships/hyperlink" Target="https://www.tees.ac.uk/sections/international/global_excellence_scholarship.cfm" TargetMode="External" Id="rId92" /><Relationship Type="http://schemas.openxmlformats.org/officeDocument/2006/relationships/hyperlink" Target="https://www.brunel.ac.uk/scholarships" TargetMode="External" Id="rId93" /><Relationship Type="http://schemas.openxmlformats.org/officeDocument/2006/relationships/hyperlink" Target="https://www.mastersportal.com/scholarships/3890/pgt-international-scholarships.html" TargetMode="External" Id="rId94" /><Relationship Type="http://schemas.openxmlformats.org/officeDocument/2006/relationships/hyperlink" Target="https://www.chevening.org/resource-hub/guidance/eligibility/" TargetMode="External" Id="rId95" /><Relationship Type="http://schemas.openxmlformats.org/officeDocument/2006/relationships/hyperlink" Target="https://www.deutschlandstipendium.de/" TargetMode="External" Id="rId96" /><Relationship Type="http://schemas.openxmlformats.org/officeDocument/2006/relationships/hyperlink" Target="https://ethz.ch/en/studies/master/application/dates.html" TargetMode="External" Id="rId97" /><Relationship Type="http://schemas.openxmlformats.org/officeDocument/2006/relationships/hyperlink" Target="https://www.epfl.ch/education/studies/en/rules-and-procedures/study-taxes/tuition-fee-other-fees/" TargetMode="External" Id="rId98" /><Relationship Type="http://schemas.openxmlformats.org/officeDocument/2006/relationships/hyperlink" Target="https://www.epfl.ch/education/admission/admission-2/master-admission-criteria-application/online-application/" TargetMode="External" Id="rId99" /><Relationship Type="http://schemas.openxmlformats.org/officeDocument/2006/relationships/hyperlink" Target="https://www.uzh.ch/en/studies/application/fees.html" TargetMode="External" Id="rId100" /><Relationship Type="http://schemas.openxmlformats.org/officeDocument/2006/relationships/hyperlink" Target="https://www.oec.uzh.ch/en/studies/general/admission/master/faq-master-admission.html" TargetMode="External" Id="rId101" /><Relationship Type="http://schemas.openxmlformats.org/officeDocument/2006/relationships/hyperlink" Target="https://www.usi.ch/en/education/master/informatics" TargetMode="External" Id="rId102" /><Relationship Type="http://schemas.openxmlformats.org/officeDocument/2006/relationships/hyperlink" Target="https://www.topuniversities.com/universities/usi-universita-della-svizzera-italiana/postgrad/master-science-artificial-intelligence" TargetMode="External" Id="rId103" /><Relationship Type="http://schemas.openxmlformats.org/officeDocument/2006/relationships/hyperlink" Target="https://www.swissuniversities.ch/en/themen/lehre-studium/information-on-studies/tuition-fees/tuition-fees-at-uas" TargetMode="External" Id="rId104" /><Relationship Type="http://schemas.openxmlformats.org/officeDocument/2006/relationships/hyperlink" Target="https://www.zhaw.ch/en/engineering/study/masters-degree-programme" TargetMode="External" Id="rId105" /><Relationship Type="http://schemas.openxmlformats.org/officeDocument/2006/relationships/hyperlink" Target="https://www.hslu.ch/en/lucerne-school-of-business/degree-programmes/master/applied-information-and-data-science/haeufig-gestellte-fragen/" TargetMode="External" Id="rId106" /><Relationship Type="http://schemas.openxmlformats.org/officeDocument/2006/relationships/hyperlink" Target="https://www.philnat.unibe.ch/studies/study_programs/master_s_in_computer_science/index_eng.html" TargetMode="External" Id="rId107" /><Relationship Type="http://schemas.openxmlformats.org/officeDocument/2006/relationships/hyperlink" Target="https://www.unibe.ch/studies/organizational_matters/renewal_of_semester_registration/fees/index_eng.html" TargetMode="External" Id="rId108" /><Relationship Type="http://schemas.openxmlformats.org/officeDocument/2006/relationships/hyperlink" Target="https://mcs.unibnf.ch/faq/" TargetMode="External" Id="rId109" /><Relationship Type="http://schemas.openxmlformats.org/officeDocument/2006/relationships/hyperlink" Target="https://www.unine.ch/admission/taxes-universitaires/" TargetMode="External" Id="rId110" /><Relationship Type="http://schemas.openxmlformats.org/officeDocument/2006/relationships/hyperlink" Target="https://www.unine.ch/admission/admission-master/delais-et-frais-dinscription-pour-les-masters/" TargetMode="External" Id="rId111" /><Relationship Type="http://schemas.openxmlformats.org/officeDocument/2006/relationships/hyperlink" Target="https://www.unifr.ch/studies/en/organisation/administrative-services-unifr-students/university-fees/" TargetMode="External" Id="rId112" /><Relationship Type="http://schemas.openxmlformats.org/officeDocument/2006/relationships/hyperlink" Target="https://www.unifr.ch/studies/en/admission/admission-master/admission-master-foreign.html" TargetMode="External" Id="rId113" /><Relationship Type="http://schemas.openxmlformats.org/officeDocument/2006/relationships/hyperlink" Target="https://dmi.unibas.ch/en/studies/computer-science/masters/" TargetMode="External" Id="rId114" /><Relationship Type="http://schemas.openxmlformats.org/officeDocument/2006/relationships/hyperlink" Target="https://www.unibas.ch/dam/jcr:28672e66-8562-4988-9e38-b1c944ed22bf/COMPUTER%20SCIENCE%202026.2026-02-05-09-53-32.pdf" TargetMode="External" Id="rId115" /><Relationship Type="http://schemas.openxmlformats.org/officeDocument/2006/relationships/hyperlink" Target="https://www.hslu.ch/en/lucerne-school-of-business/degree-programmes/master/applied-data-science-and-ai/" TargetMode="External" Id="rId116" /><Relationship Type="http://schemas.openxmlformats.org/officeDocument/2006/relationships/hyperlink" Target="https://www.usi.ch/en/education/master/informatics/application" TargetMode="External" Id="rId117" /><Relationship Type="http://schemas.openxmlformats.org/officeDocument/2006/relationships/hyperlink" Target="https://www.sem.admin.ch/sem/en/home/themen/arbeit/faq.html" TargetMode="External" Id="rId118" /><Relationship Type="http://schemas.openxmlformats.org/officeDocument/2006/relationships/hyperlink" Target="https://goldblum.ch/knowledgebase/residence-permit-in-switzerland-obtain/" TargetMode="External" Id="rId119" /><Relationship Type="http://schemas.openxmlformats.org/officeDocument/2006/relationships/hyperlink" Target="https://vshcherbakov.com/2025/06/26/Path-to-working-permit-for-Swiss-graduates/" TargetMode="External" Id="rId120" /><Relationship Type="http://schemas.openxmlformats.org/officeDocument/2006/relationships/hyperlink" Target="https://www.study-abroad.org/blog/ch-student-visa-guide/" TargetMode="External" Id="rId121" /><Relationship Type="http://schemas.openxmlformats.org/officeDocument/2006/relationships/hyperlink" Target="https://www.zhaw.ch/storage/sml/master/msc-bf-pie-information-for-international-students.pdf" TargetMode="External" Id="rId122" /><Relationship Type="http://schemas.openxmlformats.org/officeDocument/2006/relationships/hyperlink" Target="https://gradpilot.com/news/switzerland-student-visa-motivation-letter-canton-guide" TargetMode="External" Id="rId123" /><Relationship Type="http://schemas.openxmlformats.org/officeDocument/2006/relationships/hyperlink" Target="https://relofinder.ch/blog/swiss-c-permit-permanent-residence-2026-guide/" TargetMode="External" Id="rId124" /><Relationship Type="http://schemas.openxmlformats.org/officeDocument/2006/relationships/hyperlink" Target="https://www.richmondchambers.ch/post/swiss-c-permit-eligibility-required-years-of-residence-integration-expectations-and-fast-track-pa" TargetMode="External" Id="rId125" /><Relationship Type="http://schemas.openxmlformats.org/officeDocument/2006/relationships/hyperlink" Target="https://www.eda.admin.ch/countries/iran/en/home.html" TargetMode="External" Id="rId126" /><Relationship Type="http://schemas.openxmlformats.org/officeDocument/2006/relationships/hyperlink" Target="https://whatisthesalary.com/it-salaries/software-engineer-salary-in-switzerland/" TargetMode="External" Id="rId127" /><Relationship Type="http://schemas.openxmlformats.org/officeDocument/2006/relationships/hyperlink" Target="https://www.glassdoor.com/Salaries/z%C3%BCrich-junior-software-engineer-salary-SRCH_IL.0,6_IC3297851_KO7,31.htm" TargetMode="External" Id="rId128" /><Relationship Type="http://schemas.openxmlformats.org/officeDocument/2006/relationships/hyperlink" Target="https://upreer.ch/en/salaries/software-engineer-salary-zurich/" TargetMode="External" Id="rId129" /><Relationship Type="http://schemas.openxmlformats.org/officeDocument/2006/relationships/hyperlink" Target="https://www.msfinance.uzh.ch/en/studyinginzurich/accommodation.html" TargetMode="External" Id="rId130" /><Relationship Type="http://schemas.openxmlformats.org/officeDocument/2006/relationships/hyperlink" Target="https://www.iamexpat.ch/education/education-news/eth-zurich-makes-top-universities-world" TargetMode="External" Id="rId131" /><Relationship Type="http://schemas.openxmlformats.org/officeDocument/2006/relationships/hyperlink" Target="https://www.tagesanzeiger.ch/10-millionen-schweiz-resultate-der-svp-initiative-im-ticker-935664202454" TargetMode="External" Id="rId132" /><Relationship Type="http://schemas.openxmlformats.org/officeDocument/2006/relationships/hyperlink" Target="https://www.efd.admin.ch/de/entlastungspaket-27" TargetMode="External" Id="rId133" /><Relationship Type="http://schemas.openxmlformats.org/officeDocument/2006/relationships/hyperlink" Target="https://capiwell.ch/swiss-it-labour-market-2026-specialised-skills-slower-growth-and-new-openings-for-start-ups/" TargetMode="External" Id="rId134" /><Relationship Type="http://schemas.openxmlformats.org/officeDocument/2006/relationships/hyperlink" Target="https://www.xe.com/en-us/currencyconverter/convert/?Amount=1&amp;From=CHF&amp;To=USD" TargetMode="External" Id="rId135" /><Relationship Type="http://schemas.openxmlformats.org/officeDocument/2006/relationships/hyperlink" Target="https://students.leeds.ac.uk/visa-information-after-studies/doc/graduate-visas" TargetMode="External" Id="rId136" /><Relationship Type="http://schemas.openxmlformats.org/officeDocument/2006/relationships/hyperlink" Target="https://www.gov.uk/government/publications/statement-of-changes-to-the-immigration-rules-hc-584-3-september-2026" TargetMode="External" Id="rId137" /><Relationship Type="http://schemas.openxmlformats.org/officeDocument/2006/relationships/hyperlink" Target="https://withrowan.co.uk/guides/skilled-worker-software-engineers" TargetMode="External" Id="rId138" /><Relationship Type="http://schemas.openxmlformats.org/officeDocument/2006/relationships/hyperlink" Target="https://www.ukimmigration.law/earned-settlement-ilr-uk-plans/" TargetMode="External" Id="rId139" /><Relationship Type="http://schemas.openxmlformats.org/officeDocument/2006/relationships/hyperlink" Target="https://www.tees.ac.uk/postgraduate_courses/computing_&amp;_cyber_security/msc_computer_science.cfm" TargetMode="External" Id="rId140" /><Relationship Type="http://schemas.openxmlformats.org/officeDocument/2006/relationships/hyperlink" Target="https://www.northumbria.ac.uk/study-at-northumbria/courses/msc-advanced-computer-science-dtfava6/" TargetMode="External" Id="rId141" /><Relationship Type="http://schemas.openxmlformats.org/officeDocument/2006/relationships/hyperlink" Target="https://le.ac.uk/courses/advanced-computer-science-msc/2026" TargetMode="External" Id="rId142" /><Relationship Type="http://schemas.openxmlformats.org/officeDocument/2006/relationships/hyperlink" Target="https://www.essex.ac.uk/courses/pg00435/1/msc-advanced-computer-science" TargetMode="External" Id="rId143" /><Relationship Type="http://schemas.openxmlformats.org/officeDocument/2006/relationships/hyperlink" Target="https://www.york.ac.uk/study/postgraduate-taught/courses/msc-advanced-computer-science/" TargetMode="External" Id="rId144" /><Relationship Type="http://schemas.openxmlformats.org/officeDocument/2006/relationships/hyperlink" Target="https://www.chester.ac.uk/study/course-search/advanced-computer-science-msc/" TargetMode="External" Id="rId145" /><Relationship Type="http://schemas.openxmlformats.org/officeDocument/2006/relationships/hyperlink" Target="https://www.brunel.ac.uk/study/courses/artificial-intelligence-msc" TargetMode="External" Id="rId146" /><Relationship Type="http://schemas.openxmlformats.org/officeDocument/2006/relationships/hyperlink" Target="https://www.researchprofessionalnews.com/rr-news-uk-politics-2025-11-international-levy-to-be-flat-fee-of-925-per-student/" TargetMode="External" Id="rId147" /><Relationship Type="http://schemas.openxmlformats.org/officeDocument/2006/relationships/hyperlink" Target="https://livingintehran.com/2026/02/03/tehran-diplomatic-update-recent-embassy-reopenings-current-status-feb-2026/" TargetMode="External" Id="rId148" /><Relationship Type="http://schemas.openxmlformats.org/officeDocument/2006/relationships/hyperlink" Target="https://tu-dresden.de/tu-dresden/newsportal/news/qs-ranking-2027-tud-gehoert-erneut-zu-den-zehn-besten-universitaeten-deutschlands-und-baut-internationalen-erfolg-weiter-aus" TargetMode="External" Id="rId149" /><Relationship Type="http://schemas.openxmlformats.org/officeDocument/2006/relationships/hyperlink" Target="https://www.uni-stuttgart.de/en/university/news/all/QS-World-University-Rankings-2027-The-University-of-Stuttgart-is-recognized-for-its-strong-research-performance-and-commitment-to-sustainability/" TargetMode="External" Id="rId150" /><Relationship Type="http://schemas.openxmlformats.org/officeDocument/2006/relationships/hyperlink" Target="https://www.ncl.ac.uk/press/articles/latest/2026/06/qs2027/" TargetMode="External" Id="rId151" /><Relationship Type="http://schemas.openxmlformats.org/officeDocument/2006/relationships/hyperlink" Target="https://www.york.ac.uk/about/rankings/" TargetMode="External" Id="rId152" /><Relationship Type="http://schemas.openxmlformats.org/officeDocument/2006/relationships/hyperlink" Target="https://www.topuniversities.com/universities/university-leicester" TargetMode="External" Id="rId153" /><Relationship Type="http://schemas.openxmlformats.org/officeDocument/2006/relationships/hyperlink" Target="https://www.topuniversities.com/universities/essex-university" TargetMode="External" Id="rId154" /><Relationship Type="http://schemas.openxmlformats.org/officeDocument/2006/relationships/hyperlink" Target="https://www.topuniversities.com/universities/northumbria-university-newcastle" TargetMode="External" Id="rId155" /><Relationship Type="http://schemas.openxmlformats.org/officeDocument/2006/relationships/hyperlink" Target="https://students.brunel.ac.uk/campus-news/brunel-climbs-global-qs-rankings-after-strong-year-for-research-and-graduate-outcomes" TargetMode="External" Id="rId156" /><Relationship Type="http://schemas.openxmlformats.org/officeDocument/2006/relationships/hyperlink" Target="https://www.topuniversities.com/world-university-rankings" TargetMode="External" Id="rId157" /><Relationship Type="http://schemas.openxmlformats.org/officeDocument/2006/relationships/hyperlink" Target="https://arlettipartners.com/new-increase-in-the-dutch-minimum-hourly-wage-from-january-1st-2026/" TargetMode="External" Id="rId158" /><Relationship Type="http://schemas.openxmlformats.org/officeDocument/2006/relationships/hyperlink" Target="https://www.xe.com/" TargetMode="External" Id="rId159" /><Relationship Type="http://schemas.openxmlformats.org/officeDocument/2006/relationships/hyperlink" Target="https://www.weforum.org/stories/jobs-and-the-future-of-work/ai-has-already-added-1-3-million-new-jobs-according-to-linkedin-data/" TargetMode="External" Id="rId160" /><Relationship Type="http://schemas.openxmlformats.org/officeDocument/2006/relationships/hyperlink" Target="https://www.bitkom.org/Bitkom/Publikationen/Der-Arbeitsmarkt-fuer-IT-Fachkraefte" TargetMode="External" Id="rId161" /><Relationship Type="http://schemas.openxmlformats.org/officeDocument/2006/relationships/hyperlink" Target="https://www.isc2.org/research" TargetMode="External" Id="rId162" /><Relationship Type="http://schemas.openxmlformats.org/officeDocument/2006/relationships/hyperlink" Target="https://en.wikipedia.org/wiki/2022%E2%80%932026_video_game_industry_layoffs" TargetMode="External" Id="rId163" /><Relationship Type="http://schemas.openxmlformats.org/officeDocument/2006/relationships/hyperlink" Target="https://www.thevoiceofuser.com/everyone-knows-the-uxr-hiring-market-is-bad-how-bad-is-it-though/" TargetMode="External" Id="rId164" /><Relationship Type="http://schemas.openxmlformats.org/officeDocument/2006/relationships/hyperlink" Target="https://research.com/advice/are-too-many-students-choosing-data-science-oversaturation-competition-hiring-reality" TargetMode="External" Id="rId165" /><Relationship Type="http://schemas.openxmlformats.org/officeDocument/2006/relationships/hyperlink" Target="https://www.uni-saarland.de/en/study/programmes/master/cybersecurity.html" TargetMode="External" Id="rId166" /><Relationship Type="http://schemas.openxmlformats.org/officeDocument/2006/relationships/hyperlink" Target="https://www.uni-passau.de/en/msc-ai-eng" TargetMode="External" Id="rId167" /><Relationship Type="http://schemas.openxmlformats.org/officeDocument/2006/relationships/hyperlink" Target="https://colognegamelab.de/study-programs/post-graduate-programs/game-development-research-ma/faqs/" TargetMode="External" Id="rId168" /><Relationship Type="http://schemas.openxmlformats.org/officeDocument/2006/relationships/hyperlink" Target="https://www2.daad.de/deutschland/studienangebote/international-programmes/en/detail/4686/" TargetMode="External" Id="rId169" /><Relationship Type="http://schemas.openxmlformats.org/officeDocument/2006/relationships/hyperlink" Target="https://www.h-brs.de/en/inf/admission-application-master-autonomous-systems" TargetMode="External" Id="rId170" /><Relationship Type="http://schemas.openxmlformats.org/officeDocument/2006/relationships/hyperlink" Target="https://sc.informatik.rwth-aachen.de/en/studium/master/sse/" TargetMode="External" Id="rId171" /><Relationship Type="http://schemas.openxmlformats.org/officeDocument/2006/relationships/hyperlink" Target="https://uni-tuebingen.de/fakultaeten/mathematisch-naturwissenschaftliche-fakultaet/fachbereiche/informatik/studium/studierende/lehre-studienorganisation/studiengaenge/machine-learning/admission-and-application/" TargetMode="External" Id="rId172" /><Relationship Type="http://schemas.openxmlformats.org/officeDocument/2006/relationships/hyperlink" Target="https://www.tum.de/en/studies/degree-programs/detail/informatics-master-of-science-msc" TargetMode="External" Id="rId173" /><Relationship Type="http://schemas.openxmlformats.org/officeDocument/2006/relationships/hyperlink" Target="https://www.fau.eu/degree-program/autonomy-technologies-m-sc/" TargetMode="External" Id="rId174" /><Relationship Type="http://schemas.openxmlformats.org/officeDocument/2006/relationships/hyperlink" Target="https://www.utwente.nl/en/education/master/programmes/embedded-systems/finance/" TargetMode="External" Id="rId175" /><Relationship Type="http://schemas.openxmlformats.org/officeDocument/2006/relationships/hyperlink" Target="https://www.universiteitleiden.nl/en/education/study-programmes/master/computer-science/artificial-intelligence/admission-and-application/tuition-fees" TargetMode="External" Id="rId176" /><Relationship Type="http://schemas.openxmlformats.org/officeDocument/2006/relationships/hyperlink" Target="https://www.rug.nl/masters/artificial-intelligence/?lang=en" TargetMode="External" Id="rId177" /><Relationship Type="http://schemas.openxmlformats.org/officeDocument/2006/relationships/hyperlink" Target="https://www.uu.nl/en/masters/game-and-media-technology" TargetMode="External" Id="rId178" /><Relationship Type="http://schemas.openxmlformats.org/officeDocument/2006/relationships/hyperlink" Target="https://dub.uu.nl/en/news/dutch-universities-fall-global-qs-rankings" TargetMode="External" Id="rId179" /><Relationship Type="http://schemas.openxmlformats.org/officeDocument/2006/relationships/hyperlink" Target="https://www.gu.se/en/study-gothenburg/game-design-technology-masters-programme-n2gdt" TargetMode="External" Id="rId180" /><Relationship Type="http://schemas.openxmlformats.org/officeDocument/2006/relationships/hyperlink" Target="https://www.kth.se/en/studies/master/machine-learning" TargetMode="External" Id="rId181" /><Relationship Type="http://schemas.openxmlformats.org/officeDocument/2006/relationships/hyperlink" Target="https://www.umu.se/en/education/master/masters-programme-in-artificial-intelligence/" TargetMode="External" Id="rId182" /><Relationship Type="http://schemas.openxmlformats.org/officeDocument/2006/relationships/hyperlink" Target="https://www.study.eu/best-universities/sweden" TargetMode="External" Id="rId183" /><Relationship Type="http://schemas.openxmlformats.org/officeDocument/2006/relationships/hyperlink" Target="https://en.itu.dk/Programmes/MSc-Programmes/Applying-to-a-MSc-programme/Non-EU-EOES" TargetMode="External" Id="rId184" /><Relationship Type="http://schemas.openxmlformats.org/officeDocument/2006/relationships/hyperlink" Target="https://studyindenmark.dk/portal/aalborg-university-aau/copenhagen/cyber-security-msc-in-engineering" TargetMode="External" Id="rId185" /><Relationship Type="http://schemas.openxmlformats.org/officeDocument/2006/relationships/hyperlink" Target="https://www.dtu.dk/english/education/graduate/msc-programmes/autonomous-systems/prerequisites" TargetMode="External" Id="rId186" /><Relationship Type="http://schemas.openxmlformats.org/officeDocument/2006/relationships/hyperlink" Target="https://masters.au.dk/computerscience" TargetMode="External" Id="rId187" /><Relationship Type="http://schemas.openxmlformats.org/officeDocument/2006/relationships/hyperlink" Target="https://leapscholar.com/blog/top-universities-in-denmark/" TargetMode="External" Id="rId188" /><Relationship Type="http://schemas.openxmlformats.org/officeDocument/2006/relationships/hyperlink" Target="https://www.gold.ac.uk/pg/msc-computer-games-programming/" TargetMode="External" Id="rId189" /><Relationship Type="http://schemas.openxmlformats.org/officeDocument/2006/relationships/hyperlink" Target="https://www.royalholloway.ac.uk/studying-here/postgraduate/information-security/information-and-cyber-security/" TargetMode="External" Id="rId190" /><Relationship Type="http://schemas.openxmlformats.org/officeDocument/2006/relationships/hyperlink" Target="https://www.kent.ac.uk/courses/postgraduate/1225/cyber-security" TargetMode="External" Id="rId191" /><Relationship Type="http://schemas.openxmlformats.org/officeDocument/2006/relationships/hyperlink" Target="https://www.mmu.ac.uk/study/postgraduate/course/msc-cyber-security" TargetMode="External" Id="rId192" /><Relationship Type="http://schemas.openxmlformats.org/officeDocument/2006/relationships/hyperlink" Target="https://www.york.ac.uk/study/postgraduate-taught/courses/msc-human-centred-interactive-technologies/" TargetMode="External" Id="rId193" /><Relationship Type="http://schemas.openxmlformats.org/officeDocument/2006/relationships/hyperlink" Target="https://www.lancaster.ac.uk/study/postgraduate/postgraduate-courses/cyber-security-msc/2026/" TargetMode="External" Id="rId194" /><Relationship Type="http://schemas.openxmlformats.org/officeDocument/2006/relationships/hyperlink" Target="https://collegedunia.com/uk/university/862-nottingham-trent-university-nottingham/ranking" TargetMode="External" Id="rId195" /><Relationship Type="http://schemas.openxmlformats.org/officeDocument/2006/relationships/hyperlink" Target="https://www.fau.eu/studying/international-students/application-and-enrollment-for-international-applicants/tuition-fees-for-students-from-non-eu-states/" TargetMode="External" Id="rId196" /><Relationship Type="http://schemas.openxmlformats.org/officeDocument/2006/relationships/hyperlink" Target="https://www.uni-passau.de/en/study/news/news/no-tuition-fees-for-international-students-at-the-university-of-passau" TargetMode="External" Id="rId197" /><Relationship Type="http://schemas.openxmlformats.org/officeDocument/2006/relationships/hyperlink" Target="https://masters.au.dk/tuitionfees/current-tuition-fee-rates" TargetMode="External" Id="rId198" /><Relationship Type="http://schemas.openxmlformats.org/officeDocument/2006/relationships/hyperlink" Target="https://www.en.aau.dk/education/master/computer-science-it" TargetMode="External" Id="rId199" /><Relationship Type="http://schemas.openxmlformats.org/officeDocument/2006/relationships/hyperlink" Target="https://collegedunia.com/sweden/university/769-chalmers-university-of-technology-gothenburg/programs?stream_id=48&amp;degree_type=Master" TargetMode="External" Id="rId200" /><Relationship Type="http://schemas.openxmlformats.org/officeDocument/2006/relationships/hyperlink" Target="https://www.surrey.ac.uk/postgraduate/cyber-security-msc" TargetMode="External" Id="rId201" /><Relationship Type="http://schemas.openxmlformats.org/officeDocument/2006/relationships/hyperlink" Target="https://www.topuniversities.com/universities/newcastle-university/postgrad/msc-computer-game-engineering" TargetMode="External" Id="rId202" /><Relationship Type="http://schemas.openxmlformats.org/officeDocument/2006/relationships/hyperlink" Target="https://www.tue.nl/en/education/become-a-tue-student/tuition-fees" TargetMode="External" Id="rId203" /><Relationship Type="http://schemas.openxmlformats.org/officeDocument/2006/relationships/hyperlink" Target="https://wanaen.com/ielts-testing-to-be-suspended-in-iran/" TargetMode="External" Id="rId204" /><Relationship Type="http://schemas.openxmlformats.org/officeDocument/2006/relationships/hyperlink" Target="https://www.jahantahsil.com/%D8%A2%D8%B2%D9%85%D9%88%D9%86-%D8%A2%DB%8C%D9%84%D8%AA%D8%B3-ielts-%DA%86%DB%8C%D8%B3%D8%AA-%D9%88-%DA%A9%D8%AC%D8%A7-%D8%A8%D8%B1%DA%AF%D8%B2%D8%A7%D8%B1-%D9%85%DB%8C%D8%B4%D9%88%D8%AF/" TargetMode="External" Id="rId205" /><Relationship Type="http://schemas.openxmlformats.org/officeDocument/2006/relationships/hyperlink" Target="https://zandienglish.ir/toefl-in-iran/" TargetMode="External" Id="rId206" /><Relationship Type="http://schemas.openxmlformats.org/officeDocument/2006/relationships/hyperlink" Target="https://www.zoomit.ir/iran-news/464136-exit-permit-bond-sakha-1405/" TargetMode="External" Id="rId207" /><Relationship Type="http://schemas.openxmlformats.org/officeDocument/2006/relationships/hyperlink" Target="https://www.umu.se/en/education/application-and-admission/key-dates-and-deadlines/" TargetMode="External" Id="rId208" /><Relationship Type="http://schemas.openxmlformats.org/officeDocument/2006/relationships/hyperlink" Target="https://www.uni-stuttgart.de/en/study/study-programs/Computer-Science-M.Sc.-00001/" TargetMode="External" Id="rId209" /><Relationship Type="http://schemas.openxmlformats.org/officeDocument/2006/relationships/hyperlink" Target="https://www.uni-passau.de/en/apply/apply-with-intl-qualifications" TargetMode="External" Id="rId210" /><Relationship Type="http://schemas.openxmlformats.org/officeDocument/2006/relationships/hyperlink" Target="https://www.en.aau.dk/education/apply/master/how-and-when-to-apply" TargetMode="External" Id="rId211" /><Relationship Type="http://schemas.openxmlformats.org/officeDocument/2006/relationships/hyperlink" Target="https://www.sdu.dk/en/uddannelse/kandidat/datalogi" TargetMode="External" Id="rId212" /><Relationship Type="http://schemas.openxmlformats.org/officeDocument/2006/relationships/hyperlink" Target="https://www.ru.nl/en/education/application-and-admission/application-procedure-masters/deadlines" TargetMode="External" Id="rId213" /><Relationship Type="http://schemas.openxmlformats.org/officeDocument/2006/relationships/hyperlink" Target="https://www.gov.uk/government/news/national-living-wage-increases-to-1271-per-hour" TargetMode="External" Id="rId214" /><Relationship Type="http://schemas.openxmlformats.org/officeDocument/2006/relationships/hyperlink" Target="https://ind.nl/en/required-amounts-income-requirements" TargetMode="External" Id="rId215" /><Relationship Type="http://schemas.openxmlformats.org/officeDocument/2006/relationships/hyperlink" Target="https://www.nyidanmark.dk/pl-PL/Words-and-concepts/SIRI/Self-support---SIRI" TargetMode="External" Id="rId216" /><Relationship Type="http://schemas.openxmlformats.org/officeDocument/2006/relationships/hyperlink" Target="https://www.wiwo.de/erfolg/trends/werkstudenten-rechner-2026-brutto-netto-gehalt-online-berechnen-wiwo/28979742.html" TargetMode="External" Id="rId217" /><Relationship Type="http://schemas.openxmlformats.org/officeDocument/2006/relationships/hyperlink" Target="https://checkeverything.ch/de/blog/mindestlohn-schweiz-2026" TargetMode="External" Id="rId218" /><Relationship Type="http://schemas.openxmlformats.org/officeDocument/2006/relationships/hyperlink" Target="https://www.cash.ch/news/stadt-luzern-behalt-kommunalen-mindestlohn-bei-971917" TargetMode="External" Id="rId219" /><Relationship Type="http://schemas.openxmlformats.org/officeDocument/2006/relationships/hyperlink" Target="https://www.fedlex.admin.ch/eli/cc/2007/758/en#art_21" TargetMode="External" Id="rId220" /><Relationship Type="http://schemas.openxmlformats.org/officeDocument/2006/relationships/hyperlink" Target="https://www.uva.nl/en/education/fees-and-funding/tuition-fees/tuition-fees.html" TargetMode="External" Id="rId221" /><Relationship Type="http://schemas.openxmlformats.org/officeDocument/2006/relationships/hyperlink" Target="https://www.uva.nl/en/programmes/masters/software-engineering/software-engineering.html" TargetMode="External" Id="rId222" /><Relationship Type="http://schemas.openxmlformats.org/officeDocument/2006/relationships/hyperlink" Target="https://collegedunia.com/netherlands/university/749-university-of-twente-enschede/admission" TargetMode="External" Id="rId223" /></Relationships>
</file>

<file path=xl/worksheets/sheet1.xml><?xml version="1.0" encoding="utf-8"?>
<worksheet xmlns="http://schemas.openxmlformats.org/spreadsheetml/2006/main">
  <sheetPr>
    <tabColor rgb="0000B050"/>
    <outlinePr summaryBelow="0" summaryRight="0"/>
    <pageSetUpPr fitToPage="1"/>
  </sheetPr>
  <dimension ref="A1:O106"/>
  <sheetViews>
    <sheetView showGridLines="0" rightToLeft="1" tabSelected="1" workbookViewId="0">
      <pane xSplit="1" topLeftCell="B1" activePane="topRight" state="frozen"/>
      <selection pane="topRight" activeCell="A1" sqref="A1"/>
    </sheetView>
  </sheetViews>
  <sheetFormatPr baseColWidth="8" defaultRowHeight="15" outlineLevelRow="1"/>
  <cols>
    <col width="32" customWidth="1" min="1" max="1"/>
    <col width="30" customWidth="1" min="2" max="2"/>
    <col width="30" customWidth="1" min="3" max="3"/>
    <col width="36" customWidth="1" min="4" max="4"/>
    <col width="34" customWidth="1" min="5" max="5"/>
    <col width="42" customWidth="1" min="6" max="6"/>
    <col width="28" customWidth="1" min="7" max="7"/>
    <col width="22" customWidth="1" min="8" max="8"/>
    <col width="13" customWidth="1" min="9" max="9"/>
    <col width="20" customWidth="1" min="10" max="10"/>
    <col width="42" customWidth="1" min="11" max="11"/>
    <col hidden="1" width="13" customWidth="1" min="12" max="12"/>
    <col hidden="1" width="13" customWidth="1" min="13" max="13"/>
    <col hidden="1" width="13" customWidth="1" min="14" max="14"/>
    <col hidden="1" width="13" customWidth="1" min="15" max="15"/>
  </cols>
  <sheetData>
    <row r="1" ht="26.2" customHeight="1">
      <c r="A1" s="1" t="inlineStr">
        <is>
          <t>تصمیم در یک صفحه — شایان، ورودی سپتامبر ۲۰۲۷، بودجه $40,000: گام ۱ شهریه + تمکن یک‌سال · گام ۲ زندگی واقعی + کار با حداکثر ساعت مجاز</t>
        </is>
      </c>
    </row>
    <row r="2" ht="52" customHeight="1">
      <c r="A2" s="2" t="inlineStr">
        <is>
          <t>همهٔ مبالغ این فایل به دلار آمریکا تبدیل شده‌اند تا لازم نباشد چیزی را خودتان تبدیل کنید. نرخ‌های ۲۸ سپتامبر ۲۰۲۶: ۱ یورو = ۱.۱۴ دلار · ۱ پوند = ۱.۳۲۵ دلار · ۱ فرانک سوئیس = ۱.۲۱ دلار · ۱ کرون سوئد = ۰.۱۰ دلار · ۱ کرون دانمارک = ۰.۱۵ دلار. اعداد گرد شده‌اند (زیر ۱۰ هزار به ۱۰ دلار، بالاتر به ۱۰۰ دلار)؛ رقم رسمی به ارز محلی فقط در شیت «راستی‌آزمایی» داخل پرانتز آمده است. شهریه‌ها سطح 2026/27 هستند (Bristol 2027/28)؛ نرخ سال ورود شما (2027/28) بین اکتبر ۲۰۲۶ تا بهار ۲۰۲۷ منتشر می‌شود — ۳ تا ۵ درصد بالاتر بگیرید؛ ⚠️ ETH/EPFL ممکن است با بستهٔ EP27 از ۲۰۲۷ دوباره گران شوند. وزن‌ها: کار پیدا کردن = حقوق (۲۷.۵٪)، انگلیسی ۳۰٪، هزینه ۱۵٪ — بودجه $40,000 در دو گام: شهریهٔ کل + تمکن رسمی یک‌سال ≤ $40k، بعد زندگی واقعی + کار دانشجویی با حداکثر ساعت قانونی × کف دستمزد (تعریف شما، ۲۸ سپتامبر).</t>
        </is>
      </c>
    </row>
    <row r="3" ht="40" customHeight="1">
      <c r="A3" s="3" t="inlineStr">
        <is>
          <t>راهنمای رنگ‌ها</t>
        </is>
      </c>
      <c r="B3" s="4" t="inlineStr">
        <is>
          <t>✅ سبز = شدنی / تأیید</t>
        </is>
      </c>
      <c r="C3" s="5" t="inlineStr">
        <is>
          <t>⚠️ زرد = مشروط یا سر مرز</t>
        </is>
      </c>
      <c r="D3" s="6" t="inlineStr">
        <is>
          <t>❌ قرمز = نمی‌شود</t>
        </is>
      </c>
      <c r="E3" s="7" t="inlineStr">
        <is>
          <t>🇨🇭 سوئیس</t>
        </is>
      </c>
      <c r="F3" s="8" t="inlineStr">
        <is>
          <t>🇩🇪 آلمان</t>
        </is>
      </c>
      <c r="G3" s="9" t="inlineStr">
        <is>
          <t>🇬🇧 انگلستان</t>
        </is>
      </c>
      <c r="H3" s="10" t="inlineStr">
        <is>
          <t>🇸🇪 سوئد</t>
        </is>
      </c>
      <c r="I3" s="11" t="inlineStr">
        <is>
          <t>🇳🇱 هلند</t>
        </is>
      </c>
      <c r="J3" s="12" t="inlineStr">
        <is>
          <t>🇩🇰 دانمارک</t>
        </is>
      </c>
      <c r="K3" s="13" t="inlineStr">
        <is>
          <t>رنگ هر کشور در همهٔ شیت‌ها یکی است. دکمه‌های − / + کنار شمارهٔ سطرها هر بخش را می‌بندند و باز می‌کنند؛ در شیت «برنامه‌ها» با فلش ستون «کشور» می‌توانید فقط یک کشور را ببینید — چیزی حذف نشده است.</t>
        </is>
      </c>
    </row>
    <row r="4">
      <c r="A4" s="14" t="inlineStr">
        <is>
          <t>الف) شش کشور در یک نگاه — اول کشورهایی که با مدل «$40,000 = شهریه + زندگی تا کار» جا می‌شوند (سوئیس، آلمان، انگلستان — به ترتیب امتیاز شما: کار = حقوق ۲۷.۵٪، انگلیسی ۳۰٪، هزینه ۱۵٪)، بعد سوئد (فقط با بورس)، هلند و دانمارک (❌)</t>
        </is>
      </c>
    </row>
    <row r="5" outlineLevel="1">
      <c r="A5" s="15" t="inlineStr">
        <is>
          <t>معیار</t>
        </is>
      </c>
      <c r="B5" s="16" t="inlineStr">
        <is>
          <t>🇨🇭 سوئیس</t>
        </is>
      </c>
      <c r="C5" s="17" t="inlineStr">
        <is>
          <t>🇩🇪 آلمان</t>
        </is>
      </c>
      <c r="D5" s="18" t="inlineStr">
        <is>
          <t>🇬🇧 انگلستان</t>
        </is>
      </c>
      <c r="E5" s="19" t="inlineStr">
        <is>
          <t>🇸🇪 سوئد</t>
        </is>
      </c>
      <c r="F5" s="20" t="inlineStr">
        <is>
          <t>🇳🇱 هلند</t>
        </is>
      </c>
      <c r="G5" s="21" t="inlineStr">
        <is>
          <t>🇩🇰 دانمارک</t>
        </is>
      </c>
    </row>
    <row r="6" outlineLevel="1">
      <c r="A6" s="22" t="inlineStr">
        <is>
          <t>طول دورهٔ ارشد</t>
        </is>
      </c>
      <c r="B6" s="23" t="inlineStr">
        <is>
          <t>۱.۵ یا ۲ سال</t>
        </is>
      </c>
      <c r="C6" s="24" t="inlineStr">
        <is>
          <t>۲ سال</t>
        </is>
      </c>
      <c r="D6" s="25" t="inlineStr">
        <is>
          <t>۱ سال</t>
        </is>
      </c>
      <c r="E6" s="26" t="inlineStr">
        <is>
          <t>۲ سال</t>
        </is>
      </c>
      <c r="F6" s="27" t="inlineStr">
        <is>
          <t>۲ سال</t>
        </is>
      </c>
      <c r="G6" s="28" t="inlineStr">
        <is>
          <t>۲ سال</t>
        </is>
      </c>
    </row>
    <row r="7" outlineLevel="1">
      <c r="A7" s="22" t="inlineStr">
        <is>
          <t>شهریهٔ هر سال</t>
        </is>
      </c>
      <c r="B7" s="23" t="inlineStr">
        <is>
          <t>$1,900–9,700
(Neuchâtel $1,900 · USI $9,700)</t>
        </is>
      </c>
      <c r="C7" s="24" t="inlineStr">
        <is>
          <t>$350–900
(Stuttgart $3,400)</t>
        </is>
      </c>
      <c r="D7" s="25" t="inlineStr">
        <is>
          <t>$22,500–43,600
(Teesside $22,500)</t>
        </is>
      </c>
      <c r="E7" s="26" t="inlineStr">
        <is>
          <t>$14,100–16,800</t>
        </is>
      </c>
      <c r="F7" s="27" t="inlineStr">
        <is>
          <t>$22,500–24,700</t>
        </is>
      </c>
      <c r="G7" s="28" t="inlineStr">
        <is>
          <t>$17,000–19,700</t>
        </is>
      </c>
    </row>
    <row r="8" outlineLevel="1">
      <c r="A8" s="22" t="inlineStr">
        <is>
          <t>هزینهٔ زندگی هر ماه (با اجاره)</t>
        </is>
      </c>
      <c r="B8" s="23" t="inlineStr">
        <is>
          <t>$1,650–2,200
(زوریخ تا $3,000)</t>
        </is>
      </c>
      <c r="C8" s="24" t="inlineStr">
        <is>
          <t>$1,100–1,400</t>
        </is>
      </c>
      <c r="D8" s="25" t="inlineStr">
        <is>
          <t>$1,250–1,650
(لندن تا $2,400)</t>
        </is>
      </c>
      <c r="E8" s="26" t="inlineStr">
        <is>
          <t>$1,100–1,300</t>
        </is>
      </c>
      <c r="F8" s="27" t="inlineStr">
        <is>
          <t>$1,250–1,700</t>
        </is>
      </c>
      <c r="G8" s="28" t="inlineStr">
        <is>
          <t>$1,200–1,500</t>
        </is>
      </c>
    </row>
    <row r="9" outlineLevel="1">
      <c r="A9" s="22" t="inlineStr">
        <is>
          <t>هزینهٔ سال اول (شهریه + ۱۲ ماه زندگی)</t>
        </is>
      </c>
      <c r="B9" s="23" t="inlineStr">
        <is>
          <t>$23,000–42,000</t>
        </is>
      </c>
      <c r="C9" s="24" t="inlineStr">
        <is>
          <t>$13,000–18,000</t>
        </is>
      </c>
      <c r="D9" s="25" t="inlineStr">
        <is>
          <t>$38,000–65,000</t>
        </is>
      </c>
      <c r="E9" s="26" t="inlineStr">
        <is>
          <t>$27,000–32,500</t>
        </is>
      </c>
      <c r="F9" s="27" t="inlineStr">
        <is>
          <t>$37,500–45,000</t>
        </is>
      </c>
      <c r="G9" s="28" t="inlineStr">
        <is>
          <t>$31,500–38,000</t>
        </is>
      </c>
    </row>
    <row r="10" outlineLevel="1">
      <c r="A10" s="29" t="inlineStr">
        <is>
          <t>★ کل هزینه تا گرفتن مدرک</t>
        </is>
      </c>
      <c r="B10" s="30" t="inlineStr">
        <is>
          <t>$35,000–84,000
(Neuchâtel/Fribourg $35–47k)</t>
        </is>
      </c>
      <c r="C10" s="30" t="inlineStr">
        <is>
          <t>$27,000–36,000
(Stuttgart تا $45,000)</t>
        </is>
      </c>
      <c r="D10" s="30" t="inlineStr">
        <is>
          <t>$38,000–65,000</t>
        </is>
      </c>
      <c r="E10" s="30" t="inlineStr">
        <is>
          <t>$54,000–65,000</t>
        </is>
      </c>
      <c r="F10" s="30" t="inlineStr">
        <is>
          <t>$75,000–90,000</t>
        </is>
      </c>
      <c r="G10" s="30" t="inlineStr">
        <is>
          <t>$63,000–76,000</t>
        </is>
      </c>
    </row>
    <row r="11" outlineLevel="1">
      <c r="A11" s="22" t="inlineStr">
        <is>
          <t>گام ۱: شهریهٔ کل + تمکن یک‌سال ≤ $40,000؟ (آنچه سفارت می‌بیند)
گام ۲: شهریه + n ماه زندگی واقعی، بعد کار با حداکثر ساعت مجاز</t>
        </is>
      </c>
      <c r="B11" s="23" t="inlineStr">
        <is>
          <t>گام ۱ (تمکن $25,400 در بانک به نام خودتان): Neuchâtel $28.3k ✅، Fribourg $29k ✅، Basel $32.1k ✅ ($29,000)، HSLU $33k ✅، USI $44.8k ❌. گام ۲: Neuchâtel/Fribourg بدون کار ✅، Basel کسری ≈ $200 ✅، HSLU ≈ $4.3k ⚠️ (کار تعطیلات)؛ کار ممنوع تا ماه ۶</t>
        </is>
      </c>
      <c r="C11" s="24" t="inlineStr">
        <is>
          <t>گام ۱ ✅ همه (حساب مسدود $13.6k: Stuttgart $21.3k، بقیه ≈ $15k). گام ۲ ✅ شهریه + تمام ۲۴ ماه (Stuttgart ۲۳.۱)؛ کار ۲۰ ساعت × $16.6 ≈ $1,305 ≥ زندگی</t>
        </is>
      </c>
      <c r="D11" s="25" t="inlineStr">
        <is>
          <t>گام ۱: Teesside $36.9k ✅؛ Essex $41.1k / MMU $42.2k / Northumbria $42.8k ⚠️ ($1–3k بیشتر — فقط با حساب والدین ۲۸ روز)؛ Leicester $46.5k و لندن ❌. گام ۲ ✅ کار ۲۰ ساعت × $16.8 ≈ $1,440 ≈ زندگی</t>
        </is>
      </c>
      <c r="E11" s="26" t="inlineStr">
        <is>
          <t>گام ۱: BTH $39k ✅، MDU $38k ✅، LiU $44.3k ❌ (تمکن $10,800 در حساب خودتان). گام ۲ ⚠️ روی کاغذ صفر کسری با ۲۰ ساعت × $15، عملاً کار انگلیسی‌زبان نایاب → فقط با بورس</t>
        </is>
      </c>
      <c r="F11" s="31" t="inlineStr">
        <is>
          <t>❌ گام ۱: Twente $65k، Radboud $60k، UvA $54.6k (شهریه + $15,500)</t>
        </is>
      </c>
      <c r="G11" s="28" t="inlineStr">
        <is>
          <t>گام ۱ روی کاغذ ✅ (با پرداخت شهریه از تمکن معاف)؛ گام ۲ ❌ AAU ۳.۸ ماه؛ + ویزا از تهران</t>
        </is>
      </c>
    </row>
    <row r="12" outlineLevel="1">
      <c r="A12" s="22" t="inlineStr">
        <is>
          <t>شانس پذیرش با معدل ۱۵.۷۷</t>
        </is>
      </c>
      <c r="B12" s="23" t="inlineStr">
        <is>
          <t>متوسط
(USI/HSLU/Joint MSc Target؛ ETH/EPFL/UZH بعید)</t>
        </is>
      </c>
      <c r="C12" s="24" t="inlineStr">
        <is>
          <t>متوسط تا خوب
(Passau/Saarland/Chemnitz راحت؛ Stuttgart/Darmstadt Target)</t>
        </is>
      </c>
      <c r="D12" s="25" t="inlineStr">
        <is>
          <t>زیاد
(Teesside/Northumbria/Essex راحت)</t>
        </is>
      </c>
      <c r="E12" s="26" t="inlineStr">
        <is>
          <t>خوب
(BTH/Halmstad راحت؛ LiU Target)</t>
        </is>
      </c>
      <c r="F12" s="27" t="inlineStr">
        <is>
          <t>متوسط
(Twente/Radboud Target)</t>
        </is>
      </c>
      <c r="G12" s="28" t="inlineStr">
        <is>
          <t>متوسط
(AAU/SDU Target)</t>
        </is>
      </c>
    </row>
    <row r="13" outlineLevel="1">
      <c r="A13" s="22" t="inlineStr">
        <is>
          <t>بورسی که واقعاً می‌گیرید</t>
        </is>
      </c>
      <c r="B13" s="23" t="inlineStr">
        <is>
          <t>USI $4,850 (مرزی)
بقیه هیچ</t>
        </is>
      </c>
      <c r="C13" s="24" t="inlineStr">
        <is>
          <t>تقریباً هیچ
(Deutschlandstipendium $340/ماه، رقابتی)</t>
        </is>
      </c>
      <c r="D13" s="25" t="inlineStr">
        <is>
          <t>Essex ≈ $6,000 خودکار
Teesside ≈ $2,650</t>
        </is>
      </c>
      <c r="E13" s="26" t="inlineStr">
        <is>
          <t>Halmstad ۲۵–۵۰٪ · MDU تا ۱۰۰٪
(LiU ۵۰٪ فقط با معدل بالاتر)</t>
        </is>
      </c>
      <c r="F13" s="27" t="inlineStr">
        <is>
          <t>NL Scholarship $5,700 (یک‌بار)</t>
        </is>
      </c>
      <c r="G13" s="28" t="inlineStr">
        <is>
          <t>≈ ۱۵ بورس AAU (بعید)</t>
        </is>
      </c>
    </row>
    <row r="14" outlineLevel="1">
      <c r="A14" s="22" t="inlineStr">
        <is>
          <t>کار دانشجویی (درآمد ماهانه)</t>
        </is>
      </c>
      <c r="B14" s="23" t="inlineStr">
        <is>
          <t>۶ ماه اول: صفر
بعد $1,550–2,200</t>
        </is>
      </c>
      <c r="C14" s="24" t="inlineStr">
        <is>
          <t>$1,150–1,800
(۲۰ ساعت؛ کار فنی فراوان)</t>
        </is>
      </c>
      <c r="D14" s="25" t="inlineStr">
        <is>
          <t>تا $1,450
(۲۰ ساعت)</t>
        </is>
      </c>
      <c r="E14" s="26" t="inlineStr">
        <is>
          <t>$350–900
(۱۵ ساعت؛ کمیاب)</t>
        </is>
      </c>
      <c r="F14" s="27" t="inlineStr">
        <is>
          <t>تا $1,150
(۱۶ ساعت؛ مجوز TWV)</t>
        </is>
      </c>
      <c r="G14" s="28" t="inlineStr">
        <is>
          <t>$1,200–1,850
(اگر پیدا شود)</t>
        </is>
      </c>
    </row>
    <row r="15" outlineLevel="1">
      <c r="A15" s="22" t="inlineStr">
        <is>
          <t>تحصیل + کار + زندگی فقط با انگلیسی (از ۱۰)</t>
        </is>
      </c>
      <c r="B15" s="23" t="inlineStr">
        <is>
          <t>۶</t>
        </is>
      </c>
      <c r="C15" s="24" t="inlineStr">
        <is>
          <t>۴</t>
        </is>
      </c>
      <c r="D15" s="25" t="inlineStr">
        <is>
          <t>۱۰</t>
        </is>
      </c>
      <c r="E15" s="26" t="inlineStr">
        <is>
          <t>۸</t>
        </is>
      </c>
      <c r="F15" s="27" t="inlineStr">
        <is>
          <t>۸</t>
        </is>
      </c>
      <c r="G15" s="28" t="inlineStr">
        <is>
          <t>۶</t>
        </is>
      </c>
    </row>
    <row r="16" outlineLevel="1">
      <c r="A16" s="22" t="inlineStr">
        <is>
          <t>اجازهٔ ماندن برای کاریابی بعد از مدرک</t>
        </is>
      </c>
      <c r="B16" s="23" t="inlineStr">
        <is>
          <t>۶ ماه ⚠️</t>
        </is>
      </c>
      <c r="C16" s="24" t="inlineStr">
        <is>
          <t>۱۸ ماه</t>
        </is>
      </c>
      <c r="D16" s="25" t="inlineStr">
        <is>
          <t>۱۸ ماه</t>
        </is>
      </c>
      <c r="E16" s="26" t="inlineStr">
        <is>
          <t>۱۲ ماه</t>
        </is>
      </c>
      <c r="F16" s="27" t="inlineStr">
        <is>
          <t>۱۲ ماه</t>
        </is>
      </c>
      <c r="G16" s="28" t="inlineStr">
        <is>
          <t>۳ سال</t>
        </is>
      </c>
    </row>
    <row r="17" outlineLevel="1">
      <c r="A17" s="22" t="inlineStr">
        <is>
          <t>حقوق شروع برنامه‌نویس (ناخالص سالانه)</t>
        </is>
      </c>
      <c r="B17" s="23" t="inlineStr">
        <is>
          <t>$103,000–127,000</t>
        </is>
      </c>
      <c r="C17" s="24" t="inlineStr">
        <is>
          <t>$55,000–63,000</t>
        </is>
      </c>
      <c r="D17" s="25" t="inlineStr">
        <is>
          <t>$37,000–46,000
(لندن $42–60k)</t>
        </is>
      </c>
      <c r="E17" s="26" t="inlineStr">
        <is>
          <t>$42,000–55,000</t>
        </is>
      </c>
      <c r="F17" s="27" t="inlineStr">
        <is>
          <t>$46,000–57,000</t>
        </is>
      </c>
      <c r="G17" s="28" t="inlineStr">
        <is>
          <t>$76,000–82,000</t>
        </is>
      </c>
    </row>
    <row r="18" outlineLevel="1">
      <c r="A18" s="22" t="inlineStr">
        <is>
          <t>خالص ماهانه بعد از مالیات</t>
        </is>
      </c>
      <c r="B18" s="23" t="inlineStr">
        <is>
          <t>$6,900–8,100
(منهای بیمهٔ درمانی $420–540)</t>
        </is>
      </c>
      <c r="C18" s="24" t="inlineStr">
        <is>
          <t>$3,100–3,400</t>
        </is>
      </c>
      <c r="D18" s="25" t="inlineStr">
        <is>
          <t>$2,650–3,300</t>
        </is>
      </c>
      <c r="E18" s="26" t="inlineStr">
        <is>
          <t>$2,850–3,300</t>
        </is>
      </c>
      <c r="F18" s="27" t="inlineStr">
        <is>
          <t>$3,100–3,550</t>
        </is>
      </c>
      <c r="G18" s="28" t="inlineStr">
        <is>
          <t>$3,750–4,200</t>
        </is>
      </c>
    </row>
    <row r="19" outlineLevel="1">
      <c r="A19" s="22" t="inlineStr">
        <is>
          <t>پس‌انداز ماهانه (شاغل، مجرد)</t>
        </is>
      </c>
      <c r="B19" s="23" t="inlineStr">
        <is>
          <t>$1,800–3,600</t>
        </is>
      </c>
      <c r="C19" s="24" t="inlineStr">
        <is>
          <t>$1,150–1,700</t>
        </is>
      </c>
      <c r="D19" s="25" t="inlineStr">
        <is>
          <t>$530–1,200</t>
        </is>
      </c>
      <c r="E19" s="26" t="inlineStr">
        <is>
          <t>$1,050–1,600</t>
        </is>
      </c>
      <c r="F19" s="27" t="inlineStr">
        <is>
          <t>$800–1,350</t>
        </is>
      </c>
      <c r="G19" s="28" t="inlineStr">
        <is>
          <t>$1,250–1,800</t>
        </is>
      </c>
    </row>
    <row r="20" outlineLevel="1">
      <c r="A20" s="22" t="inlineStr">
        <is>
          <t>کار پیدا کردن برای جونیورِ فقط‌انگلیسی (از ۱۰؛ حقوق جدا حساب شده)</t>
        </is>
      </c>
      <c r="B20" s="23" t="inlineStr">
        <is>
          <t>۵</t>
        </is>
      </c>
      <c r="C20" s="24" t="inlineStr">
        <is>
          <t>۶</t>
        </is>
      </c>
      <c r="D20" s="25" t="inlineStr">
        <is>
          <t>۵</t>
        </is>
      </c>
      <c r="E20" s="26" t="inlineStr">
        <is>
          <t>۴</t>
        </is>
      </c>
      <c r="F20" s="27" t="inlineStr">
        <is>
          <t>۸</t>
        </is>
      </c>
      <c r="G20" s="28" t="inlineStr">
        <is>
          <t>۵</t>
        </is>
      </c>
    </row>
    <row r="21" outlineLevel="1">
      <c r="A21" s="22" t="inlineStr">
        <is>
          <t>ویزا از تهران (وضعیت سپتامبر ۲۰۲۶)</t>
        </is>
      </c>
      <c r="B21" s="23" t="inlineStr">
        <is>
          <t>ممکن (سفارت باز؛ ویزای D با نوبت)</t>
        </is>
      </c>
      <c r="C21" s="24" t="inlineStr">
        <is>
          <t>سخت (سفارت فقط موارد اضطراری)</t>
        </is>
      </c>
      <c r="D21" s="25" t="inlineStr">
        <is>
          <t>متغیر (VAC تهران)</t>
        </is>
      </c>
      <c r="E21" s="26" t="inlineStr">
        <is>
          <t>ممکن (آنلاین، بدون بیومتریک)</t>
        </is>
      </c>
      <c r="F21" s="27" t="inlineStr">
        <is>
          <t>سخت (از باکو)</t>
        </is>
      </c>
      <c r="G21" s="28" t="inlineStr">
        <is>
          <t>تقریباً غیرممکن</t>
        </is>
      </c>
    </row>
    <row r="22" outlineLevel="1">
      <c r="A22" s="29" t="inlineStr">
        <is>
          <t>★ امتیاز با وزن‌های شما (از ۱۰۰)
کار ۲۷.۵ = حقوق ۲۷.۵ / انگلیسی ۳۰ / هزینه ۱۵</t>
        </is>
      </c>
      <c r="B22" s="30" t="inlineStr">
        <is>
          <t>۶۶.۸
(۵ / ۱۰ / ۶ / ۵)</t>
        </is>
      </c>
      <c r="C22" s="30" t="inlineStr">
        <is>
          <t>۶۰
(۶ / ۶ / ۴ / ۱۰)</t>
        </is>
      </c>
      <c r="D22" s="30" t="inlineStr">
        <is>
          <t>۵۹.۵
(۵ / ۳ / ۱۰ / ۵)</t>
        </is>
      </c>
      <c r="E22" s="30" t="inlineStr">
        <is>
          <t>۵۷.۸
(۴ / ۵ / ۸ / ۶)</t>
        </is>
      </c>
      <c r="F22" s="30" t="inlineStr">
        <is>
          <t>۶۲.۸
(۸ / ۵ / ۸ / ۲)</t>
        </is>
      </c>
      <c r="G22" s="30" t="inlineStr">
        <is>
          <t>۵۷
(۵ / ۷ / ۶ / ۴)</t>
        </is>
      </c>
    </row>
    <row r="23" outlineLevel="1">
      <c r="A23" s="22" t="inlineStr">
        <is>
          <t>امتیاز قدیمی با وزن برابر (از ۳۰: هزینه / انگلیسی / بازار)</t>
        </is>
      </c>
      <c r="B23" s="23" t="inlineStr">
        <is>
          <t>۱۸</t>
        </is>
      </c>
      <c r="C23" s="24" t="inlineStr">
        <is>
          <t>۲۲</t>
        </is>
      </c>
      <c r="D23" s="25" t="inlineStr">
        <is>
          <t>۱۹</t>
        </is>
      </c>
      <c r="E23" s="26" t="inlineStr">
        <is>
          <t>۱۹</t>
        </is>
      </c>
      <c r="F23" s="27" t="inlineStr">
        <is>
          <t>۱۸</t>
        </is>
      </c>
      <c r="G23" s="28" t="inlineStr">
        <is>
          <t>۱۶</t>
        </is>
      </c>
    </row>
    <row r="24" outlineLevel="1">
      <c r="A24" s="22" t="inlineStr">
        <is>
          <t>حکم در یک جمله</t>
        </is>
      </c>
      <c r="B24" s="23" t="inlineStr">
        <is>
          <t>اول در امتیاز (حقوق ۱۰/۱۰) — Neuchâtel / Fribourg / Basel / HSLU گام ۱ ✅؛ ۶ ماه بی‌درآمد، پول به نام خودتان در بانک سوئیسی، ۶ ماه بعد از مدرک = ریسک</t>
        </is>
      </c>
      <c r="C24" s="24" t="inlineStr">
        <is>
          <t>امن‌ترین — هر دو گام ✅ با فاصله؛ Werkstudent (۲۰ ساعت، $16.6+) هم پول است هم راه استخدام؛ بهایش آلمانی B1</t>
        </is>
      </c>
      <c r="D24" s="25" t="inlineStr">
        <is>
          <t>فقط Teesside هر دو گام را به‌تنهایی رد می‌کند؛ Essex/MMU/Northumbria با $1–3k کمک ۲۸ روزهٔ خانواده؛ بازار جونیور و حقوق ضعیف‌ترین</t>
        </is>
      </c>
      <c r="E24" s="26" t="inlineStr">
        <is>
          <t>BTH/MDU گام ۱ را رد می‌کنند ولی بدون سوئدی کار پیدا نمی‌شود → فقط با بورس</t>
        </is>
      </c>
      <c r="F24" s="31" t="inlineStr">
        <is>
          <t>❌ شهریه + تمکن $55–65k؛ فقط با بورس Reach</t>
        </is>
      </c>
      <c r="G24" s="31" t="inlineStr">
        <is>
          <t>❌ زندگی واقعی + ویزا؛ حذف</t>
        </is>
      </c>
    </row>
    <row r="25"/>
    <row r="26">
      <c r="A26" s="14" t="inlineStr">
        <is>
          <t>ب) وزن‌دهی کشوری — ستون «وزن ٪» را خودتان عوض کنید؛ ردیف «امتیاز (فرمول)» و ستون امتیاز بخش پ در اکسل به‌روز می‌شوند</t>
        </is>
      </c>
    </row>
    <row r="27" outlineLevel="1">
      <c r="A27" s="15" t="inlineStr">
        <is>
          <t>معیار (زیرامتیاز هر کشور از ۱۰)</t>
        </is>
      </c>
      <c r="B27" s="15" t="inlineStr">
        <is>
          <t>وزن ٪ (قابل تغییر)</t>
        </is>
      </c>
      <c r="C27" s="16" t="inlineStr">
        <is>
          <t>🇨🇭 سوئیس</t>
        </is>
      </c>
      <c r="D27" s="17" t="inlineStr">
        <is>
          <t>🇩🇪 آلمان</t>
        </is>
      </c>
      <c r="E27" s="18" t="inlineStr">
        <is>
          <t>🇬🇧 انگلستان</t>
        </is>
      </c>
      <c r="F27" s="19" t="inlineStr">
        <is>
          <t>🇸🇪 سوئد</t>
        </is>
      </c>
      <c r="G27" s="20" t="inlineStr">
        <is>
          <t>🇳🇱 هلند</t>
        </is>
      </c>
      <c r="H27" s="21" t="inlineStr">
        <is>
          <t>🇩🇰 دانمارک</t>
        </is>
      </c>
    </row>
    <row r="28" outlineLevel="1">
      <c r="A28" s="22" t="inlineStr">
        <is>
          <t>کار پیدا کردن برای جونیورِ فقط‌انگلیسی (بازار + مدت اقامت کاریابی + دست‌یافتنی بودن کف اسپانسری)</t>
        </is>
      </c>
      <c r="B28" s="32" t="n">
        <v>27.5</v>
      </c>
      <c r="C28" s="23" t="n">
        <v>5</v>
      </c>
      <c r="D28" s="24" t="n">
        <v>6</v>
      </c>
      <c r="E28" s="25" t="n">
        <v>5</v>
      </c>
      <c r="F28" s="26" t="n">
        <v>4</v>
      </c>
      <c r="G28" s="27" t="n">
        <v>8</v>
      </c>
      <c r="H28" s="28" t="n">
        <v>5</v>
      </c>
    </row>
    <row r="29" outlineLevel="1">
      <c r="A29" s="22" t="inlineStr">
        <is>
          <t>حقوق (ناخالص شروع، خالص ماهانه، پس‌انداز)</t>
        </is>
      </c>
      <c r="B29" s="32" t="n">
        <v>27.5</v>
      </c>
      <c r="C29" s="23" t="n">
        <v>10</v>
      </c>
      <c r="D29" s="24" t="n">
        <v>6</v>
      </c>
      <c r="E29" s="25" t="n">
        <v>3</v>
      </c>
      <c r="F29" s="26" t="n">
        <v>5</v>
      </c>
      <c r="G29" s="27" t="n">
        <v>5</v>
      </c>
      <c r="H29" s="28" t="n">
        <v>7</v>
      </c>
    </row>
    <row r="30" outlineLevel="1">
      <c r="A30" s="22" t="inlineStr">
        <is>
          <t>فقط انگلیسی (تحصیل، کار، زندگی روزمره، اقامت)</t>
        </is>
      </c>
      <c r="B30" s="32" t="n">
        <v>30</v>
      </c>
      <c r="C30" s="23" t="n">
        <v>6</v>
      </c>
      <c r="D30" s="24" t="n">
        <v>4</v>
      </c>
      <c r="E30" s="25" t="n">
        <v>10</v>
      </c>
      <c r="F30" s="26" t="n">
        <v>8</v>
      </c>
      <c r="G30" s="27" t="n">
        <v>8</v>
      </c>
      <c r="H30" s="28" t="n">
        <v>6</v>
      </c>
    </row>
    <row r="31" outlineLevel="1">
      <c r="A31" s="22" t="inlineStr">
        <is>
          <t>هزینهٔ کل تا مدرک</t>
        </is>
      </c>
      <c r="B31" s="32" t="n">
        <v>15</v>
      </c>
      <c r="C31" s="23" t="n">
        <v>5</v>
      </c>
      <c r="D31" s="24" t="n">
        <v>10</v>
      </c>
      <c r="E31" s="25" t="n">
        <v>5</v>
      </c>
      <c r="F31" s="26" t="n">
        <v>6</v>
      </c>
      <c r="G31" s="27" t="n">
        <v>2</v>
      </c>
      <c r="H31" s="28" t="n">
        <v>4</v>
      </c>
    </row>
    <row r="32" outlineLevel="1">
      <c r="A32" s="29" t="inlineStr">
        <is>
          <t>★ امتیاز با وزن‌های بالا (از ۱۰۰) — فرمول</t>
        </is>
      </c>
      <c r="B32" s="30">
        <f>SUM(B28:B31)</f>
        <v/>
      </c>
      <c r="C32" s="30">
        <f>ROUND(SUMPRODUCT($B$28:$B$31,C28:C31)/SUM($B$28:$B$31)*10,1)</f>
        <v/>
      </c>
      <c r="D32" s="30">
        <f>ROUND(SUMPRODUCT($B$28:$B$31,D28:D31)/SUM($B$28:$B$31)*10,1)</f>
        <v/>
      </c>
      <c r="E32" s="30">
        <f>ROUND(SUMPRODUCT($B$28:$B$31,E28:E31)/SUM($B$28:$B$31)*10,1)</f>
        <v/>
      </c>
      <c r="F32" s="30">
        <f>ROUND(SUMPRODUCT($B$28:$B$31,F28:F31)/SUM($B$28:$B$31)*10,1)</f>
        <v/>
      </c>
      <c r="G32" s="30">
        <f>ROUND(SUMPRODUCT($B$28:$B$31,G28:G31)/SUM($B$28:$B$31)*10,1)</f>
        <v/>
      </c>
      <c r="H32" s="30">
        <f>ROUND(SUMPRODUCT($B$28:$B$31,H28:H31)/SUM($B$28:$B$31)*10,1)</f>
        <v/>
      </c>
    </row>
    <row r="33" outlineLevel="1">
      <c r="A33" s="29" t="inlineStr">
        <is>
          <t>همان امتیاز، حساب‌شده با وزن‌های پیش‌فرض (اگر نرم‌افزار فرمول را نشان نداد)</t>
        </is>
      </c>
      <c r="B33" s="30" t="n">
        <v>100</v>
      </c>
      <c r="C33" s="30" t="n">
        <v>66.8</v>
      </c>
      <c r="D33" s="30" t="n">
        <v>60</v>
      </c>
      <c r="E33" s="30" t="n">
        <v>59.5</v>
      </c>
      <c r="F33" s="30" t="n">
        <v>57.8</v>
      </c>
      <c r="G33" s="30" t="n">
        <v>62.8</v>
      </c>
      <c r="H33" s="30" t="n">
        <v>57</v>
      </c>
    </row>
    <row r="34" outlineLevel="1">
      <c r="A34" s="22" t="inlineStr">
        <is>
          <t>رتبه با وزن‌های پیش‌فرض</t>
        </is>
      </c>
      <c r="B34" s="32" t="inlineStr"/>
      <c r="C34" s="23" t="n">
        <v>1</v>
      </c>
      <c r="D34" s="24" t="n">
        <v>3</v>
      </c>
      <c r="E34" s="25" t="n">
        <v>4</v>
      </c>
      <c r="F34" s="26" t="n">
        <v>5</v>
      </c>
      <c r="G34" s="27" t="n">
        <v>2</v>
      </c>
      <c r="H34" s="28" t="n">
        <v>6</v>
      </c>
    </row>
    <row r="35" outlineLevel="1">
      <c r="A35" s="22" t="inlineStr">
        <is>
          <t>امتیاز قدیمی با وزن برابر (از ۳۰)</t>
        </is>
      </c>
      <c r="B35" s="32" t="inlineStr"/>
      <c r="C35" s="23" t="n">
        <v>18</v>
      </c>
      <c r="D35" s="24" t="n">
        <v>22</v>
      </c>
      <c r="E35" s="25" t="n">
        <v>19</v>
      </c>
      <c r="F35" s="26" t="n">
        <v>19</v>
      </c>
      <c r="G35" s="27" t="n">
        <v>18</v>
      </c>
      <c r="H35" s="28" t="n">
        <v>16</v>
      </c>
    </row>
    <row r="36" outlineLevel="1">
      <c r="A36" s="22" t="inlineStr">
        <is>
          <t>گام ۱ (شهریه + تمکن یک‌سال) و گام ۲ (زندگی واقعی + کار)؟</t>
        </is>
      </c>
      <c r="B36" s="32" t="inlineStr"/>
      <c r="C36" s="23" t="inlineStr">
        <is>
          <t>گام ۱ ✅ (جز USI)؛ گام ۲ ⚠️ ۶ ماه بدون کار؛ HSLU با کار تعطیلات</t>
        </is>
      </c>
      <c r="D36" s="33" t="inlineStr">
        <is>
          <t>✅ ✅ حتی بدون کار</t>
        </is>
      </c>
      <c r="E36" s="25" t="inlineStr">
        <is>
          <t>گام ۱ فقط Teesside ✅ (بقیه ⚠️ با خانواده)؛ گام ۲ ✅ با ۲۰ ساعت</t>
        </is>
      </c>
      <c r="F36" s="26" t="inlineStr">
        <is>
          <t>گام ۱ BTH/MDU ✅؛ گام ۲ ⚠️ فقط با بورس</t>
        </is>
      </c>
      <c r="G36" s="31" t="inlineStr">
        <is>
          <t>❌ گام ۱</t>
        </is>
      </c>
      <c r="H36" s="31" t="inlineStr">
        <is>
          <t>❌ گام ۲ + ویزا</t>
        </is>
      </c>
    </row>
    <row r="37" outlineLevel="1" ht="78" customHeight="1">
      <c r="A37" s="34" t="inlineStr">
        <is>
          <t>چرا این زیرامتیازها؟ کار: هلند ۸ (انگلیسی‌دوست‌ترین بازار قاره، کف HSM فارغ‌التحصیل $3,560/ماه که یک جونیور می‌گیرد، ۱۲ ماه zoekjaar) · آلمان ۶ (۱۰۹ هزار جای خالی IT و ۱۸ ماه، ولی نیمی از آگهی‌ها آلمانی می‌خواهند) · انگلستان ۵ (۱۰۰٪ انگلیسی و ۱۸ ماه Graduate visa، ولی بازار جونیور اشباع و اسپانسری $50,700+ برای جونیور نادر) · دانمارک ۵ (۳ سال اقامت، ولی بدون دانمارکی و خارج کپنهاگ سخت) · سوئد ۴ (بازار ۲۰۲۴–۲۶ ضعیف، شبکهٔ محلی) · سوئیس ۵ (قبلاً ۴: فارغ‌التحصیلان دانشگاه‌های سوئیس طبق مادهٔ ۲۱(۳) AIG از «اولویت نیروی داخلی» معاف‌اند و تا ۱۲ ماه بعد از مدرک برای کار مرتبط اعتبار دارد؛ ولی مجوز کاریابی فقط ۶ ماه است و مجوز کار همچنان از سهمیهٔ کانتونی کم می‌شود — زوریخ ۲۰۲۵: ۳۹۹ مجوز L + ۲۴۹ مجوز B برای همهٔ رشته‌ها؛ رقابت با ETH/EPFL). حقوق: سوئیس ۱۰ ($103–127k) · دانمارک ۷ ($76–82k) · آلمان ۶ ($55–63k) · هلند ۵ ($46–57k) · سوئد ۵ ($42–55k) · انگلستان ۳ ($37–46k). انگلیسی و هزینه: همان ردیف ۲۸ جدول اصلی (هزینه نسبی است؛ بودجهٔ جدید فقط ردیف «جور درمی‌آید؟» را عوض می‌کند).</t>
        </is>
      </c>
    </row>
    <row r="38" outlineLevel="1" ht="72" customHeight="1">
      <c r="A38" s="34" t="inlineStr">
        <is>
          <t>حساسیت: (۱) همین وزن‌ها ولی «کار» سوئیس = ۴ (مثل نسخهٔ قبل): سوئیس ۶۴ › هلند ۶۲.۸ › آلمان ۶۰ › انگلستان ۵۹.۵ › سوئد ۵۷.۸ › دانمارک ۵۷. (۲) کار ۳۰ / حقوق ۳۰ / انگلیسی ۳۰ / هزینه ۱۰ (هزینه سبک‌تر چون بودجه بالا رفت): سوئیس ۶۸ › هلند ۶۵ › انگلستان ۵۹ › آلمان ۵۸ = دانمارک ۵۸ › سوئد ۵۷. (۳) وزن‌های نسخهٔ قبل (کار ۳۰ / حقوق ۲۵ / انگلیسی ۳۰ / هزینه ۱۵) با «کار» سوئیس = ۵: سوئیس ۶۵.۵ › هلند ۶۳.۵ › آلمان ۶۰ = انگلستان ۶۰. در همهٔ حالت‌ها سوئیس و هلند دو فینالیست‌اند و اختلافشان ۱ تا ۴ امتیاز است — این امتیازها قضاوت‌اند، نه اندازه‌گیری؛ تصمیم بین این دو با ریسک‌پذیری شما و پذیرش‌ها گرفته می‌شود، نه با اعشار. ⚠️ ولی با بودجهٔ شما (شهریه + زندگی تا کار) هلند عملاً بسته است (شهریهٔ دو سال $45–50k) — پس فینالیست‌های واقعی سوئیس و آلمان‌اند، با انگلستان به‌عنوان گزینهٔ ۱۰۰٪ انگلیسی.</t>
        </is>
      </c>
    </row>
    <row r="39" outlineLevel="1" ht="64" customHeight="1">
      <c r="A39" s="34" t="inlineStr">
        <is>
          <t>سه فیلتری که امتیاز نمی‌بیند: (۱) پول با مدل شما ($40,000 = شهریه + زندگی تا کار): هلند و دانمارک بیرون؛ سوئد فقط با بورس؛ سوئیس فقط اگر ۶ ماه اول را بدون درآمد بگذرانید (Neuchâtel/Fribourg/Basel تقریباً بدون کار؛ HSLU حتی با ۱۵ ساعت × کف کانتونی ≈ $4.3k کسری دارد که فقط کار تمام‌وقت در تعطیلات ترم می‌بندد؛ USI گام ۱ را رد نمی‌کند)؛ آلمان بدون کار؛ انگلستان با ۲۰ ساعت × $16.8 که تقریباً برابر هزینهٔ زندگی است — ولی گام ۱ (شهریه + ۹ × $1,590) را فقط Teesside به‌تنهایی رد می‌کند. (۲) اثبات تمکن قبل از ویزا (از همان پول، ولی یک‌جا): آلمان $13,600 · سوئیس $25,400 (زوریخ فقط بانک سوئیسی به نام خودتان؛ انتقال پول از ایران به بانک سوئیسی سخت است — از International Office دانشگاه بپرسید) · انگلستان شهریه + $14,300 (حساب خانواده مجاز). (۳) پذیرش — سوئیس و Stuttgart/Darmstadt Target؛ Saarland/Passau/Essex/Northumbria امن‌تر.</t>
        </is>
      </c>
    </row>
    <row r="40"/>
    <row r="41">
      <c r="A41" s="14" t="inlineStr">
        <is>
          <t>پ) برنامه‌ها با امتیاز وزنی شما (۱ = بالاترین) — بودجه در دو گام: گام ۱ «شهریهٔ کل + تمکن مالی یک‌سال ≤ $40,000» (آنچه سفارت می‌بیند) · گام ۲ «شهریه + n ماه زندگی واقعی، بعد کار با حداکثر ساعت مجاز» — حکم نهایی کنار رتبه</t>
        </is>
      </c>
    </row>
    <row r="42" outlineLevel="1">
      <c r="A42" s="15" t="inlineStr">
        <is>
          <t>رتبه + حکم</t>
        </is>
      </c>
      <c r="B42" s="15" t="inlineStr">
        <is>
          <t>دانشگاه – شهر</t>
        </is>
      </c>
      <c r="C42" s="15" t="inlineStr">
        <is>
          <t>برنامه (طول)</t>
        </is>
      </c>
      <c r="D42" s="15" t="inlineStr">
        <is>
          <t>گام ۱ — آنچه سفارت می‌بیند: شهریهٔ کل دوره + تمکن مالی یک‌سال ≤ $40,000؟</t>
        </is>
      </c>
      <c r="E42" s="15" t="inlineStr">
        <is>
          <t>گام ۲ — با $40,000 چه دارید؟ شهریه + n ماه زندگی واقعی</t>
        </is>
      </c>
      <c r="F42" s="15" t="inlineStr">
        <is>
          <t>گام ۲ — کار دانشجویی در حداکثر ساعت مجاز → کسری/اضافه تا پایان دوره</t>
        </is>
      </c>
      <c r="G42" s="15" t="inlineStr">
        <is>
          <t>زیرامتیازها: کار / حقوق / انگلیسی / بودجه → امتیاز</t>
        </is>
      </c>
      <c r="H42" s="15" t="inlineStr">
        <is>
          <t>امتیاز با وزن‌های شما (فرمول)</t>
        </is>
      </c>
      <c r="I42" s="15" t="inlineStr">
        <is>
          <t>شانس</t>
        </is>
      </c>
      <c r="J42" s="15" t="inlineStr">
        <is>
          <t>مهلت برای ورودی ۲۰۲۷</t>
        </is>
      </c>
      <c r="K42" s="15" t="inlineStr">
        <is>
          <t>ریسک / چرا</t>
        </is>
      </c>
    </row>
    <row r="43" outlineLevel="1">
      <c r="A43" s="35" t="inlineStr">
        <is>
          <t>1 ✅</t>
        </is>
      </c>
      <c r="B43" s="36" t="inlineStr">
        <is>
          <t>University of Basel – Basel</t>
        </is>
      </c>
      <c r="C43" s="37" t="inlineStr">
        <is>
          <t>MSc Computer Science (۱.۵ سال)</t>
        </is>
      </c>
      <c r="D43" s="38" t="inlineStr">
        <is>
          <t>✅ شهریه $3,090 + تمکن یک‌سال $29,000 = $32,100 ≤ $40,000 ($7,870 زیر سقف) — Basel: $29,000 در بانک به نام خودتان</t>
        </is>
      </c>
      <c r="E43" s="39" t="inlineStr">
        <is>
          <t>✅ شهریه $3,090 + ۱۶.۵ ماه زندگی ($2,240/ماه) از ۱۸ ماه → از ماه ۱۷ باید کار کنید</t>
        </is>
      </c>
      <c r="F43" s="39" t="inlineStr">
        <is>
          <t>✅ ۱۵ ساعت/هفته × $26.9 (کف قانونی Basel-Stadt ۲۰۲۶) ≈ $1,590 خالص/ماه در برابر زندگی $2,240 → کسری $650/ماه × ۲ ماه = $1,300؛ باقی‌ماندهٔ بودجه $1,100 → کسری کل ≈ $205؛ قانوناً: ۱۰۰٪ در تعطیلات ترم (≈ ۱۳ هفته → تا ≈ +$7,000–8,500 در سال) — فقط بعد از ماه ۶</t>
        </is>
      </c>
      <c r="G43" s="40" t="inlineStr">
        <is>
          <t>5 / 10 / 6 / 8 → 71.3</t>
        </is>
      </c>
      <c r="H43" s="41">
        <f>ROUND(($B$28*L43+$B$29*M43+$B$30*N43+$B$31*O43)/SUM($B$28:$B$31)*10,1)</f>
        <v/>
      </c>
      <c r="I43" s="42" t="inlineStr">
        <is>
          <t>Target/Reach</t>
        </is>
      </c>
      <c r="J43" s="37" t="inlineStr">
        <is>
          <t>۳۰ آوریل ۲۰۲۷</t>
        </is>
      </c>
      <c r="K43" s="37" t="inlineStr">
        <is>
          <t>Roche / Novartis / IT و ۱ ساعت تا زوریخ؛ آلمانی‌زبان؛ پذیرش سخت‌تر؛ اثبات $29,000؛ ۶ ماه مجوز L بعد از مدرک</t>
        </is>
      </c>
      <c r="L43" s="43" t="n">
        <v>5</v>
      </c>
      <c r="M43" s="43" t="n">
        <v>10</v>
      </c>
      <c r="N43" s="43" t="n">
        <v>6</v>
      </c>
      <c r="O43" s="43" t="n">
        <v>8</v>
      </c>
    </row>
    <row r="44" outlineLevel="1">
      <c r="A44" s="41" t="inlineStr">
        <is>
          <t>2 ⚠️</t>
        </is>
      </c>
      <c r="B44" s="36" t="inlineStr">
        <is>
          <t>Hochschule Luzern (HSLU) – Lucerne / Luzern</t>
        </is>
      </c>
      <c r="C44" s="37" t="inlineStr">
        <is>
          <t>MSc Applied Data Science and AI (نام جدید از اوت ۲۰۲۶؛ قبلاً Applied Information and Data Science) (۲ سال)</t>
        </is>
      </c>
      <c r="D44" s="38" t="inlineStr">
        <is>
          <t>✅ شهریه $7,620 + تمکن یک‌سال $25,400 = $33,000 ≤ $40,000 ($6,970 زیر سقف) — $25,400 در بانک به نام خودتان (زوریخ فقط بانک سوئیسی)</t>
        </is>
      </c>
      <c r="E44" s="44" t="inlineStr">
        <is>
          <t>⚠️ شهریه $7,620 + ۱۵.۳ ماه زندگی ($2,120/ماه) از ۲۴ ماه → از ماه ۱۶ باید کار کنید</t>
        </is>
      </c>
      <c r="F44" s="44" t="inlineStr">
        <is>
          <t>⚠️ ۱۵ ساعت/هفته × $27 (کف قانونی شهر لوسرن از ژانویه ۲۰۲۶) ≈ $1,570 خالص/ماه در برابر زندگی $2,120 → کسری $545/ماه × ۹ ماه = $4,900؛ باقی‌ماندهٔ بودجه $615 → کسری کل ≈ $4,280؛ قانوناً: ۱۰۰٪ در تعطیلات ترم (≈ ۱۳ هفته → تا ≈ +$7,000–8,500 در سال) — فقط بعد از ماه ۶</t>
        </is>
      </c>
      <c r="G44" s="40" t="inlineStr">
        <is>
          <t>5 / 10 / 6 / 6 → 68.3</t>
        </is>
      </c>
      <c r="H44" s="41">
        <f>ROUND(($B$28*L44+$B$29*M44+$B$30*N44+$B$31*O44)/SUM($B$28:$B$31)*10,1)</f>
        <v/>
      </c>
      <c r="I44" s="45" t="inlineStr">
        <is>
          <t>Safe/Target</t>
        </is>
      </c>
      <c r="J44" s="37" t="inlineStr">
        <is>
          <t>۱ آوریل ۲۰۲۷</t>
        </is>
      </c>
      <c r="K44" s="37" t="inlineStr">
        <is>
          <t>۴۵ دقیقه تا زوریخ/زوگ؛ هر کارشناسی را می‌پذیرد (Safe/Target)؛ کار دانشجویی IT به انگلیسی هست ولی کمتر از زوریخ؛ ۶ ماه مجوز L</t>
        </is>
      </c>
      <c r="L44" s="43" t="n">
        <v>5</v>
      </c>
      <c r="M44" s="43" t="n">
        <v>10</v>
      </c>
      <c r="N44" s="43" t="n">
        <v>6</v>
      </c>
      <c r="O44" s="43" t="n">
        <v>6</v>
      </c>
    </row>
    <row r="45" outlineLevel="1">
      <c r="A45" s="35" t="inlineStr">
        <is>
          <t>3 ✅</t>
        </is>
      </c>
      <c r="B45" s="36" t="inlineStr">
        <is>
          <t>University of Neuchâtel – Neuchâtel</t>
        </is>
      </c>
      <c r="C45" s="37" t="inlineStr">
        <is>
          <t>Swiss Joint MSc Computer Science (ثبت‌نام در Neuchâtel) (۱.۵ سال)</t>
        </is>
      </c>
      <c r="D45" s="38" t="inlineStr">
        <is>
          <t>✅ شهریه $2,870 + تمکن یک‌سال $25,400 = $28,300 ≤ $40,000 ($11,700 زیر سقف) — $25,400 در بانک به نام خودتان (زوریخ فقط بانک سوئیسی)</t>
        </is>
      </c>
      <c r="E45" s="39" t="inlineStr">
        <is>
          <t>✅ شهریه $2,870 + تمام ۱۸ ماه زندگی ($1,880/ماه) — و $3,370 اضافه می‌ماند</t>
        </is>
      </c>
      <c r="F45" s="39" t="inlineStr">
        <is>
          <t>✅ نیازی به کار نیست؛ اگر کار کنید (۱۵ ساعت/هفته × $25.8 (کف قانونی کانتون Neuchâtel ۲۰۲۶) ≈ $1,530 خالص/ماه) همه پس‌انداز می‌شود</t>
        </is>
      </c>
      <c r="G45" s="40" t="inlineStr">
        <is>
          <t>4 / 10 / 5 / 9 → 67.0</t>
        </is>
      </c>
      <c r="H45" s="41">
        <f>ROUND(($B$28*L45+$B$29*M45+$B$30*N45+$B$31*O45)/SUM($B$28:$B$31)*10,1)</f>
        <v/>
      </c>
      <c r="I45" s="30" t="inlineStr">
        <is>
          <t>Target</t>
        </is>
      </c>
      <c r="J45" s="37" t="inlineStr">
        <is>
          <t>۳۱ مارس ۲۰۲۷</t>
        </is>
      </c>
      <c r="K45" s="37" t="inlineStr">
        <is>
          <t>ارزان‌ترین سوئیس؛ بدون مدرک زبان؛ فرانسه‌زبان در زندگی روزمره؛ بازار ملی ولی رقابت با ETH/EPFL؛ ۶ ماه مجوز L</t>
        </is>
      </c>
      <c r="L45" s="43" t="n">
        <v>4</v>
      </c>
      <c r="M45" s="43" t="n">
        <v>10</v>
      </c>
      <c r="N45" s="43" t="n">
        <v>5</v>
      </c>
      <c r="O45" s="43" t="n">
        <v>9</v>
      </c>
    </row>
    <row r="46" outlineLevel="1">
      <c r="A46" s="35" t="inlineStr">
        <is>
          <t>4 ✅</t>
        </is>
      </c>
      <c r="B46" s="36" t="inlineStr">
        <is>
          <t>University of Fribourg – Fribourg</t>
        </is>
      </c>
      <c r="C46" s="37" t="inlineStr">
        <is>
          <t>Swiss Joint MSc Computer Science (ثبت‌نام در Fribourg) (۱.۵ سال)</t>
        </is>
      </c>
      <c r="D46" s="38" t="inlineStr">
        <is>
          <t>✅ شهریه $3,580 + تمکن یک‌سال $25,400 = $29,000 ≤ $40,000 ($11,000 زیر سقف) — $25,400 در بانک به نام خودتان (زوریخ فقط بانک سوئیسی)</t>
        </is>
      </c>
      <c r="E46" s="39" t="inlineStr">
        <is>
          <t>✅ شهریه $3,580 + تمام ۱۸ ماه زندگی ($1,970/ماه) — و $1,030 اضافه می‌ماند</t>
        </is>
      </c>
      <c r="F46" s="39" t="inlineStr">
        <is>
          <t>✅ نیازی به کار نیست؛ اگر کار کنید (۱۵ ساعت/هفته × $27 (بدون کف قانونی؛ $27 فرض) ≈ $1,570 خالص/ماه) همه پس‌انداز می‌شود</t>
        </is>
      </c>
      <c r="G46" s="40" t="inlineStr">
        <is>
          <t>4 / 10 / 5 / 8 → 65.5</t>
        </is>
      </c>
      <c r="H46" s="41">
        <f>ROUND(($B$28*L46+$B$29*M46+$B$30*N46+$B$31*O46)/SUM($B$28:$B$31)*10,1)</f>
        <v/>
      </c>
      <c r="I46" s="30" t="inlineStr">
        <is>
          <t>Target</t>
        </is>
      </c>
      <c r="J46" s="37" t="inlineStr">
        <is>
          <t>۲۸ فوریه ۲۰۲۷ (ویزایی‌ها)</t>
        </is>
      </c>
      <c r="K46" s="37" t="inlineStr">
        <is>
          <t>همان مدرک مشترک؛ شهر دوزبانه (فرانسه/آلمانی)؛ ۲۰ دقیقه تا برن</t>
        </is>
      </c>
      <c r="L46" s="43" t="n">
        <v>4</v>
      </c>
      <c r="M46" s="43" t="n">
        <v>10</v>
      </c>
      <c r="N46" s="43" t="n">
        <v>5</v>
      </c>
      <c r="O46" s="43" t="n">
        <v>8</v>
      </c>
    </row>
    <row r="47" outlineLevel="1">
      <c r="A47" s="35" t="inlineStr">
        <is>
          <t>5 ✅</t>
        </is>
      </c>
      <c r="B47" s="46" t="inlineStr">
        <is>
          <t>Universität Stuttgart – Stuttgart</t>
        </is>
      </c>
      <c r="C47" s="37" t="inlineStr">
        <is>
          <t>M.Sc. Computer Science (انگلیسی، بدون NC) (۲ سال)</t>
        </is>
      </c>
      <c r="D47" s="38" t="inlineStr">
        <is>
          <t>✅ شهریه $7,750 + تمکن یک‌سال $13,600 = $21,300 ≤ $40,000 ($18,700 زیر سقف) — حساب مسدود $13,600 = $1,130/ماه (Auswärtiges Amt ۲۰۲۶)</t>
        </is>
      </c>
      <c r="E47" s="39" t="inlineStr">
        <is>
          <t>✅ شهریه $7,750 + ۲۳.۱ ماه زندگی ($1,400/ماه) از ۲۴ ماه → از ماه ۲۴ باید کار کنید</t>
        </is>
      </c>
      <c r="F47" s="39" t="inlineStr">
        <is>
          <t>✅ ۲۰ ساعت/هفته × $16.6 (حداقل قانونی از ژانویه ۲۰۲۷؛ Werkstudent IT معمولاً $19–23) ≈ $1,300 خالص/ماه در برابر زندگی $1,400 → کسری $92/ماه × ۱ ماه = $92؛ باقی‌ماندهٔ بودجه $130 → بدون کسری (≈ $36 اضافه)</t>
        </is>
      </c>
      <c r="G47" s="40" t="inlineStr">
        <is>
          <t>7 / 7 / 4 / 9 → 64.0</t>
        </is>
      </c>
      <c r="H47" s="41">
        <f>ROUND(($B$28*L47+$B$29*M47+$B$30*N47+$B$31*O47)/SUM($B$28:$B$31)*10,1)</f>
        <v/>
      </c>
      <c r="I47" s="30" t="inlineStr">
        <is>
          <t>Target</t>
        </is>
      </c>
      <c r="J47" s="37" t="inlineStr">
        <is>
          <t>۱۵ ژانویه ۲۰۲۷</t>
        </is>
      </c>
      <c r="K47" s="37" t="inlineStr">
        <is>
          <t>بزرگ‌ترین بازار مهندسی/IT (Bosch، Mercedes، Porsche)؛ حقوق BW بالاتر؛ ۱۸ ماه؛ IELTS 7؛ آلمانی برای نیمی از بازار؛ صف خوابگاه ۶–۸ ماه؛ اثبات $13,600</t>
        </is>
      </c>
      <c r="L47" s="43" t="n">
        <v>7</v>
      </c>
      <c r="M47" s="43" t="n">
        <v>7</v>
      </c>
      <c r="N47" s="43" t="n">
        <v>4</v>
      </c>
      <c r="O47" s="43" t="n">
        <v>9</v>
      </c>
    </row>
    <row r="48" outlineLevel="1">
      <c r="A48" s="41" t="inlineStr">
        <is>
          <t>6 ⚠️</t>
        </is>
      </c>
      <c r="B48" s="47" t="inlineStr">
        <is>
          <t>Manchester Metropolitan University (MMU) – Manchester</t>
        </is>
      </c>
      <c r="C48" s="37" t="inlineStr">
        <is>
          <t>MSc Cyber Security (۱ سال)</t>
        </is>
      </c>
      <c r="D48" s="48" t="inlineStr">
        <is>
          <t>⚠️ شهریه $27,800 + تمکن یک‌سال $14,300 = $42,200 → $2,170 بیشتر از $40,000؛ فقط اگر خانواده همین مبلغ را ۲۸ روز در حساب نشان دهد — ۹ × $1,590 خارج لندن + شهریهٔ سال اول (CAS)؛ ۲۸ روز در حساب؛ حساب والدین با رضایت‌نامه مجاز</t>
        </is>
      </c>
      <c r="E48" s="39" t="inlineStr">
        <is>
          <t>✅ شهریه $27,800 + ۷.۷ ماه زندگی ($1,590/ماه) از ۱۲ ماه → از ماه ۸ باید کار کنید</t>
        </is>
      </c>
      <c r="F48" s="39" t="inlineStr">
        <is>
          <t>✅ ۲۰ ساعت/هفته × $16.8 (National Living Wage از آوریل ۲۰۲۶) ≈ $1,440 خالص/ماه در برابر زندگی $1,590 → کسری $150/ماه × ۵ ماه = $760؛ باقی‌ماندهٔ بودجه $1,050 → بدون کسری (≈ $285 اضافه)</t>
        </is>
      </c>
      <c r="G48" s="40" t="inlineStr">
        <is>
          <t>5 / 3 / 10 / 8 → 64.0</t>
        </is>
      </c>
      <c r="H48" s="41">
        <f>ROUND(($B$28*L48+$B$29*M48+$B$30*N48+$B$31*O48)/SUM($B$28:$B$31)*10,1)</f>
        <v/>
      </c>
      <c r="I48" s="49" t="inlineStr">
        <is>
          <t>Safe</t>
        </is>
      </c>
      <c r="J48" s="37" t="inlineStr">
        <is>
          <t>rolling — تا ژوئن ۲۰۲۷</t>
        </is>
      </c>
      <c r="K48" s="37" t="inlineStr">
        <is>
          <t>منچستر = دومین قطب فناوری انگلستان (کار دانشجویی و جونیور بیشتر)؛ فقط Cyber Security در فهرست؛ Safe</t>
        </is>
      </c>
      <c r="L48" s="43" t="n">
        <v>5</v>
      </c>
      <c r="M48" s="43" t="n">
        <v>3</v>
      </c>
      <c r="N48" s="43" t="n">
        <v>10</v>
      </c>
      <c r="O48" s="43" t="n">
        <v>8</v>
      </c>
    </row>
    <row r="49" outlineLevel="1">
      <c r="A49" s="35" t="inlineStr">
        <is>
          <t>7 ✅</t>
        </is>
      </c>
      <c r="B49" s="47" t="inlineStr">
        <is>
          <t>Teesside University – Middlesbrough</t>
        </is>
      </c>
      <c r="C49" s="37" t="inlineStr">
        <is>
          <t>MSc Computer Science (۱ سال)</t>
        </is>
      </c>
      <c r="D49" s="38" t="inlineStr">
        <is>
          <t>✅ شهریه $22,500 + تمکن یک‌سال $14,300 = $36,900 ≤ $40,000 ($3,130 زیر سقف) — ۹ × $1,590 خارج لندن + شهریهٔ سال اول (CAS)؛ ۲۸ روز در حساب؛ حساب والدین با رضایت‌نامه مجاز</t>
        </is>
      </c>
      <c r="E49" s="39" t="inlineStr">
        <is>
          <t>✅ شهریه $22,500 + تمام ۱۲ ماه زندگی ($1,390/ماه) — و $780 اضافه می‌ماند</t>
        </is>
      </c>
      <c r="F49" s="39" t="inlineStr">
        <is>
          <t>✅ نیازی به کار نیست؛ اگر کار کنید (۲۰ ساعت/هفته × $16.8 (National Living Wage از آوریل ۲۰۲۶) ≈ $1,440 خالص/ماه) همه پس‌انداز می‌شود</t>
        </is>
      </c>
      <c r="G49" s="40" t="inlineStr">
        <is>
          <t>3 / 3 / 10 / 10 → 61.5</t>
        </is>
      </c>
      <c r="H49" s="41">
        <f>ROUND(($B$28*L49+$B$29*M49+$B$30*N49+$B$31*O49)/SUM($B$28:$B$31)*10,1)</f>
        <v/>
      </c>
      <c r="I49" s="49" t="inlineStr">
        <is>
          <t>Safe</t>
        </is>
      </c>
      <c r="J49" s="37" t="inlineStr">
        <is>
          <t>rolling — تا ژوئن ۲۰۲۷</t>
        </is>
      </c>
      <c r="K49" s="37" t="inlineStr">
        <is>
          <t>۱۰۰٪ انگلیسی، ۱ ساله، پذیرش قطعی؛ تنها برنامهٔ انگلستان که گام ۱ را بدون کمک رد می‌کند؛ ولی Middlesbrough بازار کوچک و حقوق پایین</t>
        </is>
      </c>
      <c r="L49" s="43" t="n">
        <v>3</v>
      </c>
      <c r="M49" s="43" t="n">
        <v>3</v>
      </c>
      <c r="N49" s="43" t="n">
        <v>10</v>
      </c>
      <c r="O49" s="43" t="n">
        <v>10</v>
      </c>
    </row>
    <row r="50" outlineLevel="1">
      <c r="A50" s="41" t="inlineStr">
        <is>
          <t>8 ⚠️</t>
        </is>
      </c>
      <c r="B50" s="47" t="inlineStr">
        <is>
          <t>Northumbria University – Newcastle upon Tyne</t>
        </is>
      </c>
      <c r="C50" s="37" t="inlineStr">
        <is>
          <t>MSc Advanced Computer Science (۱ سال)</t>
        </is>
      </c>
      <c r="D50" s="48" t="inlineStr">
        <is>
          <t>⚠️ شهریه $28,500 + تمکن یک‌سال $14,300 = $42,800 → $2,830 بیشتر از $40,000؛ فقط اگر خانواده همین مبلغ را ۲۸ روز در حساب نشان دهد — ۹ × $1,590 خارج لندن + شهریهٔ سال اول (CAS)؛ ۲۸ روز در حساب؛ حساب والدین با رضایت‌نامه مجاز</t>
        </is>
      </c>
      <c r="E50" s="39" t="inlineStr">
        <is>
          <t>✅ شهریه $28,500 + ۷.۹ ماه زندگی ($1,460/ماه) از ۱۲ ماه → از ماه ۸ باید کار کنید</t>
        </is>
      </c>
      <c r="F50" s="39" t="inlineStr">
        <is>
          <t>✅ ۲۰ ساعت/هفته × $16.8 (National Living Wage از آوریل ۲۰۲۶) ≈ $1,440 خالص/ماه در برابر زندگی $1,460 → کسری $20/ماه × ۵ ماه = $98؛ باقی‌ماندهٔ بودجه $1,310 → بدون کسری (≈ $1,210 اضافه)</t>
        </is>
      </c>
      <c r="G50" s="40" t="inlineStr">
        <is>
          <t>4 / 3 / 10 / 8 → 61.3</t>
        </is>
      </c>
      <c r="H50" s="41">
        <f>ROUND(($B$28*L50+$B$29*M50+$B$30*N50+$B$31*O50)/SUM($B$28:$B$31)*10,1)</f>
        <v/>
      </c>
      <c r="I50" s="49" t="inlineStr">
        <is>
          <t>Safe</t>
        </is>
      </c>
      <c r="J50" s="37" t="inlineStr">
        <is>
          <t>rolling — تا ژوئن ۲۰۲۷</t>
        </is>
      </c>
      <c r="K50" s="37" t="inlineStr">
        <is>
          <t>Newcastle بازار متوسط (Sage، Accenture)؛ ارزان‌ترین خوابگاه انگلستان؛ ضعف بازار جونیور / اسپانسری</t>
        </is>
      </c>
      <c r="L50" s="43" t="n">
        <v>4</v>
      </c>
      <c r="M50" s="43" t="n">
        <v>3</v>
      </c>
      <c r="N50" s="43" t="n">
        <v>10</v>
      </c>
      <c r="O50" s="43" t="n">
        <v>8</v>
      </c>
    </row>
    <row r="51" outlineLevel="1">
      <c r="A51" s="41" t="inlineStr">
        <is>
          <t>9 ⚠️</t>
        </is>
      </c>
      <c r="B51" s="47" t="inlineStr">
        <is>
          <t>University of Essex – Colchester</t>
        </is>
      </c>
      <c r="C51" s="37" t="inlineStr">
        <is>
          <t>MSc Advanced Computer Science (۱ سال)</t>
        </is>
      </c>
      <c r="D51" s="48" t="inlineStr">
        <is>
          <t>⚠️ شهریه $26,700 + تمکن یک‌سال $14,300 = $41,100 → $1,080 بیشتر از $40,000؛ فقط اگر خانواده همین مبلغ را ۲۸ روز در حساب نشان دهد — ۹ × $1,590 خارج لندن + شهریهٔ سال اول (CAS)؛ ۲۸ روز در حساب؛ حساب والدین با رضایت‌نامه مجاز</t>
        </is>
      </c>
      <c r="E51" s="39" t="inlineStr">
        <is>
          <t>✅ شهریه $26,700 + ۸.۵ ماه زندگی ($1,560/ماه) از ۱۲ ماه → از ماه ۹ باید کار کنید</t>
        </is>
      </c>
      <c r="F51" s="39" t="inlineStr">
        <is>
          <t>✅ ۲۰ ساعت/هفته × $16.8 (National Living Wage از آوریل ۲۰۲۶) ≈ $1,440 خالص/ماه در برابر زندگی $1,560 → کسری $120/ماه × ۴ ماه = $475؛ باقی‌ماندهٔ بودجه $815 → بدون کسری (≈ $340 اضافه)</t>
        </is>
      </c>
      <c r="G51" s="40" t="inlineStr">
        <is>
          <t>4 / 3 / 10 / 8 → 61.3</t>
        </is>
      </c>
      <c r="H51" s="41">
        <f>ROUND(($B$28*L51+$B$29*M51+$B$30*N51+$B$31*O51)/SUM($B$28:$B$31)*10,1)</f>
        <v/>
      </c>
      <c r="I51" s="45" t="inlineStr">
        <is>
          <t>Safe/Target</t>
        </is>
      </c>
      <c r="J51" s="37" t="inlineStr">
        <is>
          <t>rolling — تا ژوئن ۲۰۲۷</t>
        </is>
      </c>
      <c r="K51" s="37" t="inlineStr">
        <is>
          <t>شهریه بعد از بورس خودکار ایران $5,960 (در CAS)؛ ۱ ساعت تا لندن؛ خوابگاه تضمینی؛ ضعف بازار جونیور / اسپانسری</t>
        </is>
      </c>
      <c r="L51" s="43" t="n">
        <v>4</v>
      </c>
      <c r="M51" s="43" t="n">
        <v>3</v>
      </c>
      <c r="N51" s="43" t="n">
        <v>10</v>
      </c>
      <c r="O51" s="43" t="n">
        <v>8</v>
      </c>
    </row>
    <row r="52" outlineLevel="1">
      <c r="A52" s="35" t="inlineStr">
        <is>
          <t>10 ✅</t>
        </is>
      </c>
      <c r="B52" s="46" t="inlineStr">
        <is>
          <t>TU Darmstadt – Darmstadt</t>
        </is>
      </c>
      <c r="C52" s="37" t="inlineStr">
        <is>
          <t>M.Sc. Distributed Software Systems (انگلیسی) (۲ سال)</t>
        </is>
      </c>
      <c r="D52" s="38" t="inlineStr">
        <is>
          <t>✅ شهریه $1,370 + تمکن یک‌سال $13,600 = $14,900 ≤ $40,000 ($25,100 زیر سقف) — حساب مسدود $13,600 = $1,130/ماه (Auswärtiges Amt ۲۰۲۶)</t>
        </is>
      </c>
      <c r="E52" s="39" t="inlineStr">
        <is>
          <t>✅ شهریه $1,370 + تمام ۲۴ ماه زندگی ($1,340/ماه) — و $6,480 اضافه می‌ماند</t>
        </is>
      </c>
      <c r="F52" s="39" t="inlineStr">
        <is>
          <t>✅ نیازی به کار نیست؛ اگر کار کنید (۲۰ ساعت/هفته × $16.6 (حداقل قانونی از ژانویه ۲۰۲۷؛ Werkstudent IT معمولاً $19–23) ≈ $1,300 خالص/ماه) همه پس‌انداز می‌شود</t>
        </is>
      </c>
      <c r="G52" s="40" t="inlineStr">
        <is>
          <t>6 / 6 / 4 / 10 → 60.0</t>
        </is>
      </c>
      <c r="H52" s="41">
        <f>ROUND(($B$28*L52+$B$29*M52+$B$30*N52+$B$31*O52)/SUM($B$28:$B$31)*10,1)</f>
        <v/>
      </c>
      <c r="I52" s="42" t="inlineStr">
        <is>
          <t>Target/Reach</t>
        </is>
      </c>
      <c r="J52" s="37" t="inlineStr">
        <is>
          <t>≈ ۱۵ می – ۱۵ ژوئیه ۲۰۲۷ (چک شود)</t>
        </is>
      </c>
      <c r="K52" s="37" t="inlineStr">
        <is>
          <t>۲۵ دقیقه تا فرانکفورت (شرکت‌های بین‌المللی انگلیسی‌زبان)؛ تقریباً رایگان؛ لیست انتظار خوابگاه</t>
        </is>
      </c>
      <c r="L52" s="43" t="n">
        <v>6</v>
      </c>
      <c r="M52" s="43" t="n">
        <v>6</v>
      </c>
      <c r="N52" s="43" t="n">
        <v>4</v>
      </c>
      <c r="O52" s="43" t="n">
        <v>10</v>
      </c>
    </row>
    <row r="53" outlineLevel="1">
      <c r="A53" s="35" t="inlineStr">
        <is>
          <t>11 ✅</t>
        </is>
      </c>
      <c r="B53" s="46" t="inlineStr">
        <is>
          <t>Saarland University (UdS) – Saarbrücken</t>
        </is>
      </c>
      <c r="C53" s="37" t="inlineStr">
        <is>
          <t>M.Sc. Data Science and Artificial Intelligence (۲ سال)</t>
        </is>
      </c>
      <c r="D53" s="38" t="inlineStr">
        <is>
          <t>✅ شهریه $1,800 + تمکن یک‌سال $13,600 = $15,400 ≤ $40,000 ($24,600 زیر سقف) — حساب مسدود $13,600 = $1,130/ماه (Auswärtiges Amt ۲۰۲۶)</t>
        </is>
      </c>
      <c r="E53" s="39" t="inlineStr">
        <is>
          <t>✅ شهریه $1,800 + تمام ۲۴ ماه زندگی ($1,140/ماه) — و $11k اضافه می‌ماند</t>
        </is>
      </c>
      <c r="F53" s="39" t="inlineStr">
        <is>
          <t>✅ نیازی به کار نیست؛ اگر کار کنید (۲۰ ساعت/هفته × $16.6 (حداقل قانونی از ژانویه ۲۰۲۷؛ Werkstudent IT معمولاً $19–23) ≈ $1,300 خالص/ماه) همه پس‌انداز می‌شود</t>
        </is>
      </c>
      <c r="G53" s="40" t="inlineStr">
        <is>
          <t>5 / 6 / 4 / 10 → 57.3</t>
        </is>
      </c>
      <c r="H53" s="41">
        <f>ROUND(($B$28*L53+$B$29*M53+$B$30*N53+$B$31*O53)/SUM($B$28:$B$31)*10,1)</f>
        <v/>
      </c>
      <c r="I53" s="30" t="inlineStr">
        <is>
          <t>Target</t>
        </is>
      </c>
      <c r="J53" s="37" t="inlineStr">
        <is>
          <t>≈ ۱۵ می – ۱۵ ژوئیه ۲۰۲۷ (چک شود)</t>
        </is>
      </c>
      <c r="K53" s="37" t="inlineStr">
        <is>
          <t>AI کنار CISPA/DFKI؛ ارزان‌ترین زندگی؛ شهر کوچک (لوکزامبورگ ۱ ساعت)</t>
        </is>
      </c>
      <c r="L53" s="43" t="n">
        <v>5</v>
      </c>
      <c r="M53" s="43" t="n">
        <v>6</v>
      </c>
      <c r="N53" s="43" t="n">
        <v>4</v>
      </c>
      <c r="O53" s="43" t="n">
        <v>10</v>
      </c>
    </row>
    <row r="54" outlineLevel="1">
      <c r="A54" s="41" t="inlineStr">
        <is>
          <t>12 ⚠️</t>
        </is>
      </c>
      <c r="B54" s="50" t="inlineStr">
        <is>
          <t>Blekinge Institute of Technology (BTH) – Karlskrona</t>
        </is>
      </c>
      <c r="C54" s="37" t="inlineStr">
        <is>
          <t>MSc Software Engineering (120 cr) (۲ سال)</t>
        </is>
      </c>
      <c r="D54" s="38" t="inlineStr">
        <is>
          <t>✅ شهریه $28,300 + تمکن یک‌سال $10,800 = $39,000 ≤ $40,000 ($955 زیر سقف) — $1,080 × ۱۰ ماه در حساب خودتان + قسط اول شهریه پرداخت‌شده</t>
        </is>
      </c>
      <c r="E54" s="44" t="inlineStr">
        <is>
          <t>⚠️ شهریه $28,300 + ۱۱ ماه زندگی ($1,060/ماه) از ۲۴ ماه → از ماه ۱۲ باید کار کنید</t>
        </is>
      </c>
      <c r="F54" s="44" t="inlineStr">
        <is>
          <t>⚠️ ۲۰ ساعت/هفته × $15 (بدون سقف قانونی ساعت و بدون حداقل قانونی؛ ۲۰ ساعت و کف توافق جمعی ≈ $15 فرض) ≈ $1,130 خالص/ماه ≥ زندگی $1,060 → از ماه ۱۲ کسری صفر و $51 از بودجه می‌ماند؛ ⚠️ کار دانشجویی انگلیسی‌زبان در Karlskrona نایاب ($350–900 واقعی)</t>
        </is>
      </c>
      <c r="G54" s="40" t="inlineStr">
        <is>
          <t>3 / 5 / 8 / 6 → 55.0</t>
        </is>
      </c>
      <c r="H54" s="41">
        <f>ROUND(($B$28*L54+$B$29*M54+$B$30*N54+$B$31*O54)/SUM($B$28:$B$31)*10,1)</f>
        <v/>
      </c>
      <c r="I54" s="45" t="inlineStr">
        <is>
          <t>Safe/Target</t>
        </is>
      </c>
      <c r="J54" s="37" t="inlineStr">
        <is>
          <t>۱۵ ژانویه ۲۰۲۷</t>
        </is>
      </c>
      <c r="K54" s="37" t="inlineStr">
        <is>
          <t>پشتوانهٔ ارزانِ ۱۰۰٪ انگلیسی؛ Ericsson در شهر؛ اثبات $10,800 سال اول؛ بازار سوئد ضعیف</t>
        </is>
      </c>
      <c r="L54" s="43" t="n">
        <v>3</v>
      </c>
      <c r="M54" s="43" t="n">
        <v>5</v>
      </c>
      <c r="N54" s="43" t="n">
        <v>8</v>
      </c>
      <c r="O54" s="43" t="n">
        <v>6</v>
      </c>
    </row>
    <row r="55" outlineLevel="1">
      <c r="A55" s="41" t="inlineStr">
        <is>
          <t>13 ⚠️</t>
        </is>
      </c>
      <c r="B55" s="50" t="inlineStr">
        <is>
          <t>Mälardalen University (MDU) – Västerås</t>
        </is>
      </c>
      <c r="C55" s="37" t="inlineStr">
        <is>
          <t>MSc Software Engineering (۲ سال)</t>
        </is>
      </c>
      <c r="D55" s="38" t="inlineStr">
        <is>
          <t>✅ شهریه $27,300 + تمکن یک‌سال $10,800 = $38,000 ≤ $40,000 ($1,960 زیر سقف) — $1,080 × ۱۰ ماه در حساب خودتان + قسط اول شهریه پرداخت‌شده</t>
        </is>
      </c>
      <c r="E55" s="44" t="inlineStr">
        <is>
          <t>⚠️ شهریه $27,300 + ۱۱.۵ ماه زندگی ($1,110/ماه) از ۲۴ ماه → از ماه ۱۲ باید کار کنید</t>
        </is>
      </c>
      <c r="F55" s="44" t="inlineStr">
        <is>
          <t>⚠️ ۲۰ ساعت/هفته × $15 (بدون سقف قانونی ساعت و بدون حداقل قانونی؛ ۲۰ ساعت و کف توافق جمعی ≈ $15 فرض) ≈ $1,130 خالص/ماه ≥ زندگی $1,110 → از ماه ۱۲ کسری صفر و $505 از بودجه می‌ماند؛ ⚠️ کار انگلیسی‌زبان نایاب؛ با بورس MDU ✅</t>
        </is>
      </c>
      <c r="G55" s="40" t="inlineStr">
        <is>
          <t>3 / 5 / 8 / 6 → 55.0</t>
        </is>
      </c>
      <c r="H55" s="41">
        <f>ROUND(($B$28*L55+$B$29*M55+$B$30*N55+$B$31*O55)/SUM($B$28:$B$31)*10,1)</f>
        <v/>
      </c>
      <c r="I55" s="49" t="inlineStr">
        <is>
          <t>Safe</t>
        </is>
      </c>
      <c r="J55" s="37" t="inlineStr">
        <is>
          <t>۱۵ ژانویه ۲۰۲۷</t>
        </is>
      </c>
      <c r="K55" s="37" t="inlineStr">
        <is>
          <t>Västerås (ABB)؛ خوابگاه تضمینی؛ بورس MDU تا ۱۰۰٪ (رقابتی)</t>
        </is>
      </c>
      <c r="L55" s="43" t="n">
        <v>3</v>
      </c>
      <c r="M55" s="43" t="n">
        <v>5</v>
      </c>
      <c r="N55" s="43" t="n">
        <v>8</v>
      </c>
      <c r="O55" s="43" t="n">
        <v>6</v>
      </c>
    </row>
    <row r="56" outlineLevel="1">
      <c r="A56" s="35" t="inlineStr">
        <is>
          <t>14 ✅</t>
        </is>
      </c>
      <c r="B56" s="46" t="inlineStr">
        <is>
          <t>Universität Passau – Passau</t>
        </is>
      </c>
      <c r="C56" s="37" t="inlineStr">
        <is>
          <t>M.Sc. Artificial Intelligence Engineering (۲ سال)</t>
        </is>
      </c>
      <c r="D56" s="38" t="inlineStr">
        <is>
          <t>✅ شهریه $685 + تمکن یک‌سال $13,600 = $14,300 ≤ $40,000 ($25,700 زیر سقف) — حساب مسدود $13,600 = $1,130/ماه (Auswärtiges Amt ۲۰۲۶)</t>
        </is>
      </c>
      <c r="E56" s="39" t="inlineStr">
        <is>
          <t>✅ شهریه $685 + تمام ۲۴ ماه زندگی ($1,140/ماه) — و $12k اضافه می‌ماند</t>
        </is>
      </c>
      <c r="F56" s="39" t="inlineStr">
        <is>
          <t>✅ نیازی به کار نیست؛ اگر کار کنید (۲۰ ساعت/هفته × $16.6 (حداقل قانونی از ژانویه ۲۰۲۷؛ Werkstudent IT معمولاً $19–23) ≈ $1,300 خالص/ماه) همه پس‌انداز می‌شود</t>
        </is>
      </c>
      <c r="G56" s="40" t="inlineStr">
        <is>
          <t>4 / 6 / 3 / 10 → 51.5</t>
        </is>
      </c>
      <c r="H56" s="41">
        <f>ROUND(($B$28*L56+$B$29*M56+$B$30*N56+$B$31*O56)/SUM($B$28:$B$31)*10,1)</f>
        <v/>
      </c>
      <c r="I56" s="49" t="inlineStr">
        <is>
          <t>Safe</t>
        </is>
      </c>
      <c r="J56" s="37" t="inlineStr">
        <is>
          <t>۳۱ می ۲۰۲۷</t>
        </is>
      </c>
      <c r="K56" s="37" t="inlineStr">
        <is>
          <t>Safe آلمان (معدل ۲.۳ ≤ ۲.۷ ✓)؛ شهر کوچک؛ آلمانی A1 اجباری در سال اول؛ مونیخ ۲ ساعت</t>
        </is>
      </c>
      <c r="L56" s="43" t="n">
        <v>4</v>
      </c>
      <c r="M56" s="43" t="n">
        <v>6</v>
      </c>
      <c r="N56" s="43" t="n">
        <v>3</v>
      </c>
      <c r="O56" s="43" t="n">
        <v>10</v>
      </c>
    </row>
    <row r="57" outlineLevel="1" ht="118" customHeight="1">
      <c r="A57" s="2" t="inlineStr">
        <is>
          <t>گام ۱ (پیشنهاد شما): شهریهٔ کل دوره + مبلغ رسمی تمکن مالی سال اول باید در $40,000 جا شود — این همان چیزی است که سفارت/کانتون قبل از ویزا می‌بیند: آلمان حساب مسدود $13,600 · انگلستان ۹ × $1,590 (لندن $2,080) + شهریهٔ سال اول، ۲۸ روز، حساب والدین مجاز · سوئیس $25,400 (Basel 24,000) در بانک به نام خودتان · سوئد $1,080 × ۱۰ · هلند $1,290 × ۱۲ + شهریه · دانمارک با پرداخت شهریه معاف. ⚠️ سه هشدار: تمکن رسمی ≠ هزینهٔ واقعی (آلمان $1,130/ماه، انگلستان ۹ ماه، سوئد ۱۰ ماه)؛ همان پول است که سال اول خرجش می‌کنید، نه پول اضافه؛ و برای دورهٔ دوساله دربارهٔ سال دوم چیزی نمی‌گوید → گام ۲. گام ۲، ستون «شهریه + n ماه زندگی واقعی»: n = (۴۰,۰۰۰ − شهریهٔ کل دوره) ÷ میانهٔ زندگی ماهانهٔ همان شهر (شیت «برنامه‌ها»)؛ یعنی شهریهٔ تمام دوره را می‌دهید و n ماه اول را بدون کار زندگی می‌کنید. ستون «کار در حداکثر ساعت مجاز»: از ماه n+۱، درآمد خالص با حداکثر ساعت قانونی × کف دستمزد (آلمان ۲۰ ساعت × $16.6 حداقل قانونی ۲۰۲۷ · انگلستان ۲۰ ساعت × $16.8 · سوئیس ۱۵ ساعت × کف کانتونی، قانوناً از ماه ۷ · سوئد بدون سقف، ۲۰ ساعت × $15 · هلند ۱۶ ساعت × $16.8 · دانمارک ۲۰ ساعت × $21) در برابر هزینهٔ زندگی همان شهر → کسری ماهانه × ماه‌های باقی − باقی‌ماندهٔ بودجه = کسری کل تا پایان دوره. حکم هر گام: ✅ = جا می‌شود (گام ۲: بدون کسری یا زیر $1,000 با دست‌کم ۶ ماه پوشش) · ⚠️ = گام ۱ تا $3,000 کسری که خانواده می‌تواند ۲۸ روز نشان دهد (فقط انگلستان) / گام ۲ کسری‌ای که کار تمام‌وقت در تعطیلات ترم می‌بندد، حاشیهٔ کمتر از ۶ ماه، یا کار به انگلیسی نایاب · ❌ = بیشتر از این. حکم نهایی کنار رتبه = بدترینِ دو گام. زیرامتیازها (از ۱۰): «کار» = بازار جونیورِ فقط‌انگلیسی + اقامت کاریابی + کار دانشجویی به‌عنوان راه استخدام؛ «حقوق» = حقوق شروع همان کشور/منطقه؛ «انگلیسی» = تحصیل + زندگی روزمرهٔ همان شهر؛ «بودجه» = ۱۰ بدون نیاز به کار با اضافه … ۸ کسری ماهانه کم … ۶ کسری کل چند هزار دلار … ۵ پرریسک. ستون «امتیاز (فرمول)» از وزن‌های سبز بخش ب می‌خواند. «کل تا مدرک» = شهریه + زندگی × ماه‌ها بدون هیچ کاری.</t>
        </is>
      </c>
    </row>
    <row r="58"/>
    <row r="59">
      <c r="A59" s="14" t="inlineStr">
        <is>
          <t>پ-۲) برای مقایسه: برنامه‌هایی که گام ۱ را رد نمی‌کنند (شهریه + تمکن یک‌سال › $40,000) یا در گام ۲ می‌مانند</t>
        </is>
      </c>
    </row>
    <row r="60" outlineLevel="1">
      <c r="A60" s="15" t="inlineStr">
        <is>
          <t>حکم</t>
        </is>
      </c>
      <c r="B60" s="15" t="inlineStr">
        <is>
          <t>دانشگاه – شهر</t>
        </is>
      </c>
      <c r="C60" s="15" t="inlineStr">
        <is>
          <t>برنامه (طول)</t>
        </is>
      </c>
      <c r="D60" s="15" t="inlineStr">
        <is>
          <t>گام ۱ — شهریهٔ کل + تمکن یک‌سال ≤ $40,000؟</t>
        </is>
      </c>
      <c r="E60" s="15" t="inlineStr">
        <is>
          <t>گام ۲ — شهریه + n ماه زندگی واقعی</t>
        </is>
      </c>
      <c r="F60" s="15" t="inlineStr">
        <is>
          <t>گام ۲ — کار در حداکثر ساعت مجاز → چرا باز هم نه</t>
        </is>
      </c>
      <c r="G60" s="15" t="inlineStr">
        <is>
          <t>چه چیزی می‌توانست ببندد؟</t>
        </is>
      </c>
      <c r="H60" s="15" t="inlineStr"/>
      <c r="I60" s="15" t="inlineStr">
        <is>
          <t>شانس</t>
        </is>
      </c>
      <c r="J60" s="15" t="inlineStr"/>
      <c r="K60" s="15" t="inlineStr">
        <is>
          <t>چرا جذاب بود</t>
        </is>
      </c>
    </row>
    <row r="61" outlineLevel="1">
      <c r="A61" s="51" t="inlineStr">
        <is>
          <t>❌</t>
        </is>
      </c>
      <c r="B61" s="52" t="inlineStr">
        <is>
          <t>USI – Università della Svizzera italiana – Lugano</t>
        </is>
      </c>
      <c r="C61" s="53" t="inlineStr">
        <is>
          <t>MSc Artificial Intelligence (با IDSIA) (۲ سال)</t>
        </is>
      </c>
      <c r="D61" s="54" t="inlineStr">
        <is>
          <t>❌ شهریه $19,400 + تمکن یک‌سال $25,400 = $44,800 → $4,770 بیشتر از $40,000 — $25,400 در بانک به نام خودتان (زوریخ فقط بانک سوئیسی)</t>
        </is>
      </c>
      <c r="E61" s="44" t="inlineStr">
        <is>
          <t>⚠️ شهریه $19,400 + ۱۰.۷ ماه زندگی ($1,940/ماه) از ۲۴ ماه → از ماه ۱۱ باید کار کنید</t>
        </is>
      </c>
      <c r="F61" s="44" t="inlineStr">
        <is>
          <t>⚠️ ۱۵ ساعت/هفته × $24.5 (کف قانونی Ticino ۲۰۲۶) ≈ $1,450 خالص/ماه در برابر زندگی $1,940 → کسری $490/ماه × ۱۴ ماه = $6,830؛ باقی‌ماندهٔ بودجه $1,280 → کسری کل ≈ $5,550؛ قانوناً: ۱۰۰٪ در تعطیلات ترم (≈ ۱۳ هفته → تا ≈ +$7,000–8,500 در سال) — فقط بعد از ماه ۶؛ ⚠️ بازار لوگانو کوچک و ایتالیایی‌زبان</t>
        </is>
      </c>
      <c r="G61" s="53" t="inlineStr">
        <is>
          <t>بورس Fondazione $4,840 → باز هم ≈ $800 بالای سقف</t>
        </is>
      </c>
      <c r="H61" s="53" t="inlineStr"/>
      <c r="I61" s="55" t="inlineStr">
        <is>
          <t>Target</t>
        </is>
      </c>
      <c r="J61" s="53" t="inlineStr"/>
      <c r="K61" s="53" t="inlineStr">
        <is>
          <t>AI با IDSIA؛ ورود با B2؛ حقوق سوئیس</t>
        </is>
      </c>
    </row>
    <row r="62" outlineLevel="1">
      <c r="A62" s="51" t="inlineStr">
        <is>
          <t>❌</t>
        </is>
      </c>
      <c r="B62" s="56" t="inlineStr">
        <is>
          <t>University of Leicester – Leicester</t>
        </is>
      </c>
      <c r="C62" s="53" t="inlineStr">
        <is>
          <t>MSc Advanced Computer Science (۱ سال)</t>
        </is>
      </c>
      <c r="D62" s="54" t="inlineStr">
        <is>
          <t>❌ شهریه $32,100 + تمکن یک‌سال $14,300 = $46,500 → $6,480 بیشتر از $40,000 — ۹ × $1,590 خارج لندن + شهریهٔ سال اول (CAS)؛ ۲۸ روز در حساب؛ حساب والدین با رضایت‌نامه مجاز</t>
        </is>
      </c>
      <c r="E62" s="44" t="inlineStr">
        <is>
          <t>⚠️ شهریه $32,100 + ۵.۲ ماه زندگی ($1,520/ماه) از ۱۲ ماه → از ماه ۶ باید کار کنید</t>
        </is>
      </c>
      <c r="F62" s="44" t="inlineStr">
        <is>
          <t>⚠️ ۲۰ ساعت/هفته × $16.8 (National Living Wage از آوریل ۲۰۲۶) ≈ $1,440 خالص/ماه در برابر زندگی $1,520 → کسری $86/ماه × ۷ ماه = $600؛ باقی‌ماندهٔ بودجه $250 → کسری کل ≈ $350؛ قانوناً: تمام‌وقت در تعطیلات کریسمس/ایستر (≈ ۶ هفته → تا ≈ +$2,000)؛ تابستانِ پایان‌نامه ترم حساب می‌شود؛ ⚠️ فقط ۵.۲ ماه حاشیه</t>
        </is>
      </c>
      <c r="G62" s="53" t="inlineStr">
        <is>
          <t>هیچ (بورس Iran ندارد)</t>
        </is>
      </c>
      <c r="H62" s="53" t="inlineStr"/>
      <c r="I62" s="55" t="inlineStr">
        <is>
          <t>Target</t>
        </is>
      </c>
      <c r="J62" s="53" t="inlineStr"/>
      <c r="K62" s="53" t="inlineStr">
        <is>
          <t>رتبهٔ بهتر از Teesside/Northumbria</t>
        </is>
      </c>
    </row>
    <row r="63" outlineLevel="1">
      <c r="A63" s="51" t="inlineStr">
        <is>
          <t>❌</t>
        </is>
      </c>
      <c r="B63" s="57" t="inlineStr">
        <is>
          <t>Linköping University (LiU) – Linköping</t>
        </is>
      </c>
      <c r="C63" s="53" t="inlineStr">
        <is>
          <t>MSc Computer Science (۲ سال)</t>
        </is>
      </c>
      <c r="D63" s="54" t="inlineStr">
        <is>
          <t>❌ شهریه $33,500 + تمکن یک‌سال $10,800 = $44,300 → $4,300 بیشتر از $40,000 — $1,080 × ۱۰ ماه در حساب خودتان + قسط اول شهریه پرداخت‌شده</t>
        </is>
      </c>
      <c r="E63" s="44" t="inlineStr">
        <is>
          <t>⚠️ شهریه $33,500 + ۵.۶ ماه زندگی ($1,160/ماه) از ۲۴ ماه → از ماه ۶ باید کار کنید</t>
        </is>
      </c>
      <c r="F63" s="44" t="inlineStr">
        <is>
          <t>⚠️ ۲۰ ساعت/هفته × $15 (بدون سقف قانونی ساعت و بدون حداقل قانونی؛ ۲۰ ساعت و کف توافق جمعی ≈ $15 فرض) ≈ $1,130 خالص/ماه در برابر زندگی $1,160 → کسری $33/ماه × ۱۹ ماه = $630؛ باقی‌ماندهٔ بودجه $655 → بدون کسری (≈ $26 اضافه)؛ ⚠️ کار بدون سوئدی نایاب</t>
        </is>
      </c>
      <c r="G63" s="53" t="inlineStr">
        <is>
          <t>بورس ۵۰٪ LiU (معدل ۳.۵/۴؛ Reach) → گام ۱ ✅ و ۲۰ ماه پوشش</t>
        </is>
      </c>
      <c r="H63" s="53" t="inlineStr"/>
      <c r="I63" s="55" t="inlineStr">
        <is>
          <t>Target</t>
        </is>
      </c>
      <c r="J63" s="53" t="inlineStr"/>
      <c r="K63" s="53" t="inlineStr">
        <is>
          <t>خوابگاه تضمینی؛ Saab/Ericsson</t>
        </is>
      </c>
    </row>
    <row r="64" outlineLevel="1">
      <c r="A64" s="51" t="inlineStr">
        <is>
          <t>❌</t>
        </is>
      </c>
      <c r="B64" s="58" t="inlineStr">
        <is>
          <t>University of Twente (UT) – Enschede</t>
        </is>
      </c>
      <c r="C64" s="53" t="inlineStr">
        <is>
          <t>MSc Computer Science (گرایش‌ها: Cyber Security، Data Science، Software Tech، ...) (۲ سال)</t>
        </is>
      </c>
      <c r="D64" s="54" t="inlineStr">
        <is>
          <t>❌ شهریه $49,500 + تمکن یک‌سال $15,500 = $64,900 → $24,900 بیشتر از $40,000 — $1,290 × ۱۲ (IND ۲۰۲۶) منتقل به دانشگاه + شهریهٔ سال اول پرداخت‌شده</t>
        </is>
      </c>
      <c r="E64" s="54" t="inlineStr">
        <is>
          <t>❌ شهریه $49,500 به‌تنهایی $9.5k بیشتر از $40,000 است → صفر ماه زندگی</t>
        </is>
      </c>
      <c r="F64" s="54" t="inlineStr">
        <is>
          <t>❌ کار جبران نمی‌کند — کسری قبل از اولین ماه زندگی شروع می‌شود (۱۶ ساعت/هفته × $16.8 (حداقل قانونی ۲۰۲۶؛ ۱۶ ساعت فقط با مجوز TWV کارفرما) ≈ $1,090 خالص/ماه)</t>
        </is>
      </c>
      <c r="G64" s="53" t="inlineStr">
        <is>
          <t>فقط بورس UTS (تا ≈ $25k/سال؛ Reach)</t>
        </is>
      </c>
      <c r="H64" s="53" t="inlineStr"/>
      <c r="I64" s="55" t="inlineStr">
        <is>
          <t>Target</t>
        </is>
      </c>
      <c r="J64" s="53" t="inlineStr"/>
      <c r="K64" s="53" t="inlineStr">
        <is>
          <t>انگلیسی‌دوست‌ترین بازار کار؛ ۱۲ ماه zoekjaar</t>
        </is>
      </c>
    </row>
    <row r="65" outlineLevel="1">
      <c r="A65" s="51" t="inlineStr">
        <is>
          <t>❌</t>
        </is>
      </c>
      <c r="B65" s="58" t="inlineStr">
        <is>
          <t>Radboud University – Nijmegen</t>
        </is>
      </c>
      <c r="C65" s="53" t="inlineStr">
        <is>
          <t>MSc Computing Science (گرایش‌ها: Cyber Security، Data Science، Software Science) (۲ سال)</t>
        </is>
      </c>
      <c r="D65" s="54" t="inlineStr">
        <is>
          <t>❌ شهریه $44,900 + تمکن یک‌سال $15,500 = $60,400 → $20,400 بیشتر از $40,000 — $1,290 × ۱۲ (IND ۲۰۲۶) منتقل به دانشگاه + شهریهٔ سال اول پرداخت‌شده</t>
        </is>
      </c>
      <c r="E65" s="54" t="inlineStr">
        <is>
          <t>❌ شهریه $44,900 به‌تنهایی $4.9k بیشتر از $40,000 است → صفر ماه زندگی</t>
        </is>
      </c>
      <c r="F65" s="54" t="inlineStr">
        <is>
          <t>❌ کار جبران نمی‌کند — کسری قبل از اولین ماه زندگی شروع می‌شود (۱۶ ساعت/هفته × $16.8 (حداقل قانونی ۲۰۲۶؛ ۱۶ ساعت فقط با مجوز TWV کارفرما) ≈ $1,090 خالص/ماه)</t>
        </is>
      </c>
      <c r="G65" s="53" t="inlineStr">
        <is>
          <t>فقط Radboud Scholarship (Reach)</t>
        </is>
      </c>
      <c r="H65" s="53" t="inlineStr"/>
      <c r="I65" s="55" t="inlineStr">
        <is>
          <t>Target</t>
        </is>
      </c>
      <c r="J65" s="53" t="inlineStr"/>
      <c r="K65" s="53" t="inlineStr">
        <is>
          <t>ارزان‌ترِ هلند</t>
        </is>
      </c>
    </row>
    <row r="66" outlineLevel="1">
      <c r="A66" s="51" t="inlineStr">
        <is>
          <t>❌</t>
        </is>
      </c>
      <c r="B66" s="58" t="inlineStr">
        <is>
          <t>University of Amsterdam (UvA) – Amsterdam</t>
        </is>
      </c>
      <c r="C66" s="53" t="inlineStr">
        <is>
          <t>MSc Software Engineering (۱ ساله!) (۱ سال)</t>
        </is>
      </c>
      <c r="D66" s="54" t="inlineStr">
        <is>
          <t>❌ شهریه $39,100 + تمکن یک‌سال $15,500 = $54,600 → $14,600 بیشتر از $40,000 — $1,290 × ۱۲ (IND ۲۰۲۶) منتقل به دانشگاه + شهریهٔ سال اول پرداخت‌شده</t>
        </is>
      </c>
      <c r="E66" s="54" t="inlineStr">
        <is>
          <t>❌ شهریه $39,100 + ۰.۵ ماه زندگی ($1,710/ماه) از ۱۲ ماه → از ماه ۱ باید کار کنید</t>
        </is>
      </c>
      <c r="F66" s="54" t="inlineStr">
        <is>
          <t>❌ ۱۶ ساعت/هفته × $16.8 (حداقل قانونی ۲۰۲۶؛ ۱۶ ساعت فقط با مجوز TWV کارفرما) ≈ $1,090 خالص/ماه در برابر زندگی $1,710 → کسری $620/ماه × ۱۲ ماه = $7,420؛ باقی‌ماندهٔ بودجه $900 → کسری کل ≈ $6,520؛ قانوناً: یا تمام‌وقت فقط ژوئن–اوت به جای ۱۶ ساعت؛ ⚠️ ۱۶ ساعت فقط با مجوز TWV کارفرما</t>
        </is>
      </c>
      <c r="G66" s="53" t="inlineStr">
        <is>
          <t>هیچ</t>
        </is>
      </c>
      <c r="H66" s="53" t="inlineStr"/>
      <c r="I66" s="55" t="inlineStr">
        <is>
          <t>Target/Reach</t>
        </is>
      </c>
      <c r="J66" s="53" t="inlineStr"/>
      <c r="K66" s="53" t="inlineStr">
        <is>
          <t>۱ ساله در بهترین بازار انگلیسی‌زبان</t>
        </is>
      </c>
    </row>
    <row r="67" outlineLevel="1">
      <c r="A67" s="51" t="inlineStr">
        <is>
          <t>❌</t>
        </is>
      </c>
      <c r="B67" s="59" t="inlineStr">
        <is>
          <t>Aalborg University (AAU) – Aalborg</t>
        </is>
      </c>
      <c r="C67" s="53" t="inlineStr">
        <is>
          <t>MSc Computer Science (IT) (۲ سال)</t>
        </is>
      </c>
      <c r="D67" s="60" t="inlineStr">
        <is>
          <t>✅ شهریه $35,000 + تمکن $0 (با پرداخت شهریه از اثبات تمکن معاف‌اید؛ وگرنه $1,130 × ۱۲ — SIRI ۲۰۲۶) = $35,000 ≤ $40,000 — ولی پول واقعی زندگی را ستون بعد نشان می‌دهد</t>
        </is>
      </c>
      <c r="E67" s="54" t="inlineStr">
        <is>
          <t>❌ شهریه $35,000 + ۳.۸ ماه زندگی ($1,340/ماه) از ۲۴ ماه → از ماه ۴ باید کار کنید</t>
        </is>
      </c>
      <c r="F67" s="54" t="inlineStr">
        <is>
          <t>❌ ۲۰ ساعت/هفته × $21 (بدون حداقل قانونی؛ نرخ معمول دانشجویی $20–24) ≈ $1,330 خالص/ماه در برابر زندگی $1,340 → کسری $3/ماه × ۲۱ ماه = $66؛ باقی‌ماندهٔ بودجه $1,020 → بدون کسری (≈ $950 اضافه)؛ ⚠️ کار ۲۰ ساعت از ماه ۴ بدون دانمارکی غیرواقعی + ویزا از تهران ممکن نیست</t>
        </is>
      </c>
      <c r="G67" s="53" t="inlineStr">
        <is>
          <t>≈ ۱۵ بورس AAU (بعید)</t>
        </is>
      </c>
      <c r="H67" s="53" t="inlineStr"/>
      <c r="I67" s="55" t="inlineStr">
        <is>
          <t>Target</t>
        </is>
      </c>
      <c r="J67" s="53" t="inlineStr"/>
      <c r="K67" s="53" t="inlineStr">
        <is>
          <t>۳ سال اقامت کاریابی؛ حقوق بالا</t>
        </is>
      </c>
    </row>
    <row r="68" outlineLevel="1">
      <c r="A68" s="51" t="inlineStr">
        <is>
          <t>❌</t>
        </is>
      </c>
      <c r="B68" s="59" t="inlineStr">
        <is>
          <t>University of Southern Denmark (SDU) – Odense</t>
        </is>
      </c>
      <c r="C68" s="53" t="inlineStr">
        <is>
          <t>MSc Computer Science (۲ سال)</t>
        </is>
      </c>
      <c r="D68" s="60" t="inlineStr">
        <is>
          <t>✅ شهریه $39,400 + تمکن $0 (با پرداخت شهریه از اثبات تمکن معاف‌اید؛ وگرنه $1,130 × ۱۲ — SIRI ۲۰۲۶) = $39,400 ≤ $40,000 — ولی پول واقعی زندگی را ستون بعد نشان می‌دهد</t>
        </is>
      </c>
      <c r="E68" s="54" t="inlineStr">
        <is>
          <t>❌ شهریه $39,400 + ۰.۴ ماه زندگی ($1,370/ماه) از ۲۴ ماه → از ماه ۱ باید کار کنید</t>
        </is>
      </c>
      <c r="F68" s="54" t="inlineStr">
        <is>
          <t>❌ ۲۰ ساعت/هفته × $21 (بدون حداقل قانونی؛ نرخ معمول دانشجویی $20–24) ≈ $1,330 خالص/ماه در برابر زندگی $1,370 → کسری $41/ماه × ۲۴ ماه = $990؛ باقی‌ماندهٔ بودجه $555 → کسری کل ≈ $435؛ قانوناً: تمام‌وقت ژوئن–اوت (تا ≈ +$3,400 در سال)؛ ⚠️ کار از ماه ۱ بدون دانمارکی + ویزا از تهران</t>
        </is>
      </c>
      <c r="G68" s="53" t="inlineStr">
        <is>
          <t>هیچ</t>
        </is>
      </c>
      <c r="H68" s="53" t="inlineStr"/>
      <c r="I68" s="55" t="inlineStr">
        <is>
          <t>Target</t>
        </is>
      </c>
      <c r="J68" s="53" t="inlineStr"/>
      <c r="K68" s="53" t="inlineStr">
        <is>
          <t>—</t>
        </is>
      </c>
    </row>
    <row r="69" outlineLevel="1">
      <c r="A69" s="51" t="inlineStr">
        <is>
          <t>❌</t>
        </is>
      </c>
      <c r="B69" s="56" t="inlineStr">
        <is>
          <t>Durham University (Russell Group) – Durham</t>
        </is>
      </c>
      <c r="C69" s="53" t="inlineStr">
        <is>
          <t>MSc Advanced Computer Science (و MSc Data Science) (۱ سال)</t>
        </is>
      </c>
      <c r="D69" s="54" t="inlineStr">
        <is>
          <t>❌ شهریه $45,700 + تمکن یک‌سال $14,300 = $60,100 → $20,100 بیشتر از $40,000 — ۹ × $1,590 خارج لندن + شهریهٔ سال اول (CAS)؛ ۲۸ روز در حساب؛ حساب والدین با رضایت‌نامه مجاز</t>
        </is>
      </c>
      <c r="E69" s="54" t="inlineStr">
        <is>
          <t>❌ شهریه $45,700 به‌تنهایی $5.7k بیشتر از $40,000 است → صفر ماه زندگی</t>
        </is>
      </c>
      <c r="F69" s="54" t="inlineStr">
        <is>
          <t>❌ کار جبران نمی‌کند — کسری قبل از اولین ماه زندگی شروع می‌شود (۲۰ ساعت/هفته × $16.8 (National Living Wage از آوریل ۲۰۲۶) ≈ $1,440 خالص/ماه)</t>
        </is>
      </c>
      <c r="G69" s="53" t="inlineStr">
        <is>
          <t>هیچ بورس قابل اتکایی برای ایران</t>
        </is>
      </c>
      <c r="H69" s="53" t="inlineStr"/>
      <c r="I69" s="55" t="inlineStr">
        <is>
          <t>Target</t>
        </is>
      </c>
      <c r="J69" s="53" t="inlineStr"/>
      <c r="K69" s="53" t="inlineStr">
        <is>
          <t>برند Russell Group</t>
        </is>
      </c>
    </row>
    <row r="70" outlineLevel="1">
      <c r="A70" s="51" t="inlineStr">
        <is>
          <t>❌</t>
        </is>
      </c>
      <c r="B70" s="56" t="inlineStr">
        <is>
          <t>Brunel University London – London – Uxbridge</t>
        </is>
      </c>
      <c r="C70" s="53" t="inlineStr">
        <is>
          <t>MSc Artificial Intelligence (۱ سال)</t>
        </is>
      </c>
      <c r="D70" s="54" t="inlineStr">
        <is>
          <t>❌ شهریه $32,900 + تمکن یک‌سال $18,700 = $51,600 → $11,600 بیشتر از $40,000 — لندن: ۹ × $2,080 + شهریه</t>
        </is>
      </c>
      <c r="E70" s="54" t="inlineStr">
        <is>
          <t>❌ شهریه $32,900 + ۳.۴ ماه زندگی ($2,120/ماه) از ۱۲ ماه → از ماه ۴ باید کار کنید</t>
        </is>
      </c>
      <c r="F70" s="54" t="inlineStr">
        <is>
          <t>❌ ۲۰ ساعت/هفته × $16.8 (National Living Wage از آوریل ۲۰۲۶) ≈ $1,440 خالص/ماه در برابر زندگی $2,120 → کسری $680/ماه × ۹ ماه = $6,140؛ باقی‌ماندهٔ بودجه $785 → کسری کل ≈ $5,350؛ قانوناً: تمام‌وقت در تعطیلات کریسمس/ایستر (≈ ۶ هفته → تا ≈ +$2,000)؛ تابستانِ پایان‌نامه ترم حساب می‌شود؛ ⚠️ لندن: زندگی $2,120/ماه</t>
        </is>
      </c>
      <c r="G70" s="53" t="inlineStr">
        <is>
          <t>هیچ</t>
        </is>
      </c>
      <c r="H70" s="53" t="inlineStr"/>
      <c r="I70" s="61" t="inlineStr">
        <is>
          <t>Safe/Target</t>
        </is>
      </c>
      <c r="J70" s="53" t="inlineStr"/>
      <c r="K70" s="53" t="inlineStr">
        <is>
          <t>لندن</t>
        </is>
      </c>
    </row>
    <row r="71" outlineLevel="1">
      <c r="A71" s="55" t="inlineStr">
        <is>
          <t>⚠️</t>
        </is>
      </c>
      <c r="B71" s="52" t="inlineStr">
        <is>
          <t>University of Zurich (UZH) – Zürich</t>
        </is>
      </c>
      <c r="C71" s="53" t="inlineStr">
        <is>
          <t>MSc Informatics (گرایش‌ها: Software Systems، Data Science، People-Oriented Computing…) (۱.۵–۲ سال)</t>
        </is>
      </c>
      <c r="D71" s="60" t="inlineStr">
        <is>
          <t>✅ شهریه $3,190 + تمکن یک‌سال $25,400 = $28,600 ≤ $40,000 ($11,400 زیر سقف) — $25,400 در بانک به نام خودتان (زوریخ فقط بانک سوئیسی)</t>
        </is>
      </c>
      <c r="E71" s="44" t="inlineStr">
        <is>
          <t>⚠️ شهریه $3,190 + ۱۳.۸ ماه زندگی ($2,660/ماه) از ۱۸ ماه → از ماه ۱۴ باید کار کنید</t>
        </is>
      </c>
      <c r="F71" s="44" t="inlineStr">
        <is>
          <t>⚠️ ۱۵ ساعت/هفته × $28.9 (کف شهر زوریخ — تأیید دیوان فدرال ژوئن ۲۰۲۶) ≈ $1,710 خالص/ماه در برابر زندگی $2,660 → کسری $955/ماه × ۵ ماه = $4,760؛ باقی‌ماندهٔ بودجه $2,200 → کسری کل ≈ $2,560؛ قانوناً: ۱۰۰٪ در تعطیلات ترم (≈ ۱۳ هفته → تا ≈ +$7,000–8,500 در سال) — فقط بعد از ماه ۶؛ ⚠️ Reach برای معدل ۱۵.۷۷؛ زوریخ فقط بانک سوئیسی به نام خودتان</t>
        </is>
      </c>
      <c r="G71" s="53" t="inlineStr">
        <is>
          <t>بورس UZH (Reach)</t>
        </is>
      </c>
      <c r="H71" s="53" t="inlineStr"/>
      <c r="I71" s="51" t="inlineStr">
        <is>
          <t>Reach</t>
        </is>
      </c>
      <c r="J71" s="53" t="inlineStr"/>
      <c r="K71" s="53" t="inlineStr">
        <is>
          <t>زوریخ = بزرگ‌ترین بازار IT سوئیس</t>
        </is>
      </c>
    </row>
    <row r="72" outlineLevel="1">
      <c r="A72" s="51" t="inlineStr">
        <is>
          <t>❌</t>
        </is>
      </c>
      <c r="B72" s="52" t="inlineStr">
        <is>
          <t>ETH Zürich – Zürich</t>
        </is>
      </c>
      <c r="C72" s="53" t="inlineStr">
        <is>
          <t>MSc Computer Science (۲ سال)</t>
        </is>
      </c>
      <c r="D72" s="60" t="inlineStr">
        <is>
          <t>✅ شهریه $11,000 + تمکن یک‌سال $25,400 = $36,400 ≤ $40,000 ($3,630 زیر سقف) — $25,400 در بانک به نام خودتان (زوریخ فقط بانک سوئیسی)</t>
        </is>
      </c>
      <c r="E72" s="54" t="inlineStr">
        <is>
          <t>❌ شهریه $11,000 + ۱۰.۹ ماه زندگی ($2,660/ماه) از ۲۴ ماه → از ماه ۱۱ باید کار کنید</t>
        </is>
      </c>
      <c r="F72" s="54" t="inlineStr">
        <is>
          <t>❌ ۱۵ ساعت/هفته × $28.9 (کف شهر زوریخ — تأیید دیوان فدرال ژوئن ۲۰۲۶) ≈ $1,710 خالص/ماه در برابر زندگی $2,660 → کسری $955/ماه × ۱۴ ماه = $13k؛ باقی‌ماندهٔ بودجه $2,420 → کسری کل ≈ $11k؛ قانوناً: ۱۰۰٪ در تعطیلات ترم (≈ ۱۳ هفته → تا ≈ +$7,000–8,500 در سال) — فقط بعد از ماه ۶؛ ⚠️ کنار درس ETH، ۱۵ ساعت + تعطیلات غیرواقعی؛ Reach</t>
        </is>
      </c>
      <c r="G72" s="53" t="inlineStr">
        <is>
          <t>ESOP (بسیار Reach)</t>
        </is>
      </c>
      <c r="H72" s="53" t="inlineStr"/>
      <c r="I72" s="51" t="inlineStr">
        <is>
          <t>Reach</t>
        </is>
      </c>
      <c r="J72" s="53" t="inlineStr"/>
      <c r="K72" s="53" t="inlineStr">
        <is>
          <t>رتبهٔ ۸ جهان</t>
        </is>
      </c>
    </row>
    <row r="73"/>
    <row r="74">
      <c r="A74" s="14" t="inlineStr">
        <is>
          <t>پ-۳) استقلال مالی — فقط هزینهٔ زندگی (بدون شهریه): از چه ماهی، با چند ساعت کار در هفته و چه دستمزدی، هزینهٔ خودتان را می‌دهید و دست به تمکن/خانواده نمی‌زنید؟</t>
        </is>
      </c>
    </row>
    <row r="75" outlineLevel="1">
      <c r="A75" s="15" t="inlineStr">
        <is>
          <t>حکم</t>
        </is>
      </c>
      <c r="B75" s="15" t="inlineStr">
        <is>
          <t>دانشگاه – شهر</t>
        </is>
      </c>
      <c r="C75" s="15" t="inlineStr">
        <is>
          <t>زندگی واقعی/ماه</t>
        </is>
      </c>
      <c r="D75" s="15" t="inlineStr">
        <is>
          <t>سقف قانونی کار / از چه ماهی مجاز</t>
        </is>
      </c>
      <c r="E75" s="15" t="inlineStr">
        <is>
          <t>دستمزد خالص هر ساعت: کف قانونی/معمول → IT معمول</t>
        </is>
      </c>
      <c r="F75" s="15" t="inlineStr">
        <is>
          <t>ساعت لازم در هفته با کف</t>
        </is>
      </c>
      <c r="G75" s="15" t="inlineStr">
        <is>
          <t>ساعت لازم در هفته با نرخ IT</t>
        </is>
      </c>
      <c r="H75" s="15" t="inlineStr">
        <is>
          <t>درآمد در سقف قانونی با کف (درصد زندگی)</t>
        </is>
      </c>
      <c r="I75" s="15" t="inlineStr">
        <is>
          <t>میانگین سالانه اگر تعطیلات ترم را تمام‌وقت کار کنید</t>
        </is>
      </c>
      <c r="J75" s="15" t="inlineStr">
        <is>
          <t>مستقل از ماه؟ (قانونی → واقع‌بینانه)</t>
        </is>
      </c>
      <c r="K75" s="15" t="inlineStr">
        <is>
          <t>چطور / نکته</t>
        </is>
      </c>
    </row>
    <row r="76" outlineLevel="1">
      <c r="A76" s="41" t="inlineStr">
        <is>
          <t>⚠️</t>
        </is>
      </c>
      <c r="B76" s="36" t="inlineStr">
        <is>
          <t>University of Basel – Basel</t>
        </is>
      </c>
      <c r="C76" s="62" t="inlineStr">
        <is>
          <t>$2,240</t>
        </is>
      </c>
      <c r="D76" s="37" t="inlineStr">
        <is>
          <t>۱۵ ساعت/هفته — از ماه ۷</t>
        </is>
      </c>
      <c r="E76" s="37" t="inlineStr">
        <is>
          <t>$26.9 → ≈ $24/ساعت (کف قانونی Basel-Stadt ۲۰۲۶)؛ IT: $34 → ≈ $31/ساعت (IT Werkstudent $30–42)</t>
        </is>
      </c>
      <c r="F76" s="40" t="inlineStr">
        <is>
          <t>۲۱.۱ ساعت ✗ (سقف ۱۵)</t>
        </is>
      </c>
      <c r="G76" s="40" t="inlineStr">
        <is>
          <t>۱۶.۸ ساعت ✗ (سقف ۱۵)</t>
        </is>
      </c>
      <c r="H76" s="37" t="inlineStr">
        <is>
          <t>$1,590 = ۷۱٪</t>
        </is>
      </c>
      <c r="I76" s="37" t="inlineStr">
        <is>
          <t>۲۱.۸ ساعت/هفته میانگین → $2,300 = ۱۰۳٪</t>
        </is>
      </c>
      <c r="J76" s="48" t="inlineStr">
        <is>
          <t>⚠️ در ترم نه (سقف ۱۵ ساعت = ۷۱٪ زندگی)؛ فقط به‌طور میانگین سالانه اگر تعطیلات ترم را تمام‌وقت کار کنید و پس‌انداز کنید؛ از ماه ۸</t>
        </is>
      </c>
      <c r="K76" s="37" t="inlineStr">
        <is>
          <t>کارفرما باید مجوز بگیرد؛ از ماه ۴–۵ برای ماه ۷ درخواست بدهید</t>
        </is>
      </c>
    </row>
    <row r="77" outlineLevel="1">
      <c r="A77" s="41" t="inlineStr">
        <is>
          <t>⚠️</t>
        </is>
      </c>
      <c r="B77" s="36" t="inlineStr">
        <is>
          <t>Hochschule Luzern (HSLU) – Lucerne / Luzern</t>
        </is>
      </c>
      <c r="C77" s="62" t="inlineStr">
        <is>
          <t>$2,120</t>
        </is>
      </c>
      <c r="D77" s="37" t="inlineStr">
        <is>
          <t>۱۵ ساعت/هفته — از ماه ۷</t>
        </is>
      </c>
      <c r="E77" s="37" t="inlineStr">
        <is>
          <t>$27 → ≈ $24/ساعت (کف قانونی شهر لوسرن از ژانویه ۲۰۲۶)؛ IT: $34 → ≈ $31/ساعت (IT Werkstudent $30–42)</t>
        </is>
      </c>
      <c r="F77" s="40" t="inlineStr">
        <is>
          <t>۲۰.۲ ساعت ✗ (سقف ۱۵)</t>
        </is>
      </c>
      <c r="G77" s="40" t="inlineStr">
        <is>
          <t>۱۵.۹ ساعت ✗ (سقف ۱۵)</t>
        </is>
      </c>
      <c r="H77" s="37" t="inlineStr">
        <is>
          <t>$1,570 = ۷۴٪</t>
        </is>
      </c>
      <c r="I77" s="37" t="inlineStr">
        <is>
          <t>۲۱.۸ ساعت/هفته میانگین → $2,280 = ۱۰۸٪</t>
        </is>
      </c>
      <c r="J77" s="48" t="inlineStr">
        <is>
          <t>⚠️ در ترم نه (سقف ۱۵ ساعت = ۷۴٪ زندگی)؛ فقط به‌طور میانگین سالانه اگر تعطیلات ترم را تمام‌وقت کار کنید و پس‌انداز کنید؛ از ماه ۸</t>
        </is>
      </c>
      <c r="K77" s="37" t="inlineStr">
        <is>
          <t>کارفرما باید مجوز بگیرد؛ از ماه ۴–۵ برای ماه ۷ درخواست بدهید</t>
        </is>
      </c>
    </row>
    <row r="78" outlineLevel="1">
      <c r="A78" s="41" t="inlineStr">
        <is>
          <t>⚠️</t>
        </is>
      </c>
      <c r="B78" s="36" t="inlineStr">
        <is>
          <t>University of Neuchâtel – Neuchâtel</t>
        </is>
      </c>
      <c r="C78" s="62" t="inlineStr">
        <is>
          <t>$1,880</t>
        </is>
      </c>
      <c r="D78" s="37" t="inlineStr">
        <is>
          <t>۱۵ ساعت/هفته — از ماه ۷</t>
        </is>
      </c>
      <c r="E78" s="37" t="inlineStr">
        <is>
          <t>$25.8 → ≈ $24/ساعت (کف قانونی کانتون Neuchâtel ۲۰۲۶)؛ IT: $34 → ≈ $31/ساعت (IT Werkstudent $30–42)</t>
        </is>
      </c>
      <c r="F78" s="40" t="inlineStr">
        <is>
          <t>۱۸.۴ ساعت ✗ (سقف ۱۵)</t>
        </is>
      </c>
      <c r="G78" s="40" t="inlineStr">
        <is>
          <t>۱۴ ساعت ✓</t>
        </is>
      </c>
      <c r="H78" s="37" t="inlineStr">
        <is>
          <t>$1,530 = ۸۱٪</t>
        </is>
      </c>
      <c r="I78" s="37" t="inlineStr">
        <is>
          <t>۲۱.۸ ساعت/هفته میانگین → $2,210 = ۱۱۸٪</t>
        </is>
      </c>
      <c r="J78" s="48" t="inlineStr">
        <is>
          <t>⚠️ فقط با کار IT (≥ $31.7 در ساعت): از ماه ۷ قانوناً، واقع‌بینانه ماه ۸؛ با کف در سقف ۱۵ ساعت فقط ۸۱٪ زندگی</t>
        </is>
      </c>
      <c r="K78" s="37" t="inlineStr">
        <is>
          <t>کارفرما باید مجوز بگیرد؛ از ماه ۴–۵ برای ماه ۷ درخواست بدهید</t>
        </is>
      </c>
    </row>
    <row r="79" outlineLevel="1">
      <c r="A79" s="41" t="inlineStr">
        <is>
          <t>⚠️</t>
        </is>
      </c>
      <c r="B79" s="36" t="inlineStr">
        <is>
          <t>University of Fribourg – Fribourg</t>
        </is>
      </c>
      <c r="C79" s="62" t="inlineStr">
        <is>
          <t>$1,970</t>
        </is>
      </c>
      <c r="D79" s="37" t="inlineStr">
        <is>
          <t>۱۵ ساعت/هفته — از ماه ۷</t>
        </is>
      </c>
      <c r="E79" s="37" t="inlineStr">
        <is>
          <t>$27 → ≈ $24/ساعت (بدون کف قانونی؛ $27 فرض)؛ IT: $34 → ≈ $31/ساعت (IT Werkstudent $30–42)</t>
        </is>
      </c>
      <c r="F79" s="40" t="inlineStr">
        <is>
          <t>۱۸.۷ ساعت ✗ (سقف ۱۵)</t>
        </is>
      </c>
      <c r="G79" s="40" t="inlineStr">
        <is>
          <t>۱۴.۷ ساعت ✓</t>
        </is>
      </c>
      <c r="H79" s="37" t="inlineStr">
        <is>
          <t>$1,570 = ۸۰٪</t>
        </is>
      </c>
      <c r="I79" s="37" t="inlineStr">
        <is>
          <t>۲۱.۸ ساعت/هفته میانگین → $2,280 = ۱۱۶٪</t>
        </is>
      </c>
      <c r="J79" s="48" t="inlineStr">
        <is>
          <t>⚠️ فقط با کار IT (≥ $33.3 در ساعت): از ماه ۷ قانوناً، واقع‌بینانه ماه ۸؛ با کف در سقف ۱۵ ساعت فقط ۸۰٪ زندگی</t>
        </is>
      </c>
      <c r="K79" s="37" t="inlineStr">
        <is>
          <t>کارفرما باید مجوز بگیرد؛ از ماه ۴–۵ برای ماه ۷ درخواست بدهید</t>
        </is>
      </c>
    </row>
    <row r="80" outlineLevel="1">
      <c r="A80" s="41" t="inlineStr">
        <is>
          <t>⚠️</t>
        </is>
      </c>
      <c r="B80" s="46" t="inlineStr">
        <is>
          <t>Universität Stuttgart – Stuttgart</t>
        </is>
      </c>
      <c r="C80" s="62" t="inlineStr">
        <is>
          <t>$1,400</t>
        </is>
      </c>
      <c r="D80" s="37" t="inlineStr">
        <is>
          <t>۲۰ ساعت/هفته — از ماه ۱</t>
        </is>
      </c>
      <c r="E80" s="37" t="inlineStr">
        <is>
          <t>$16.6 → ≈ $15/ساعت (حداقل قانونی از ژانویه ۲۰۲۷؛ Werkstudent IT معمولاً $19–23)؛ IT: $19 → ≈ $18/ساعت (Werkstudent IT $19–23)</t>
        </is>
      </c>
      <c r="F80" s="40" t="inlineStr">
        <is>
          <t>۲۱.۴ ساعت ✗ (سقف ۲۰)</t>
        </is>
      </c>
      <c r="G80" s="40" t="inlineStr">
        <is>
          <t>۱۸.۴ ساعت ✓</t>
        </is>
      </c>
      <c r="H80" s="37" t="inlineStr">
        <is>
          <t>$1,300 = ۹۳٪</t>
        </is>
      </c>
      <c r="I80" s="37" t="inlineStr">
        <is>
          <t>۲۰ ساعت/هفته میانگین → $1,300 = ۹۳٪ (اضافه‌ای ندارد)</t>
        </is>
      </c>
      <c r="J80" s="48" t="inlineStr">
        <is>
          <t>⚠️ فقط با کار IT (≥ $17.8 در ساعت): از ماه ۱ قانوناً، واقع‌بینانه ماه ۳؛ با کف در سقف ۲۰ ساعت فقط ۹۳٪ زندگی</t>
        </is>
      </c>
      <c r="K80" s="37" t="inlineStr">
        <is>
          <t>Werkstudent در شرکت‌ها یا HiWi دانشگاه؛ از ایران درخواست بدهید</t>
        </is>
      </c>
    </row>
    <row r="81" outlineLevel="1">
      <c r="A81" s="41" t="inlineStr">
        <is>
          <t>⚠️</t>
        </is>
      </c>
      <c r="B81" s="46" t="inlineStr">
        <is>
          <t>TU Darmstadt – Darmstadt</t>
        </is>
      </c>
      <c r="C81" s="62" t="inlineStr">
        <is>
          <t>$1,340</t>
        </is>
      </c>
      <c r="D81" s="37" t="inlineStr">
        <is>
          <t>۲۰ ساعت/هفته — از ماه ۱</t>
        </is>
      </c>
      <c r="E81" s="37" t="inlineStr">
        <is>
          <t>$16.6 → ≈ $15/ساعت (حداقل قانونی از ژانویه ۲۰۲۷؛ Werkstudent IT معمولاً $19–23)؛ IT: $19 → ≈ $18/ساعت (Werkstudent IT $19–23)</t>
        </is>
      </c>
      <c r="F81" s="40" t="inlineStr">
        <is>
          <t>۲۰.۵ ساعت ✗ (سقف ۲۰)</t>
        </is>
      </c>
      <c r="G81" s="40" t="inlineStr">
        <is>
          <t>۱۷.۶ ساعت ✓</t>
        </is>
      </c>
      <c r="H81" s="37" t="inlineStr">
        <is>
          <t>$1,300 = ۹۷٪</t>
        </is>
      </c>
      <c r="I81" s="37" t="inlineStr">
        <is>
          <t>۲۰ ساعت/هفته میانگین → $1,300 = ۹۷٪ (اضافه‌ای ندارد)</t>
        </is>
      </c>
      <c r="J81" s="48" t="inlineStr">
        <is>
          <t>⚠️ فقط با کار IT (≥ $17.1 در ساعت): از ماه ۱ قانوناً، واقع‌بینانه ماه ۳؛ با کف در سقف ۲۰ ساعت فقط ۹۷٪ زندگی</t>
        </is>
      </c>
      <c r="K81" s="37" t="inlineStr">
        <is>
          <t>Werkstudent در شرکت‌ها یا HiWi دانشگاه؛ از ایران درخواست بدهید</t>
        </is>
      </c>
    </row>
    <row r="82" outlineLevel="1">
      <c r="A82" s="35" t="inlineStr">
        <is>
          <t>✅</t>
        </is>
      </c>
      <c r="B82" s="46" t="inlineStr">
        <is>
          <t>Saarland University (UdS) – Saarbrücken</t>
        </is>
      </c>
      <c r="C82" s="62" t="inlineStr">
        <is>
          <t>$1,140</t>
        </is>
      </c>
      <c r="D82" s="37" t="inlineStr">
        <is>
          <t>۲۰ ساعت/هفته — از ماه ۱</t>
        </is>
      </c>
      <c r="E82" s="37" t="inlineStr">
        <is>
          <t>$16.6 → ≈ $15/ساعت (حداقل قانونی از ژانویه ۲۰۲۷؛ Werkstudent IT معمولاً $19–23)؛ IT: $19 → ≈ $18/ساعت (Werkstudent IT $19–23)</t>
        </is>
      </c>
      <c r="F82" s="40" t="inlineStr">
        <is>
          <t>۱۷.۵ ساعت ✓</t>
        </is>
      </c>
      <c r="G82" s="40" t="inlineStr">
        <is>
          <t>۱۵ ساعت ✓</t>
        </is>
      </c>
      <c r="H82" s="37" t="inlineStr">
        <is>
          <t>$1,300 = ۱۱۴٪</t>
        </is>
      </c>
      <c r="I82" s="37" t="inlineStr">
        <is>
          <t>۲۰ ساعت/هفته میانگین → $1,300 = ۱۱۴٪ (اضافه‌ای ندارد)</t>
        </is>
      </c>
      <c r="J82" s="63" t="inlineStr">
        <is>
          <t>✅ از ماه ۱ قانوناً؛ واقع‌بینانه ماه ۳ — با ۱۷.۵ ساعت در هفته حتی با کف</t>
        </is>
      </c>
      <c r="K82" s="37" t="inlineStr">
        <is>
          <t>Werkstudent در شرکت‌ها یا HiWi دانشگاه؛ از ایران درخواست بدهید</t>
        </is>
      </c>
    </row>
    <row r="83" outlineLevel="1">
      <c r="A83" s="35" t="inlineStr">
        <is>
          <t>✅</t>
        </is>
      </c>
      <c r="B83" s="46" t="inlineStr">
        <is>
          <t>Universität Passau – Passau</t>
        </is>
      </c>
      <c r="C83" s="62" t="inlineStr">
        <is>
          <t>$1,140</t>
        </is>
      </c>
      <c r="D83" s="37" t="inlineStr">
        <is>
          <t>۲۰ ساعت/هفته — از ماه ۱</t>
        </is>
      </c>
      <c r="E83" s="37" t="inlineStr">
        <is>
          <t>$16.6 → ≈ $15/ساعت (حداقل قانونی از ژانویه ۲۰۲۷؛ Werkstudent IT معمولاً $19–23)؛ IT: $19 → ≈ $18/ساعت (Werkstudent IT $19–23)</t>
        </is>
      </c>
      <c r="F83" s="40" t="inlineStr">
        <is>
          <t>۱۷.۵ ساعت ✓</t>
        </is>
      </c>
      <c r="G83" s="40" t="inlineStr">
        <is>
          <t>۱۵ ساعت ✓</t>
        </is>
      </c>
      <c r="H83" s="37" t="inlineStr">
        <is>
          <t>$1,300 = ۱۱۴٪</t>
        </is>
      </c>
      <c r="I83" s="37" t="inlineStr">
        <is>
          <t>۲۰ ساعت/هفته میانگین → $1,300 = ۱۱۴٪ (اضافه‌ای ندارد)</t>
        </is>
      </c>
      <c r="J83" s="63" t="inlineStr">
        <is>
          <t>✅ از ماه ۱ قانوناً؛ واقع‌بینانه ماه ۳ — با ۱۷.۵ ساعت در هفته حتی با کف</t>
        </is>
      </c>
      <c r="K83" s="37" t="inlineStr">
        <is>
          <t>Werkstudent در شرکت‌ها یا HiWi دانشگاه؛ از ایران درخواست بدهید</t>
        </is>
      </c>
    </row>
    <row r="84" outlineLevel="1">
      <c r="A84" s="35" t="inlineStr">
        <is>
          <t>✅</t>
        </is>
      </c>
      <c r="B84" s="47" t="inlineStr">
        <is>
          <t>Teesside University – Middlesbrough</t>
        </is>
      </c>
      <c r="C84" s="62" t="inlineStr">
        <is>
          <t>$1,390</t>
        </is>
      </c>
      <c r="D84" s="37" t="inlineStr">
        <is>
          <t>۲۰ ساعت/هفته — از ماه ۱</t>
        </is>
      </c>
      <c r="E84" s="37" t="inlineStr">
        <is>
          <t>$16.8 → ≈ $17/ساعت (National Living Wage از آوریل ۲۰۲۶)؛ IT: $19 → ≈ $18/ساعت (کمپوس/تک $17–20)</t>
        </is>
      </c>
      <c r="F84" s="40" t="inlineStr">
        <is>
          <t>۱۹.۳ ساعت ✓</t>
        </is>
      </c>
      <c r="G84" s="40" t="inlineStr">
        <is>
          <t>۱۷.۶ ساعت ✓</t>
        </is>
      </c>
      <c r="H84" s="37" t="inlineStr">
        <is>
          <t>$1,440 = ۱۰۳٪</t>
        </is>
      </c>
      <c r="I84" s="37" t="inlineStr">
        <is>
          <t>۲۲.۳ ساعت/هفته میانگین → $1,600 = ۱۱۵٪</t>
        </is>
      </c>
      <c r="J84" s="63" t="inlineStr">
        <is>
          <t>✅ از ماه ۱ قانوناً؛ واقع‌بینانه ماه ۲ — با ۱۹.۳ ساعت در هفته حتی با کف</t>
        </is>
      </c>
      <c r="K84" s="37" t="inlineStr">
        <is>
          <t>خرده‌فروشی، رستوران، کمپوس؛ سریع‌ترین بازار کار دانشجویی</t>
        </is>
      </c>
    </row>
    <row r="85" outlineLevel="1">
      <c r="A85" s="41" t="inlineStr">
        <is>
          <t>⚠️</t>
        </is>
      </c>
      <c r="B85" s="47" t="inlineStr">
        <is>
          <t>Northumbria University – Newcastle upon Tyne</t>
        </is>
      </c>
      <c r="C85" s="62" t="inlineStr">
        <is>
          <t>$1,460</t>
        </is>
      </c>
      <c r="D85" s="37" t="inlineStr">
        <is>
          <t>۲۰ ساعت/هفته — از ماه ۱</t>
        </is>
      </c>
      <c r="E85" s="37" t="inlineStr">
        <is>
          <t>$16.8 → ≈ $17/ساعت (National Living Wage از آوریل ۲۰۲۶)؛ IT: $19 → ≈ $18/ساعت (کمپوس/تک $17–20)</t>
        </is>
      </c>
      <c r="F85" s="40" t="inlineStr">
        <is>
          <t>۲۰.۳ ساعت ✗ (سقف ۲۰)</t>
        </is>
      </c>
      <c r="G85" s="40" t="inlineStr">
        <is>
          <t>۱۸.۴ ساعت ✓</t>
        </is>
      </c>
      <c r="H85" s="37" t="inlineStr">
        <is>
          <t>$1,440 = ۹۹٪</t>
        </is>
      </c>
      <c r="I85" s="37" t="inlineStr">
        <is>
          <t>۲۲.۳ ساعت/هفته میانگین → $1,600 = ۱۱۰٪</t>
        </is>
      </c>
      <c r="J85" s="48" t="inlineStr">
        <is>
          <t>⚠️ فقط با کار IT (≥ $17.1 در ساعت): از ماه ۱ قانوناً، واقع‌بینانه ماه ۲؛ با کف در سقف ۲۰ ساعت فقط ۹۹٪ زندگی</t>
        </is>
      </c>
      <c r="K85" s="37" t="inlineStr">
        <is>
          <t>خرده‌فروشی، رستوران، کمپوس؛ سریع‌ترین بازار کار دانشجویی</t>
        </is>
      </c>
    </row>
    <row r="86" outlineLevel="1">
      <c r="A86" s="41" t="inlineStr">
        <is>
          <t>⚠️</t>
        </is>
      </c>
      <c r="B86" s="47" t="inlineStr">
        <is>
          <t>University of Essex – Colchester</t>
        </is>
      </c>
      <c r="C86" s="62" t="inlineStr">
        <is>
          <t>$1,560</t>
        </is>
      </c>
      <c r="D86" s="37" t="inlineStr">
        <is>
          <t>۲۰ ساعت/هفته — از ماه ۱</t>
        </is>
      </c>
      <c r="E86" s="37" t="inlineStr">
        <is>
          <t>$16.8 → ≈ $17/ساعت (National Living Wage از آوریل ۲۰۲۶)؛ IT: $19 → ≈ $18/ساعت (کمپوس/تک $17–20)</t>
        </is>
      </c>
      <c r="F86" s="40" t="inlineStr">
        <is>
          <t>۲۱.۷ ساعت ✗ (سقف ۲۰)</t>
        </is>
      </c>
      <c r="G86" s="40" t="inlineStr">
        <is>
          <t>۱۹.۷ ساعت ✓</t>
        </is>
      </c>
      <c r="H86" s="37" t="inlineStr">
        <is>
          <t>$1,440 = ۹۲٪</t>
        </is>
      </c>
      <c r="I86" s="37" t="inlineStr">
        <is>
          <t>۲۲.۳ ساعت/هفته میانگین → $1,600 = ۱۰۳٪</t>
        </is>
      </c>
      <c r="J86" s="48" t="inlineStr">
        <is>
          <t>⚠️ فقط با کار IT (≥ $18.2 در ساعت): از ماه ۱ قانوناً، واقع‌بینانه ماه ۲؛ با کف در سقف ۲۰ ساعت فقط ۹۲٪ زندگی</t>
        </is>
      </c>
      <c r="K86" s="37" t="inlineStr">
        <is>
          <t>خرده‌فروشی، رستوران، کمپوس؛ سریع‌ترین بازار کار دانشجویی</t>
        </is>
      </c>
    </row>
    <row r="87" outlineLevel="1">
      <c r="A87" s="41" t="inlineStr">
        <is>
          <t>⚠️</t>
        </is>
      </c>
      <c r="B87" s="47" t="inlineStr">
        <is>
          <t>Manchester Metropolitan University (MMU) – Manchester</t>
        </is>
      </c>
      <c r="C87" s="62" t="inlineStr">
        <is>
          <t>$1,590</t>
        </is>
      </c>
      <c r="D87" s="37" t="inlineStr">
        <is>
          <t>۲۰ ساعت/هفته — از ماه ۱</t>
        </is>
      </c>
      <c r="E87" s="37" t="inlineStr">
        <is>
          <t>$16.8 → ≈ $17/ساعت (National Living Wage از آوریل ۲۰۲۶)؛ IT: $19 → ≈ $18/ساعت (کمپوس/تک $17–20)</t>
        </is>
      </c>
      <c r="F87" s="40" t="inlineStr">
        <is>
          <t>۲۲.۱ ساعت ✗ (سقف ۲۰)</t>
        </is>
      </c>
      <c r="G87" s="40" t="inlineStr">
        <is>
          <t>۲۰.۱ ساعت ✗ (سقف ۲۰)</t>
        </is>
      </c>
      <c r="H87" s="37" t="inlineStr">
        <is>
          <t>$1,440 = ۹۰٪</t>
        </is>
      </c>
      <c r="I87" s="37" t="inlineStr">
        <is>
          <t>۲۲.۳ ساعت/هفته میانگین → $1,600 = ۱۰۱٪</t>
        </is>
      </c>
      <c r="J87" s="48" t="inlineStr">
        <is>
          <t>⚠️ در ترم نه (سقف ۲۰ ساعت = ۹۰٪ زندگی)؛ فقط به‌طور میانگین سالانه اگر تعطیلات ترم را تمام‌وقت کار کنید و پس‌انداز کنید؛ از ماه ۲</t>
        </is>
      </c>
      <c r="K87" s="37" t="inlineStr">
        <is>
          <t>خرده‌فروشی، رستوران، کمپوس؛ سریع‌ترین بازار کار دانشجویی</t>
        </is>
      </c>
    </row>
    <row r="88" outlineLevel="1">
      <c r="A88" s="41" t="inlineStr">
        <is>
          <t>⚠️</t>
        </is>
      </c>
      <c r="B88" s="50" t="inlineStr">
        <is>
          <t>Blekinge Institute of Technology (BTH) – Karlskrona</t>
        </is>
      </c>
      <c r="C88" s="62" t="inlineStr">
        <is>
          <t>$1,060</t>
        </is>
      </c>
      <c r="D88" s="37" t="inlineStr">
        <is>
          <t>۲۰ ساعت/هفته — از ماه ۱</t>
        </is>
      </c>
      <c r="E88" s="37" t="inlineStr">
        <is>
          <t>$15 → ≈ $13/ساعت (بدون سقف قانونی ساعت و بدون حداقل قانونی؛ ۲۰ ساعت و کف توافق جمعی ≈ $15 فرض)؛ IT: $17 → ≈ $15/ساعت (IT $16–19)</t>
        </is>
      </c>
      <c r="F88" s="40" t="inlineStr">
        <is>
          <t>۱۸.۸ ساعت ✓</t>
        </is>
      </c>
      <c r="G88" s="40" t="inlineStr">
        <is>
          <t>۱۶.۶ ساعت ✓</t>
        </is>
      </c>
      <c r="H88" s="37" t="inlineStr">
        <is>
          <t>$1,130 = ۱۰۶٪</t>
        </is>
      </c>
      <c r="I88" s="37" t="inlineStr">
        <is>
          <t>۲۰ ساعت/هفته میانگین → $1,130 = ۱۰۶٪ (اضافه‌ای ندارد)</t>
        </is>
      </c>
      <c r="J88" s="48" t="inlineStr">
        <is>
          <t>⚠️ از ماه ۱ قانوناً؛ واقع‌بینانه ماه ۵ — با ۱۸.۸ ساعت در هفته حتی با کف؛ ⚠️ مشکل پیدا کردن کار به انگلیسی، نه قانون</t>
        </is>
      </c>
      <c r="K88" s="37" t="inlineStr">
        <is>
          <t>بدون سوئدی کم؛ بیشتر از طریق دانشگاه/شرکت‌های بین‌المللی</t>
        </is>
      </c>
    </row>
    <row r="89" outlineLevel="1">
      <c r="A89" s="41" t="inlineStr">
        <is>
          <t>⚠️</t>
        </is>
      </c>
      <c r="B89" s="50" t="inlineStr">
        <is>
          <t>Mälardalen University (MDU) – Västerås</t>
        </is>
      </c>
      <c r="C89" s="62" t="inlineStr">
        <is>
          <t>$1,110</t>
        </is>
      </c>
      <c r="D89" s="37" t="inlineStr">
        <is>
          <t>۲۰ ساعت/هفته — از ماه ۱</t>
        </is>
      </c>
      <c r="E89" s="37" t="inlineStr">
        <is>
          <t>$15 → ≈ $13/ساعت (بدون سقف قانونی ساعت و بدون حداقل قانونی؛ ۲۰ ساعت و کف توافق جمعی ≈ $15 فرض)؛ IT: $17 → ≈ $15/ساعت (IT $16–19)</t>
        </is>
      </c>
      <c r="F89" s="40" t="inlineStr">
        <is>
          <t>۱۹.۷ ساعت ✓</t>
        </is>
      </c>
      <c r="G89" s="40" t="inlineStr">
        <is>
          <t>۱۷.۴ ساعت ✓</t>
        </is>
      </c>
      <c r="H89" s="37" t="inlineStr">
        <is>
          <t>$1,130 = ۱۰۲٪</t>
        </is>
      </c>
      <c r="I89" s="37" t="inlineStr">
        <is>
          <t>۲۰ ساعت/هفته میانگین → $1,130 = ۱۰۲٪ (اضافه‌ای ندارد)</t>
        </is>
      </c>
      <c r="J89" s="48" t="inlineStr">
        <is>
          <t>⚠️ از ماه ۱ قانوناً؛ واقع‌بینانه ماه ۵ — با ۱۹.۷ ساعت در هفته حتی با کف؛ ⚠️ مشکل پیدا کردن کار به انگلیسی، نه قانون</t>
        </is>
      </c>
      <c r="K89" s="37" t="inlineStr">
        <is>
          <t>بدون سوئدی کم؛ بیشتر از طریق دانشگاه/شرکت‌های بین‌المللی</t>
        </is>
      </c>
    </row>
    <row r="90" outlineLevel="1" ht="84" customHeight="1">
      <c r="A90" s="2" t="inlineStr">
        <is>
          <t>محاسبه: ساعت لازم در هفته = هزینهٔ زندگی ماهانهٔ شهر ÷ (دستمزد خالص هر ساعت × ۴.۳۳ هفته). «کف» = حداقل قانونی/کانتونی یا کف معمول (آلمان $16.6 از ۲۰۲۷ · انگلستان $16.8 · سوئیس کف کانتونی · سوئد $15 · دانمارک $21)؛ «IT» = نرخ معمول کار دانشجویی فنی (آلمان $19 · انگلستان $19 · سوئیس $34 · سوئد $17). خالص بعد از کسورات دانشجویی. ✅ = با کف و داخل سقف قانونی مستقل می‌شوید · ⚠️ = فقط با کار IT یا با تمام‌وقت کار کردن در تعطیلات ترم و پس‌انداز (میانگین سالانه) · ❌ = با سقف قانونی نمی‌شود. «واقع‌بینانه» = ماه قانونی + زمان معمول پیدا کردن کار (آلمان ۲ ماه، انگلستان ۱، سوئیس آماده از قبل، سوئد ۴). یادتان باشد: هر ماهی که خودتان می‌دهید، همان مبلغ از تمکن/بودجهٔ $40k دست‌نخورده می‌ماند — در آلمان حساب مسدود فقط $1,130 در ماه آزاد می‌کند، بقیه‌اش می‌ماند؛ در سوئیس ۶ ماه اول به‌هیچ‌وجه نمی‌شود کار کرد، پس ۶ ماه زندگی ($11–13k) حتماً از تمکن می‌رود.</t>
        </is>
      </c>
    </row>
    <row r="91"/>
    <row r="92">
      <c r="A92" s="14" t="inlineStr">
        <is>
          <t>ت) نتیجه در ۵ خط</t>
        </is>
      </c>
    </row>
    <row r="93" outlineLevel="1" ht="50" customHeight="1">
      <c r="A93" s="34" t="inlineStr">
        <is>
          <t>۱) بودجه در دو گام (پیشنهاد شما): گام ۱ = شهریهٔ کل دوره + مبلغ رسمی تمکن سال اول باید در $40,000 جا شود — چون بدون آن ویزایی نیست، هر برنامه‌ای که جا نشود بیرون است. نتیجه: آلمان همه ✅ ($14–21k)؛ سوئیس Neuchâtel/Fribourg/Basel/HSLU ✅ ($28–33k)، USI ❌ ($44.8k)؛ انگلستان فقط Teesside ✅ ($36.9k)، Essex/MMU/Northumbria $1–3k بالای سقف (فقط با حساب والدین ۲۸ روز)، Leicester/لندن/Russell Group ❌؛ سوئد BTH/MDU ✅، LiU ❌؛ هلند ❌؛ دانمارک روی کاغذ ✅ چون با پرداخت شهریه از تمکن معاف است — و همین نشان می‌دهد گام ۱ به‌تنهایی کافی نیست.</t>
        </is>
      </c>
    </row>
    <row r="94" outlineLevel="1" ht="50" customHeight="1">
      <c r="A94" s="34" t="inlineStr">
        <is>
          <t>۲) گام ۲ = زندگی واقعی: شهریه + n ماه از $40k، بعد کار با حداکثر ساعت مجاز. آلمان: شهریه + تمام ۲۴ ماه، ۲۰ ساعت × $16.6 ≈ $1,305 ≥ زندگی ✅. انگلستان: ۲۰ ساعت × $16.8 ≈ $1,440 ≈ زندگی → کسری ماهانه فقط $20–150 ✅. سوئیس: تا ماه ۶ کار ممنوع، بعد ۱۵ ساعت × کف کانتونی ≈ $1,530–1,590 که $350–650 از زندگی کمتر است — Neuchâtel/Fribourg بدون کار، Basel کسری ≈ $200، HSLU ≈ $4.3k (فقط کار ۱۰۰٪ در تعطیلات ترم می‌بندد) ⚠️. سوئد روی کاغذ صفر کسری، عملاً کار انگلیسی‌زبان نایاب ⚠️. دانمارک ۳.۸ ماه + ویزا ❌.</t>
        </is>
      </c>
    </row>
    <row r="95" outlineLevel="1" ht="40" customHeight="1">
      <c r="A95" s="34" t="inlineStr">
        <is>
          <t>۳) با وزن‌های شما (کار = حقوق ۲۷.۵ / انگلیسی ۳۰ / هزینه ۱۵) بین برنامه‌های شدنی: Basel ۷۱.۳ › HSLU ۶۸.۳ › Neuchâtel ۶۷ › Fribourg ۶۵.۵ › Stuttgart ۶۴ = Manchester Met ۶۴ › Teesside ۶۱.۵ › Northumbria = Essex ۶۱.۳ › Darmstadt ۶۰ › Saarland ۵۷.۳ › BTH = MDU ۵۵ › Passau ۵۱.۵. سوئیس بالاست چون حقوق ۱۰/۱۰ دارد و شهریه‌اش ناچیز است؛ امتیاز را همیشه کنار حکم دو گام بخوانید.</t>
        </is>
      </c>
    </row>
    <row r="96" outlineLevel="1" ht="40" customHeight="1">
      <c r="A96" s="34" t="inlineStr">
        <is>
          <t>۴) ریسک سوئیس با عدد: $25,400 (Basel 24,000) باید در بانک به نام خودتان باشد — انتقال از ایران سخت، زوریخ فقط بانک سوئیسی؛ ۶ ماه اول بی‌درآمد (از خودِ $40k)؛ بعد از مدرک ۶ ماه برای کاری که از سهمیهٔ کانتونی کم می‌شود. پاداش: حقوق $103–127k. آلمان امن‌ترین است: هر دو گام ✅ با فاصله، Werkstudent هم پول است هم راه استخدام، ۱۸ ماه بعد از مدرک؛ بهایش آلمانی B1. انگلستان انگلیسیِ کامل و کار آسان، ولی بازار جونیور و حقوق ضعیف‌ترین و گام ۱ را فقط Teesside به‌تنهایی رد می‌کند.</t>
        </is>
      </c>
    </row>
    <row r="97" outlineLevel="1" ht="40" customHeight="1">
      <c r="A97" s="34" t="inlineStr">
        <is>
          <t>۵) توصیه: ۸ درخواست — ۳ سوئیس (HSLU، Basel، Neuchâtel) + ۳ آلمان (Stuttgart، Darmstadt، Saarland) + ۲ انگلستان (Essex + Northumbria یا Manchester Met؛ اگر کمک ۲۸ روزهٔ خانواده ممکن نیست، Teesside). قاعدهٔ تصمیم در می–ژوئن ۲۰۲۷: پذیرش سوئیس + $25,400 در بانک به نام خودتان + پذیرفتن ۶ ماه بدون درآمد و ۶ ماه بعد از مدرک → سوئیس (با وزن‌های شما)؛ وگرنه آلمان (Stuttgart اگر Werkstudent، وگرنه Darmstadt/Saarland)؛ انگلستان فقط اگر ۱۰۰٪ انگلیسی و ۱ ساله برایتان از حقوق و بازار مهم‌تر شد.</t>
        </is>
      </c>
    </row>
    <row r="98"/>
    <row r="99">
      <c r="A99" s="14" t="inlineStr">
        <is>
          <t>ث) چهار قدم بعدی</t>
        </is>
      </c>
    </row>
    <row r="100" outlineLevel="1" ht="36" customHeight="1">
      <c r="A100" s="34" t="inlineStr">
        <is>
          <t>اکتبر – دسامبر ۲۰۲۶: نظام‌وظیفه · IELTS Academic خارج از ایران تا دسامبر (Joint MSc سوئیس مدرک زبان نمی‌خواهد؛ Stuttgart / Saarland / Darmstadt IELTS 7؛ HSLU / Basel B2–C1؛ Passau B2؛ انگلستان 6.0–6.5) · ترجمهٔ رسمی مدارک · گواهی رتبهٔ کلاسی از سمنان · شروع آلمانی A1–A2 · از International Office دانشگاه‌های سوئیس بپرسید $25,400 را برای متقاضی ایرانی چطور می‌پذیرند (بانک سوئیسی / ضمانت‌نامه / حساب خانواده) — این جواب، گام ۱ سوئیس را تعیین می‌کند.</t>
        </is>
      </c>
    </row>
    <row r="101" outlineLevel="1" ht="36" customHeight="1">
      <c r="A101" s="34" t="inlineStr">
        <is>
          <t>۱۵ ژانویه ۲۰۲۷: Stuttgart (و BTH/MDU اگر پشتوانهٔ سوئد را خواستید) · ۲۸ فوریه: Fribourg (ویزایی‌ها) · ۳۱ مارس: Neuchâtel · ۱ آوریل: HSLU · ۳۰ آوریل: Basel · ۳۱ می: Passau · می – ژوئیه: Darmstadt / Saarland · Essex / Northumbria / Manchester Met / Teesside rolling.</t>
        </is>
      </c>
    </row>
    <row r="102" outlineLevel="1" ht="36" customHeight="1">
      <c r="A102" s="34" t="inlineStr">
        <is>
          <t>با هر پذیرش، گام ۱ را همان روز با عدد دقیق دوباره حساب کنید (شهریهٔ نامهٔ پذیرش + مبلغ تمکن آن سال): سوئیس $25,400 (Basel 24,000) در بانک به نام خودتان · آلمان حساب مسدود $13,600 (ماهی $1,130 آزاد می‌شود) · انگلستان شهریهٔ CAS + ۹ × $1,590 به مدت ۲۸ روز (حساب والدین با رضایت‌نامه). همهٔ این‌ها از همان $40k است، ولی باید یک‌جا نشان داده شود — و انتقال پول از ایران زمان و کارمزد دارد.</t>
        </is>
      </c>
    </row>
    <row r="103" outlineLevel="1" ht="36" customHeight="1">
      <c r="A103" s="34" t="inlineStr">
        <is>
          <t>می – ژوئیه ۲۰۲۷: ویزا (سوئیس: سفارت تهران با وقت قبلی · آلمان: سفارت فقط اضطراری → برنامهٔ B از ترکیه / ارمنستان · انگلستان: VAC تهران متغیر) · مسکن را همان روز پذیرش شروع کنید (Stuttgart صف ۶–۸ ماه؛ Essex تضمینی؛ سوئیس خوابگاه دانشگاه/WOKO) · آلمان/انگلستان: از هفتهٔ اول دنبال کار ۲۰ ساعته بروید · سوئیس: از ماه ۵ برای ماه ۷ آماده شوید (کارفرما مجوز می‌گیرد) و تعطیلات ترم را تمام‌وقت کار کنید.</t>
        </is>
      </c>
    </row>
    <row r="104"/>
    <row r="105">
      <c r="A105" s="14" t="inlineStr">
        <is>
          <t>ج) بقیهٔ فایل</t>
        </is>
      </c>
    </row>
    <row r="106" outlineLevel="1" ht="44" customHeight="1">
      <c r="A106" s="34" t="inlineStr">
        <is>
          <t>بقیهٔ شیت‌ها پیوست‌اند و فقط برای جزئیات: «جدول نهایی ۲۰۲۶» (۲۸ معیار)، «برنامه‌ها» (۱۱۰ برنامه، هر کدام با ستون «کل هزینهٔ دوره»)، «حوزه‌ها و بازار کار»، «برنامهٔ زمانی ۲۰۲۷»، «خوابگاه و مسکن»، «جمع‌بندی»، «راستی‌آزمایی» (تنها جایی که رقم رسمی به ارز محلی هم داخل پرانتز آمده) و «منابع». همهٔ آن‌ها هم به دلار هستند.</t>
        </is>
      </c>
    </row>
  </sheetData>
  <mergeCells count="25">
    <mergeCell ref="A92:K92"/>
    <mergeCell ref="A39:K39"/>
    <mergeCell ref="A59:K59"/>
    <mergeCell ref="A94:K94"/>
    <mergeCell ref="A1:K1"/>
    <mergeCell ref="A103:K103"/>
    <mergeCell ref="A41:K41"/>
    <mergeCell ref="A99:K99"/>
    <mergeCell ref="A90:K90"/>
    <mergeCell ref="A37:K37"/>
    <mergeCell ref="A74:K74"/>
    <mergeCell ref="A105:K105"/>
    <mergeCell ref="A26:K26"/>
    <mergeCell ref="A101:K101"/>
    <mergeCell ref="A57:K57"/>
    <mergeCell ref="A95:K95"/>
    <mergeCell ref="A2:K2"/>
    <mergeCell ref="A106:K106"/>
    <mergeCell ref="A97:K97"/>
    <mergeCell ref="A4:K4"/>
    <mergeCell ref="A100:K100"/>
    <mergeCell ref="A96:K96"/>
    <mergeCell ref="A38:K38"/>
    <mergeCell ref="A93:K93"/>
    <mergeCell ref="A102:K102"/>
  </mergeCells>
  <pageMargins left="0.75" right="0.75" top="1" bottom="1" header="0.5" footer="0.5"/>
  <pageSetup orientation="landscape" fitToHeight="0" fitToWidth="1"/>
</worksheet>
</file>

<file path=xl/worksheets/sheet2.xml><?xml version="1.0" encoding="utf-8"?>
<worksheet xmlns="http://schemas.openxmlformats.org/spreadsheetml/2006/main">
  <sheetPr>
    <tabColor rgb="002E75B6"/>
    <outlinePr summaryBelow="1" summaryRight="1"/>
    <pageSetUpPr fitToPage="1"/>
  </sheetPr>
  <dimension ref="A1:I36"/>
  <sheetViews>
    <sheetView showGridLines="0" rightToLeft="1" tabSelected="0" workbookViewId="0">
      <pane xSplit="2" ySplit="1" topLeftCell="C2" activePane="bottomRight" state="frozen"/>
      <selection pane="topRight"/>
      <selection pane="bottomLeft"/>
      <selection pane="bottomRight" activeCell="A1" sqref="A1"/>
    </sheetView>
  </sheetViews>
  <sheetFormatPr baseColWidth="8" defaultRowHeight="15"/>
  <cols>
    <col width="6" customWidth="1" min="1" max="1"/>
    <col width="30" customWidth="1" min="2" max="2"/>
    <col width="46" customWidth="1" min="3" max="3"/>
    <col width="42" customWidth="1" min="4" max="4"/>
    <col width="46" customWidth="1" min="5" max="5"/>
    <col width="42" customWidth="1" min="6" max="6"/>
    <col width="42" customWidth="1" min="7" max="7"/>
    <col width="46" customWidth="1" min="8" max="8"/>
    <col width="34" customWidth="1" min="9" max="9"/>
  </cols>
  <sheetData>
    <row r="1" ht="34" customHeight="1">
      <c r="A1" s="15" t="inlineStr">
        <is>
          <t>ردیف</t>
        </is>
      </c>
      <c r="B1" s="15" t="inlineStr">
        <is>
          <t>معیار</t>
        </is>
      </c>
      <c r="C1" s="17" t="inlineStr">
        <is>
          <t>آلمان 🇩🇪</t>
        </is>
      </c>
      <c r="D1" s="20" t="inlineStr">
        <is>
          <t>هلند 🇳🇱</t>
        </is>
      </c>
      <c r="E1" s="19" t="inlineStr">
        <is>
          <t>سوئد 🇸🇪</t>
        </is>
      </c>
      <c r="F1" s="21" t="inlineStr">
        <is>
          <t>دانمارک 🇩🇰</t>
        </is>
      </c>
      <c r="G1" s="16" t="inlineStr">
        <is>
          <t>سوئیس 🇨🇭</t>
        </is>
      </c>
      <c r="H1" s="18" t="inlineStr">
        <is>
          <t>انگلستان (England) 🇬🇧</t>
        </is>
      </c>
      <c r="I1" s="15" t="inlineStr">
        <is>
          <t>منبع اصلی</t>
        </is>
      </c>
    </row>
    <row r="2">
      <c r="A2" s="40" t="inlineStr">
        <is>
          <t>۱</t>
        </is>
      </c>
      <c r="B2" s="22" t="inlineStr">
        <is>
          <t>برنامه‌های هدف واقع‌بینانه (Safe / Target / Reach) — با معدل ≈ ۱۵.۷ از ۲۰ و IELTS ≈ 7</t>
        </is>
      </c>
      <c r="C2" s="64" t="inlineStr">
        <is>
          <t>Stuttgart (اشتوتگارت) – MSc Computer Science (انگلیسی، بدون NC، IELTS 7) → Target
FAU (Erlangen/Nürnberg) – MSc Artificial Intelligence (انگلیسی، B2؛ ⚠️ از تابستان ۲۰۲۷ شهریهٔ $4,560/ترم برای غیر-EU) → Target
TU Darmstadt (دارمشتات) – MSc Computer Science (انگلیسی، IELTS 7) → Target/Reach
TU Dresden (درسدن) – MSc Computer Science (انگلیسی، IELTS 7، ارزیابی استعداد) → Reach
Safe: RPTU Kaiserslautern، Passau، Saarland (Saarbrücken)، TU Chemnitz، OVGU Magdeburg</t>
        </is>
      </c>
      <c r="D2" s="65" t="inlineStr">
        <is>
          <t>Twente (Enschede) – MSc Computer Science (حداقل رسمی برای مدرک ایرانی: ۱۵/۲۰) → Target
Radboud (Nijmegen) – MSc Computing Science → Target
UvA (Amsterdam) – MSc Software Engineering یک‌ساله ($39,100؛ بهترین بازار کار انگلیسی‌زبان، بدترین مسکن) → Target/Reach
(همه روی واحدهای ریاضی/الگوریتم/CS نظری در ریزنمرات حساس‌اند)</t>
        </is>
      </c>
      <c r="E2" s="66" t="inlineStr">
        <is>
          <t>Linköping (لینشوپینگ) – MSc Computer Science (گزینش بر اساس گروه معدل) → Target
BTH – MSc Software Engineering 120 واحدی، Karlskrona (≥ ۹۰ واحد CS/SE در کارشناسی) → Safe/Target
Halmstad (هالمستاد) – MSc Information Technology 120 واحدی → Safe
⚠️ برنامه ۶۰ واحدی BTH از راه دور/نیمه‌وقت است و برای ویزا کاربرد ندارد</t>
        </is>
      </c>
      <c r="F2" s="67" t="inlineStr">
        <is>
          <t>AAU (Aalborg) – MSc Computer Science (IT) (انگلیسی؛ نه برنامه Computer Science دانمارکی‌زبان) → Target
SDU (Odense) – MSc Computer Science → Target
(AAU رسماً حداقل ۱۵۰ ECTS دروس مرتبط با CS می‌خواهد و از ۲۰۲۷ سابقهٔ کار را هم در رتبه‌بندی حساب می‌کند؛ SDU هم واحدهای CS ریزنمرات را ارزیابی می‌کند)</t>
        </is>
      </c>
      <c r="G2" s="68" t="inlineStr">
        <is>
          <t>USI (Lugano) – MSc Informatics / MSc Artificial Intelligence / MSc Software &amp; Data Engineering (انگلیسی؛ ورود با B2) → Target
HSLU (Lucerne) – MSc Applied Data Science and AI (انگلیسی؛ C1 یا B2 مشروط؛ بدون آلمانی؛ مهلت ویزایی‌ها ۱ آوریل) → Safe/Target
Neuchâtel یا Fribourg (Bern همان مدرک با شهریهٔ ۳ برابر) – Swiss Joint MSc Computer Science (90 ECTS، انگلیسی، بدون آزمون زبان) → Target
ZHAW (Zürich/Winterthur) – MSE Computer Science / Data Science / Cyber Security (فقط با معدل A/B کارشناسی) → Target/Reach
ETH Zürich، EPFL، UZH، Basel → Reach (با معدل ۱۵.۷۷ احتمال پذیرش کم)</t>
        </is>
      </c>
      <c r="H2" s="69" t="inlineStr">
        <is>
          <t>Teesside (Middlesbrough) – MSc Computer Science (2:2، IELTS 6.0) → Safe
Northumbria (Newcastle) – MSc Advanced Computer Science (2:2 در رشته کامپیوتری) → Safe
Essex (Colchester) – MSc Advanced Computer Science (2:2؛ Computer Engineering پذیرفته می‌شود) → Safe/Target
Brunel (London) – MSc AI / Data Science (2:2) → Safe/Target
Leicester (لستر) – MSc Advanced Computer Science (2:1؛ سابقه کار مرتبط جبران می‌کند) → Target
York (یورک) – MSc Advanced Computer Science (2:2 با پیش‌زمینه قوی، IELTS 6.5) → Reach
فقط انگلستان — Strathclyde (اسکاتلند) و Swansea (ولز) حذف شدند</t>
        </is>
      </c>
      <c r="I2" s="70" t="inlineStr">
        <is>
          <t>سایت برنامه‌ها؛ utwente.nl (Iran 15/20)؛ bth.se؛ «۷۵٪ قبولی» جدول اول حذف شد — چنین آماری وجود ندارد.
➜ فهرست کامل ≈۱۰۰ برنامه در ۸ حوزه (AI، امنیت، داده، نرم‌افزار، ابری، نهفته/رباتیک، HCI، بازی) با شهریه و شرط ورود: شیت «برنامه‌ها»؛ مقایسهٔ بازار کار حوزه‌ها: شیت «حوزه‌ها و بازار کار»</t>
        </is>
      </c>
    </row>
    <row r="3">
      <c r="A3" s="40" t="inlineStr">
        <is>
          <t>۲</t>
        </is>
      </c>
      <c r="B3" s="22" t="inlineStr">
        <is>
          <t>رتبه QS World University Rankings 2027 (ژوئن ۲۰۲۶)</t>
        </is>
      </c>
      <c r="C3" s="64" t="inlineStr">
        <is>
          <t>TU Dresden 185 · FAU 218 · TU Darmstadt 250 · Stuttgart 318</t>
        </is>
      </c>
      <c r="D3" s="65" t="inlineStr">
        <is>
          <t>Twente =223 · Radboud =283</t>
        </is>
      </c>
      <c r="E3" s="66" t="inlineStr">
        <is>
          <t>Linköping 308 · BTH و Halmstad در QS رتبه ندارند</t>
        </is>
      </c>
      <c r="F3" s="67" t="inlineStr">
        <is>
          <t>SDU =283 · Aalborg =329</t>
        </is>
      </c>
      <c r="G3" s="68" t="inlineStr">
        <is>
          <t>ETH Zürich =8 · EPFL =22 · UZH =98 · Basel =150 · Bern =191 · USI =456 · Fribourg =670 · ZHAW 851–900 · HSLU رتبه ندارد</t>
        </is>
      </c>
      <c r="H3" s="69" t="inlineStr">
        <is>
          <t>Newcastle 149 · York =158 · Leicester =314 · Brunel 353 · Essex =438 · Northumbria =528 · Teesside در فهرست اصلی QS نیست (THE 601–800)</t>
        </is>
      </c>
      <c r="I3" s="70" t="inlineStr">
        <is>
          <t>topuniversities.com (QS WUR 2027)؛ utwente.nl/rankings</t>
        </is>
      </c>
    </row>
    <row r="4">
      <c r="A4" s="40" t="inlineStr">
        <is>
          <t>۳</t>
        </is>
      </c>
      <c r="B4" s="22" t="inlineStr">
        <is>
          <t>طول دوره ارشد</t>
        </is>
      </c>
      <c r="C4" s="64" t="inlineStr">
        <is>
          <t>۲ سال (120 ECTS)</t>
        </is>
      </c>
      <c r="D4" s="65" t="inlineStr">
        <is>
          <t>۲ سال (120 ECTS)</t>
        </is>
      </c>
      <c r="E4" s="66" t="inlineStr">
        <is>
          <t>۲ سال (120 ECTS) — گزینه یک‌ساله حضوری معتبر ندارد</t>
        </is>
      </c>
      <c r="F4" s="67" t="inlineStr">
        <is>
          <t>۲ سال (120 ECTS)</t>
        </is>
      </c>
      <c r="G4" s="68" t="inlineStr">
        <is>
          <t>۱.۵ سال (90 ECTS: Neuchâtel/Fribourg/Bern/UZH/Basel/ZHAW) یا ۲ سال (120 ECTS: ETH، EPFL، USI، HSLU)</t>
        </is>
      </c>
      <c r="H4" s="69" t="inlineStr">
        <is>
          <t>۱ سال (۱۲ ماه)</t>
        </is>
      </c>
      <c r="I4" s="70" t="inlineStr">
        <is>
          <t>سایت برنامه‌ها</t>
        </is>
      </c>
    </row>
    <row r="5">
      <c r="A5" s="40" t="inlineStr">
        <is>
          <t>۴</t>
        </is>
      </c>
      <c r="B5" s="22" t="inlineStr">
        <is>
          <t>شهریهٔ سالانه رسمی بدون بورس (2026/27) — جزئیات هر دانشگاه</t>
        </is>
      </c>
      <c r="C5" s="64" t="inlineStr">
        <is>
          <t>$0 + سهم ترمی $170–455 (≈ $340–910 در سال)
Stuttgart: $1,710 در ترم = $3,420 در سال (بادن-وورتمبرگ)
⚠️ FAU: از ترم تابستان ۲۰۲۷ برای ورودی‌های جدید غیر-EU $4,560 در ترم (AI/CS) = $9,120 در سال (BayHIG §13)؛ Passau فعلاً بدون شهریه</t>
        </is>
      </c>
      <c r="D5" s="65" t="inlineStr">
        <is>
          <t>Twente: $24,700
Radboud: $22,500 (2026/27، رسمی)</t>
        </is>
      </c>
      <c r="E5" s="66" t="inlineStr">
        <is>
          <t>Linköping: $16,800
Halmstad: ≈ $15,300
BTH: $14,100 ($7,070 در ترم)</t>
        </is>
      </c>
      <c r="F5" s="67" t="inlineStr">
        <is>
          <t>AAU: ≈ $17,000 (2025/26: $8,500 در ترم؛ نرخ ۲۰۲۶ هنوز روی سایت AAU نیست)
SDU: $19,700 (نرخ رسمی برای ورودی سپتامبر ۲۰۲۶ به بعد — رقم قدیمی $15,800 دیگر معتبر نیست)</t>
        </is>
      </c>
      <c r="G5" s="68" t="inlineStr">
        <is>
          <t>به ازای هر ترم برای غیرمقیم سوئیس (۲ ترم در سال):
USI: $4,840 (= $9,680/سال)
ETH: $2,740 (≈ $5,480/سال) · EPFL: $2,710 (≈ $5,420/سال)
HSLU: $1,910 (≈ $3,810/سال) · ZHAW: $1,550 (≈ $3,100/سال)
Neuchâtel: $955 ($1,910/سال) · Basel: $1,030 ($2,060/سال) · UZH: $1,060 (≈ $2,130/سال) · Fribourg: $1,190 ($2,380/سال)
⚠️ Bern از پاییز ۲۰۲۶: $3,160 (≈ $6,290/سال؛ شامل $2,060 اضافهٔ غیرسوئیسی‌ها) — همان مدرک مشترک را از Neuchâtel/Fribourg بگیرید
⚠️ ETH/EPFL: افزایش دوباره (تا ≈ $7,070/ترم برای خارجی‌ها) در بستهٔ صرفه‌جویی EP27 مطرح است؛ تصمیم شورای ETH برای ۲۰۲۷ هنوز اعلام نشده</t>
        </is>
      </c>
      <c r="H5" s="69" t="inlineStr">
        <is>
          <t>Teesside: $22,500
Northumbria: $28,500
Leicester: $32,100
Essex: $32,700
Brunel: $32,900
York: $43,600 (Newcastle ≈ $42,000)
کف قیمت انگلستان: Chester $20,500 (بدون رتبه). بورس‌ها (مثلاً Brunel تا $7,950) جدا حساب شوند، تضمینی نیستند</t>
        </is>
      </c>
      <c r="I5" s="70" t="inlineStr">
        <is>
          <t>utwente.nl؛ liu.se؛ bth.se؛ sdu.dk؛ studyindenmark.dk؛ ethz.ch؛ epfl.ch؛ uzh.ch؛ usi.ch؛ swissuniversities.ch؛ brunel.ac.uk؛ tees.ac.uk؛ northumbria.ac.uk؛ le.ac.uk؛ essex.ac.uk؛ york.ac.uk</t>
        </is>
      </c>
    </row>
    <row r="6">
      <c r="A6" s="40" t="inlineStr">
        <is>
          <t>۵</t>
        </is>
      </c>
      <c r="B6" s="22" t="inlineStr">
        <is>
          <t>شهریهٔ سالانه — بازهٔ خلاصهٔ گزینه‌های هدف</t>
        </is>
      </c>
      <c r="C6" s="64" t="inlineStr">
        <is>
          <t>$350–900 (Stuttgart ≈ $3,400؛ FAU از ۲۰۲۷ ≈ $9,300)</t>
        </is>
      </c>
      <c r="D6" s="65" t="inlineStr">
        <is>
          <t>$22,500–24,700</t>
        </is>
      </c>
      <c r="E6" s="66" t="inlineStr">
        <is>
          <t>$14,100–16,800</t>
        </is>
      </c>
      <c r="F6" s="67" t="inlineStr">
        <is>
          <t>$17,000–19,700</t>
        </is>
      </c>
      <c r="G6" s="68" t="inlineStr">
        <is>
          <t>$1,900–2,400 (Neuchâtel/Basel/UZH/Fribourg) · ≈ $3,100–3,800 (ZHAW/HSLU) · ≈ $5,400–5,500 (ETH/EPFL) · ≈ $6,300 (Bern، از پاییز ۲۰۲۶) · $9,700 (USI) — ارزان‌ترین بعد از آلمان</t>
        </is>
      </c>
      <c r="H6" s="69" t="inlineStr">
        <is>
          <t>$22,500–43,600 (Teesside $22,500 · Northumbria $28,500 · Leicester/Essex/Brunel ≈ $32,100–32,900 · York $43,600)</t>
        </is>
      </c>
      <c r="I6" s="70" t="inlineStr">
        <is>
          <t>همهٔ مبالغ این فایل به دلار آمریکا تبدیل شده‌اند تا لازم نباشد چیزی را خودتان تبدیل کنید. نرخ‌های ۲۸ سپتامبر ۲۰۲۶: ۱ یورو = ۱.۱۴ دلار · ۱ پوند = ۱.۳۲۵ دلار · ۱ فرانک سوئیس = ۱.۲۱ دلار · ۱ کرون سوئد = ۰.۱۰ دلار · ۱ کرون دانمارک = ۰.۱۵ دلار. اعداد گرد شده‌اند (زیر ۱۰ هزار به ۱۰ دلار، بالاتر به ۱۰۰ دلار)؛ رقم رسمی به ارز محلی فقط در شیت «راستی‌آزمایی» داخل پرانتز آمده است. شهریه‌ها سطح 2026/27 هستند (Bristol 2027/28)؛ نرخ سال ورود شما (2027/28) بین اکتبر ۲۰۲۶ تا بهار ۲۰۲۷ منتشر می‌شود — ۳ تا ۵ درصد بالاتر بگیرید؛ ⚠️ ETH/EPFL ممکن است با بستهٔ EP27 از ۲۰۲۷ دوباره گران شوند.</t>
        </is>
      </c>
    </row>
    <row r="7">
      <c r="A7" s="40" t="inlineStr">
        <is>
          <t>۵ب</t>
        </is>
      </c>
      <c r="B7" s="22" t="inlineStr">
        <is>
          <t>بورس / تخفیف شهریهٔ واقعاً در دسترسِ شما (غیر-EU، معدل ۱۵.۷۷ ≈ ۷۹٪، ورودی ۲۰۲۷)</t>
        </is>
      </c>
      <c r="C7" s="64" t="inlineStr">
        <is>
          <t>شهریه‌ای نیست که تخفیف بخورد؛ بورس ارشد هم عملاً نیست:
• Deutschlandstipendium: $340/ماه، بعد از ثبت‌نام، ≈ ۱–۳٪ دانشجویان
• DAAD برای ارشد معمولی CS بورس ندارد (فقط فهرست توسعه‌محور EPOS)
• Stuttgart (BW): قانون اجازهٔ معافیت حداکثر ۵٪ «استعدادهای ویژه» از $1,710/ترم را می‌دهد — سالانه اعلام می‌شود؛ FAU هنوز طرح معافیت برای شهریهٔ جدید نداده
اثر روی هزینهٔ شما: ≈ صفر (از قبل ارزان‌ترین است)</t>
        </is>
      </c>
      <c r="D7" s="65" t="inlineStr">
        <is>
          <t>• NL Scholarship (سابقاً Holland): $5,700 یک‌بار در سال اول، از طریق دانشگاه‌های عضو؛ مهلت ۱ فوریه یا ۱ می (بسته به دانشگاه) — با معدل شما شدنی‌ترین
• UTS Twente: $3,420–25,100/سال فقط برای «بهترین‌ها» (۱۵ اکتبر – ۱ آوریل) → Reach
• Radboud Scholarship Programme: شهریه تا سطح EU (≈ $2,960) + ویزا/بیمه؛ ۳۱ ژانویه؛ بسیار رقابتی → Reach
• TU/e ALSP، Utrecht/Leiden/UvA Excellence: ۱۰٪ بالای کلاس → نه
اثر: حداکثر −$5.7k از $75–90k</t>
        </is>
      </c>
      <c r="E7" s="66" t="inlineStr">
        <is>
          <t>قوی‌ترین کشور جدول، ولی درهای اصلی برای معدل ۷۹٪ نیمه‌باز است:
• LiU: معمولاً ۵۰٪ شهریه، فقط اگر LiU اولویت ۱ باشد؛ ⚠️ از ۲۰۲۶ فقط GPA ≥ 3.5/4 یا «first/high second class» — معدل شما (≈ 3.1/4) احتمالاً زیر خط
• Chalmers IPOET ۷۵٪ (≈ ۳۵ بورس؛ فرم جدا تا ۱۵ ژانویه): حداقل معدل ۸۰٪ — شما ۷۸.۹٪ = دقیقاً زیر خط
• KTH Scholarship: شهریهٔ کامل، چند ده نفر، ۱ دسامبر – ۱۵ ژانویه → Reach
• Halmstad ۲۵٪/۵۰٪ (پنجرهٔ ≈ ۹–۲۵ فوریه) و MDU تا ۱۰۰٪ (اولویت ۱؛ معدود) — واقع‌بینانه‌ترین‌ها برای شما
• ⚠️ بورس دولتی SI: ایران جزو ۳۴ کشور واجد شرایط نیست
اثر: با ۵۰٪ در Halmstad/MDU کل دوره از $54–65k به ≈ $40–48k می‌رسد — نزدیک به انگلستان</t>
        </is>
      </c>
      <c r="F7" s="67" t="inlineStr">
        <is>
          <t>Danish Government Scholarship = معافیت شهریه (+ گاهی کمک‌هزینه) که خودِ دانشگاه از سهمیهٔ دولتی می‌دهد؛ فرم جدا ندارد — همهٔ غیر-EUها خودکار بررسی می‌شوند:
• AAU: ≈ ۱۵ بورس/سال = معافیت کامل + $1,710/ماه (۲۰۲۶)
• SDU: فقط بعضی ارشدهای مهندسی، معافیت کامل، معدود
• ITU/DTU/Aarhus: تعداد کم، رقابتی
شانس واقعی با معدل ۷۹٪: پایین؛ روی آن برنامه نریزید (خود AAU هم همین را می‌گوید)
اثر روی برنامه‌ریزی: صفر مگر برنده شوید</t>
        </is>
      </c>
      <c r="G7" s="68" t="inlineStr">
        <is>
          <t>• ETH Excellence (ESOP): معافیت + $14,500/ترم؛ ≈ ۶۰ بورس؛ فقط ۱۰٪ بالای کلاس؛ همراه اپلای ۱–۳۰ نوامبر → با معدل شما نه
• EPFL Excellence Fellowship: ≈ $19,400/سال؛ درصد بالای کلاس → نه
• USI: ۶۰ بورس یک‌بارهٔ $4,840 (= نصف شهریهٔ سال اول) برای معدل ≥ ۸۰/۱۰۰ — شما ۷۸.۹ → مرزی؛ + ۲۰ بورس سال دوم برای بهترینِ هر برنامه
• Neuchâtel/Fribourg/Bern/Basel/UZH/ZHAW/HSLU: بورس ارشد برای خارجی‌ها ندارند (کمک کانتونی فقط برای مقیم‌ها)
• بورس دولت سوئیس (ESKAS): فقط دکترا/پژوهش
اثر: ≈ صفر (مسئلهٔ سوئیس هزینهٔ زندگی است، نه شهریه)</t>
        </is>
      </c>
      <c r="H7" s="69" t="inlineStr">
        <is>
          <t>تخفیف‌های خودکار دانشگاهی (بدون فرم) — همین‌ها واقعی‌اند:
• Essex: جدول کشوری؛ ایران با ≥ ۱۴/۲۰ → $5,960 تخفیف شهریه (شما واجد شرایط؛ جدول ۲۰۲۵–۲۶ — نسخهٔ ۲۰۲۶–۲۷ را چک کنید)
• Teesside Global Excellence: $2,650 (صلاحدیدی؛ پیشنهاد تا ۳۰ آوریل)
• Brunel VC Award: $7,950 فقط با معادل 2:1 (+ ودیعهٔ $6,630) — برای ایران معمولاً ≥ ۱۶/۲۰؛ برای شما مرزی، از پذیرش بپرسید
• Northumbria $3,980: فقط فهرست کشوری/ادامه‌تحصیلی‌های داخل UK — ایران نه
• Leicester/York: بورس‌های بین‌المللی محدود و رقابتی
• ❌ Chevening: ۲ سال کار *بعد از* مدرک + تعهد بازگشت ۲ ساله — با فارغ‌التحصیلی ۲۰۲۶ و هدف مهاجرت نمی‌خواند · ❌ GREAT: ایران در فهرست نیست · ❌ Commonwealth
اثر: Essex −$6k، Teesside −$2.6k از $38–65k</t>
        </is>
      </c>
      <c r="I7" s="70" t="inlineStr">
        <is>
          <t>liu.se (Scholarships؛ شرط جدید ۲۰۲۶)؛ chalmers.se (IPOET ≥ ۸۰٪)؛ hh.se؛ mdu.se؛ si.se (۳۴ کشور)؛ NL Scholarship (Nuffic/studyinnl)؛ utwente.nl؛ ru.nl؛ en.aau.dk (Finance and fees: ≈ ۱۵ بورس، $1,710/ماه)؛ sdu.dk؛ ethz.ch (ESOP)؛ epfl.ch؛ usi.ch / Fondazione per le Facoltà di Lugano؛ essex.ac.uk؛ tees.ac.uk؛ brunel.ac.uk؛ northumbria.ac.uk؛ chevening.org (Eligibility)؛ deutschlandstipendium.de — ⚠️ مبالغ چرخهٔ ۲۰۲۶/۲۷؛ برای ۲۰۲۷/۲۸ موقع اپلای دوباره ببینید. این ردیف امتیاز ردیف ۲۸ را عوض نمی‌کند (امتیازها با قیمت کامل حساب شده‌اند)</t>
        </is>
      </c>
    </row>
    <row r="8">
      <c r="A8" s="40" t="inlineStr">
        <is>
          <t>۶</t>
        </is>
      </c>
      <c r="B8" s="22" t="inlineStr">
        <is>
          <t>هزینه زندگی ماهانه واقعی دانشجو (و حداقل قانونی ویزا ۲۰۲۶)</t>
        </is>
      </c>
      <c r="C8" s="64" t="inlineStr">
        <is>
          <t>$1,080–1,420 (Dresden/Erlangen ارزان‌تر؛ Stuttgart/Darmstadt گران‌تر)
حداقل حساب مسدود: $1,130/ماه</t>
        </is>
      </c>
      <c r="D8" s="65" t="inlineStr">
        <is>
          <t>$1,250–1,710 در Enschede/Nijmegen
حداقل IND: $1,290/ماه</t>
        </is>
      </c>
      <c r="E8" s="66" t="inlineStr">
        <is>
          <t>$1,080–1,310
حداقل Migrationsverket: $1,080/ماه</t>
        </is>
      </c>
      <c r="F8" s="67" t="inlineStr">
        <is>
          <t>$1,220–1,530 در Aalborg/Odense
حداقل SIRI: $1,130/ماه</t>
        </is>
      </c>
      <c r="G8" s="68" t="inlineStr">
        <is>
          <t>Zürich: $2,300–3,030 (اتاق WOKO $605–1,090، اتاق خصوصی $970–1,450) · Lausanne: $2,060–2,660
Bern/Basel/Lucerne: $1,880–2,540 · Lugano/Fribourg/Neuchâtel: $1,630–2,180
حداقل رسمی: $25,400 در سال (Basel: $29,000)؛ کانتون زوریخ فقط حساب بانک مستقر در سوئیس به نام خودتان یا ضامن مقیم سوئیس را می‌پذیرد</t>
        </is>
      </c>
      <c r="H8" s="69" t="inlineStr">
        <is>
          <t>شمال انگلستان (Middlesbrough/Newcastle): $1,260–1,660
Leicester/Colchester/York: $1,330–1,790
London (Brunel): $1,860–2,390
حداقل ویزا: $1,550 / $2,030 در ماه (× ۹)؛ از ۳۰ نوامبر ۲۰۲۶: $1,590 / $2,080</t>
        </is>
      </c>
      <c r="I8" s="70" t="inlineStr">
        <is>
          <t>make-it-in-germany.com؛ ind.nl؛ migrationsverket.se؛ nyidanmark.dk؛ sem.admin.ch؛ gov.uk (HC 584)</t>
        </is>
      </c>
    </row>
    <row r="9">
      <c r="A9" s="40" t="inlineStr">
        <is>
          <t>۷</t>
        </is>
      </c>
      <c r="B9" s="22" t="inlineStr">
        <is>
          <t>هزینه سال اول = شهریه + ۱۲ ماه زندگی (دلار)</t>
        </is>
      </c>
      <c r="C9" s="64" t="inlineStr">
        <is>
          <t>$13,000–18,000 (Stuttgart تا $22,500؛ FAU از ۲۰۲۷ تا ≈ $26,000)</t>
        </is>
      </c>
      <c r="D9" s="65" t="inlineStr">
        <is>
          <t>$37,500–45,000</t>
        </is>
      </c>
      <c r="E9" s="66" t="inlineStr">
        <is>
          <t>$27,000–32,500</t>
        </is>
      </c>
      <c r="F9" s="67" t="inlineStr">
        <is>
          <t>$31,500–38,000</t>
        </is>
      </c>
      <c r="G9" s="68" t="inlineStr">
        <is>
          <t>$23,000–42,000 (Neuchâtel/Fribourg $23–31k · Lucerne $26–32k · Bern $27–35k · Lugano/Lausanne $30–37k · Zürich $30–42k)</t>
        </is>
      </c>
      <c r="H9" s="69" t="inlineStr">
        <is>
          <t>$38,000–65,000 (Teesside $38–42k · Northumbria $44–48k · Leicester/Essex $48–54k · Brunel/London $55–61k · York $60–65k)</t>
        </is>
      </c>
      <c r="I9" s="70" t="inlineStr">
        <is>
          <t>محاسبه از ردیف‌های ۴ و ۶؛ بدون بلیت، ویزا، بیمه، ودیعه (۱۰–۱۵٪ اضافه کنید)</t>
        </is>
      </c>
    </row>
    <row r="10">
      <c r="A10" s="40" t="inlineStr">
        <is>
          <t>۸</t>
        </is>
      </c>
      <c r="B10" s="22" t="inlineStr">
        <is>
          <t>هزینه کل تا فارغ‌التحصیلی (شهریه × سال‌ها + زندگی) — مهم‌ترین عدد مالی</t>
        </is>
      </c>
      <c r="C10" s="64" t="inlineStr">
        <is>
          <t>$27,000–36,000 (۲ سال؛ Stuttgart تا $45,000؛ FAU از ۲۰۲۷ تا ≈ $53,000) — ارزان‌ترین</t>
        </is>
      </c>
      <c r="D10" s="65" t="inlineStr">
        <is>
          <t>$75,000–90,000 (۲ سال) — گران‌ترین</t>
        </is>
      </c>
      <c r="E10" s="66" t="inlineStr">
        <is>
          <t>$54,000–65,000 (۲ سال)</t>
        </is>
      </c>
      <c r="F10" s="67" t="inlineStr">
        <is>
          <t>$63,000–76,000 (۲ سال)</t>
        </is>
      </c>
      <c r="G10" s="68" t="inlineStr">
        <is>
          <t>$35,000–84,000 (Neuchâtel/Fribourg ۱.۵ سال $35–47k · Bern $39–51k · UZH $45–58k · HSLU $53–64k · USI/EPFL $60–75k · ETH $66–84k) — بعد از هلند گران‌ترین؛ شهریه ناچیز است، هزینهٔ زندگی همه‌چیز را تعیین می‌کند</t>
        </is>
      </c>
      <c r="H10" s="69" t="inlineStr">
        <is>
          <t>$38,000–65,000 (۱ سال)</t>
        </is>
      </c>
      <c r="I10" s="70" t="inlineStr">
        <is>
          <t>محاسبه؛ جدول اول فقط سال اول را مقایسه کرده بود</t>
        </is>
      </c>
    </row>
    <row r="11">
      <c r="A11" s="40" t="inlineStr">
        <is>
          <t>۹</t>
        </is>
      </c>
      <c r="B11" s="22" t="inlineStr">
        <is>
          <t>بودجهٔ $40,000 در دو گام (تعریف شما، ۲۸ سپتامبر). گام ۱ = شهریهٔ کل دوره + مبلغ رسمی تمکن مالی سال اول ≤ $40,000 (آنچه سفارت/کانتون قبل از ویزا می‌بیند). گام ۲ = شهریه + n ماه زندگی واقعی [n = (۴۰,۰۰۰ − شهریه) ÷ زندگی ماهانهٔ شهر]، بعد کار دانشجویی با حداکثر ساعت قانونی × کف دستمزد در برابر زندگی → کسری تا پایان دوره</t>
        </is>
      </c>
      <c r="C11" s="64" t="inlineStr">
        <is>
          <t>گام ۱ ✅ همه: شهریه + حساب مسدود $13,600 ($13.6k) = Stuttgart $21.3k، Darmstadt $14.9k، Saarland $15.4k، Passau $14.3k. گام ۲ ✅ شهریه + تمام ۲۴ ماه زندگی واقعی (Darmstadt +$6.5k، Saarland +$11k، Passau +$12k؛ Stuttgart ۲۳.۱ ماه)؛ کار ۲۰ ساعت × $16.6 (حداقل قانونی ۲۰۲۷) ≈ $1,305 خالص ≥ زندگی $1,140–1,400. ⚠️ حساب مسدود فقط $1,130/ماه آزاد می‌کند؛ بقیهٔ زندگی واقعی از همان $40k</t>
        </is>
      </c>
      <c r="D11" s="71" t="inlineStr">
        <is>
          <t>❌ گام ۱: شهریه + تمکن $15,500 ($15.5k) = Twente $65k، Radboud $60.4k، UvA یک‌ساله $54.6k. گام ۲ هم منفی (UvA: ۰.۵ ماه + کار ۱۶ ساعت × $16.8 ≈ $1,090 در برابر $1,710 → کسری $6.5k)</t>
        </is>
      </c>
      <c r="E11" s="66" t="inlineStr">
        <is>
          <t>گام ۱ (تمکن $1,080 × ۱۰ = $10.8k در حساب خودتان + قسط اول شهریه): BTH $39k ✅، MDU $38k ✅، LiU $44.3k ❌. گام ۲ ⚠️: بدون سقف قانونی کار؛ ۲۰ ساعت × ≈ $15 ≈ $1,130 خالص ≥ زندگی $1,060–1,160 → روی کاغذ بعد از ۱۱ ماهِ پوشش کسری صفر؛ مشکل واقعی: کار انگلیسی‌زبان نایاب ($350–900 واقعی) → عملاً فقط با بورس (MDU تا ۱۰۰٪، LiU ۵۰٪)</t>
        </is>
      </c>
      <c r="F11" s="67" t="inlineStr">
        <is>
          <t>گام ۱ روی کاغذ ✅ (با پرداخت شهریه از اثبات تمکن معاف‌اید؛ وگرنه $1,130 × ۱۲). گام ۲ ❌: AAU شهریه $35,000 + ۳.۸ ماه؛ ۲۰ ساعت × $21 ≈ $1,330 ≈ زندگی $1,335 → روی کاغذ سر به سر، ولی کار از ماه ۴ بدون دانمارکی غیرواقعی + ویزا از تهران ✗؛ SDU $39,400 + ۰.۴ ماه</t>
        </is>
      </c>
      <c r="G11" s="68" t="inlineStr">
        <is>
          <t>گام ۱ (تمکن $25,400 در بانک به نام خودتان؛ Basel $29,000): Neuchâtel $28.3k ✅ · Fribourg $29k ✅ · Basel $32.1k ✅ · HSLU $33k ✅ · UZH $28.6k ✅ · ETH $36.4k ✅ · USI $44.8k ❌. گام ۲: کار ممنوع تا ماه ۶، بعد ۱۵ ساعت × کف کانتونی (Basel $26.9 · Neuchâtel $25.8 · شهر لوسرن $26.6) ≈ $1,530–1,590 خالص در برابر زندگی $1,875–2,240 → Neuchâtel $2,870 + ۱۹.۸ ماه (تمام ۱۸) ✅ · Fribourg ۱۸.۳ ✅ · Basel ۱۶.۵ از ۱۸ → کسری کل ≈ $200 ✅ · HSLU ۱۵.۳ از ۲۴ → ≈ $4.3k ⚠️ (قانوناً ۱۰۰٪ در تعطیلات ترم، تا ≈ $7k/سال) · UZH ۱۳.۸ از ۱۸ → ≈ $2.6k (Reach) · ETH ۱۰.۹ از ۲۴ → ≈ $11k ❌</t>
        </is>
      </c>
      <c r="H11" s="69" t="inlineStr">
        <is>
          <t>گام ۱ (شهریهٔ سال + ۹ × $1,590 = $14.3k؛ لندن ۹ × $2,080 = $18.7k؛ ۲۸ روز؛ حساب والدین مجاز): Teesside $36.9k ✅ · Essex (با بورس در CAS) $41.1k ⚠️ · Manchester Met $42.2k ⚠️ · Northumbria $42.8k ⚠️ ($1.1–2.8k بیشتر — فقط اگر خانواده ۲۸ روز نشان دهد) · Leicester $46.5k ❌ · Brunel $51.6k ❌ · Russell Group ❌. گام ۲ ✅: ۲۰ ساعت × $16.8 ≈ $1,440 خالص ≈ زندگی ($1,390–1,590) → بعد از n ماه (Teesside ۱۲.۶، Essex ۸.۵، Northumbria ۷.۹، MMU ۷.۷) کسری ماهانه فقط $20–150</t>
        </is>
      </c>
      <c r="I11" s="70" t="inlineStr">
        <is>
          <t>محاسبه در شیت «تصمیم» بخش پ. مبالغ رسمی تمکن ۲۰۲۶: Auswärtiges Amt $13,600 · UKVI $1,590/ماه خارج لندن ($2,080 لندن) × ۹ · SEM/کانتون $25,400 · Migrationsverket $1,080/ماه · IND $1,290/ماه · SIRI $1,130/ماه (معاف با پرداخت شهریه). سقف قانونی کار: آلمان ۲۰ ساعت (۱۴۰ روز کامل/سال) · انگلستان ۲۰ ساعت در ترم · سوئیس ۰ تا ماه ۶، بعد ۱۵ ساعت (۱۰۰٪ در تعطیلات ترم) · هلند ۱۶ ساعت + TWV · سوئد بدون سقف · دانمارک ۲۰ ساعت. دستمزد = حداقل قانونی/کانتونی (آلمان ۲۰۲۷ $16.6؛ انگلستان $16.8؛ هلند $16.8؛ کانتون‌های سوئیس) یا کف معمول (سوئد $15، دانمارک $21)؛ خالص بعد از کسورات دانشجویی</t>
        </is>
      </c>
    </row>
    <row r="12">
      <c r="A12" s="40" t="inlineStr">
        <is>
          <t>۱۰</t>
        </is>
      </c>
      <c r="B12" s="22" t="inlineStr">
        <is>
          <t>مسکن در بدو ورود</t>
        </is>
      </c>
      <c r="C12" s="64" t="inlineStr">
        <is>
          <t>خوابگاه Studierendenwerk با لیست انتظار؛ Stuttgart و Darmstadt سخت، Dresden و Erlangen آسان‌تر. بلافاصله بعد از پذیرش ثبت‌نام کنید.</t>
        </is>
      </c>
      <c r="D12" s="65" t="inlineStr">
        <is>
          <t>کمبود شدید ملی؛ ولی Twente (کمپوس) و Radboud/SSH&amp; اتاق رزروشده برای بین‌المللی‌ها دارند — مهلت را از دست ندهید.</t>
        </is>
      </c>
      <c r="E12" s="66" t="inlineStr">
        <is>
          <t>تضمین سراسری نیست: Linköping به شهریه‌پردازها یک پیشنهاد اتاق برای سال اول می‌دهد؛ Halmstad تضمین ندارد؛ BTH تأیید نشد.</t>
        </is>
      </c>
      <c r="F12" s="67" t="inlineStr">
        <is>
          <t>دفتر اسکان بین‌المللی AAU/SDU؛ Aalborg و Odense نسبتاً در دسترس.</t>
        </is>
      </c>
      <c r="G12" s="68" t="inlineStr">
        <is>
          <t>Zürich بحرانی: WOKO/Juwo ($605–1,090) لیست انتظار ۳–۱۲ ماه، بازار خصوصی بسیار رقابتی؛ Lausanne خوابگاه‌های FMEL (زود پر می‌شود)؛ Lugano/Fribourg/Neuchâtel/Bern/Lucerne آسان‌تر و ارزان‌تر ($605–970). روز دریافت پذیرش ثبت‌نام کنید.</t>
        </is>
      </c>
      <c r="H12" s="69" t="inlineStr">
        <is>
          <t>معمولاً تضمین خوابگاه سال اول برای بین‌المللی‌ها اگر تا مهلت درخواست دهید.</t>
        </is>
      </c>
      <c r="I12" s="70" t="inlineStr">
        <is>
          <t>سایت دانشگاه‌ها؛ hh.se (Find Accommodation)؛ liu.se</t>
        </is>
      </c>
    </row>
    <row r="13">
      <c r="A13" s="40" t="inlineStr">
        <is>
          <t>۱۱</t>
        </is>
      </c>
      <c r="B13" s="22" t="inlineStr">
        <is>
          <t>سقف قانونی کار دانشجویی</t>
        </is>
      </c>
      <c r="C13" s="64" t="inlineStr">
        <is>
          <t>۱۴۰ روز کامل یا ۲۸۰ نیم‌روز در سال (Werkstudent تا ۲۰ ساعت/هفته در ترم)</t>
        </is>
      </c>
      <c r="D13" s="65" t="inlineStr">
        <is>
          <t>۱۶ ساعت/هفته (کارفرما TWV می‌گیرد) یا تمام‌وقت در ژوئن–اوت</t>
        </is>
      </c>
      <c r="E13" s="66" t="inlineStr">
        <is>
          <t>از ۱۱ ژوئن ۲۰۲۶: حداکثر ۱۵ ساعت/هفته در ترم؛ ژوئن–اوت بدون سقف. تخلف = لغو اقامت. + حداقل پیشرفت تحصیلی ۳۷.۵ واحد سال اول / ۴۵ واحد بعد</t>
        </is>
      </c>
      <c r="F13" s="67" t="inlineStr">
        <is>
          <t>۹۰ ساعت/ماه (سپتامبر–مه) + تمام‌وقت ژوئن–اوت</t>
        </is>
      </c>
      <c r="G13" s="68" t="inlineStr">
        <is>
          <t>غیر-EU: ۶ ماه اول هیچ؛ بعد از آن ۱۵ ساعت/هفته در ترم و تمام‌وقت در تعطیلات؛ کارفرما باید مجوز کانتونی بگیرد؛ کل دورهٔ تحصیل در سوئیس حداکثر ۸ سال</t>
        </is>
      </c>
      <c r="H13" s="69" t="inlineStr">
        <is>
          <t>۲۰ ساعت/هفته در ترم؛ تمام‌وقت در تعطیلات</t>
        </is>
      </c>
      <c r="I13" s="70" t="inlineStr">
        <is>
          <t>make-it-in-germany.com؛ ind.nl؛ migrationsverket.se (خبر ۲۵ مه ۲۰۲۶)؛ nyidanmark.dk؛ sem.admin.ch؛ gov.uk</t>
        </is>
      </c>
    </row>
    <row r="14">
      <c r="A14" s="40" t="inlineStr">
        <is>
          <t>۱۲</t>
        </is>
      </c>
      <c r="B14" s="22" t="inlineStr">
        <is>
          <t>درآمد واقع‌بینانه کار حین تحصیل (ناخالص، ماهانه)</t>
        </is>
      </c>
      <c r="C14" s="64" t="inlineStr">
        <is>
          <t>$1,140–1,820 (Werkstudent فنی $17–23/ساعت؛ برای رشته شما فراوان)</t>
        </is>
      </c>
      <c r="D14" s="65" t="inlineStr">
        <is>
          <t>تا ≈ $1,140 (۱۶ ساعت × $16.8)؛ یافتن کارفرمای TWV‌گیر سخت</t>
        </is>
      </c>
      <c r="E14" s="66" t="inlineStr">
        <is>
          <t>$340–910 (سقف ۱۵ ساعت؛ کار برای غیرسوئدی‌زبان کمیاب)</t>
        </is>
      </c>
      <c r="F14" s="67" t="inlineStr">
        <is>
          <t>$1,220–1,830 اگر کار پیدا شود؛ اکثر کارهای خدماتی دانمارکی می‌خواهند</t>
        </is>
      </c>
      <c r="G14" s="68" t="inlineStr">
        <is>
          <t>بعد از ماه ششم: ≈ $1,570–2,180 (۱۵ ساعت × $27–34؛ دستیاری آموزشی/پژوهشی در ETH/UZH/ZHAW رایج)</t>
        </is>
      </c>
      <c r="H14" s="69" t="inlineStr">
        <is>
          <t>تا ≈ $1,460 (۲۰ ساعت × $16.8)</t>
        </is>
      </c>
      <c r="I14" s="70" t="inlineStr">
        <is>
          <t>حداقل دستمزدهای ۲۰۲۶؛ برآورد. درآمد دانشجویی را در تأمین مالی ویزا حساب نکنید.</t>
        </is>
      </c>
    </row>
    <row r="15">
      <c r="A15" s="40" t="inlineStr">
        <is>
          <t>۱۳</t>
        </is>
      </c>
      <c r="B15" s="22" t="inlineStr">
        <is>
          <t>زبان محیط کار فنی (IT)</t>
        </is>
      </c>
      <c r="C15" s="64" t="inlineStr">
        <is>
          <t>انگلیسی در استارتاپ‌ها/شرکت‌های بزرگ (Berlin، Munich، Hamburg) کافی؛ اکثر آگهی‌های IT آلمانی B2 می‌خواهند → بدون آلمانی حدود نیمی از بازار بسته است.</t>
        </is>
      </c>
      <c r="D15" s="65" t="inlineStr">
        <is>
          <t>انگلیسی در tech رایج و کافی؛ نه ۱۰۰٪.</t>
        </is>
      </c>
      <c r="E15" s="66" t="inlineStr">
        <is>
          <t>انگلیسی در tech رایج (Stockholm، Göteborg)؛ بازار ۲۰۲۴–۲۶ ضعیف (بیکاری ≈ ۹٪).</t>
        </is>
      </c>
      <c r="F15" s="67" t="inlineStr">
        <is>
          <t>انگلیسی برای بخشی از نقش‌های IT در Copenhagen/Aarhus کافی؛ برای اکثر نقش‌ها دانمارکی B1–B2 ترجیح دارد؛ در Aalborg/Odense سخت‌تر.</t>
        </is>
      </c>
      <c r="G15" s="68" t="inlineStr">
        <is>
          <t>Zürich: انگلیسی در Big Tech (Google ≈ ۵ هزار نفر، Microsoft، Meta، Apple، Nvidia، OpenAI/Anthropic)، بانک‌ها و استارتاپ‌های ETH کافی؛ Lausanne/Geneva: انگلیسی + فرانسه؛ SMEهای آلمانی‌زبان و Lugano (ایتالیایی) زبان محلی می‌خواهند → بدون آلمانی/فرانسه ≈ نیمی از بازار بسته</t>
        </is>
      </c>
      <c r="H15" s="69" t="inlineStr">
        <is>
          <t>۱۰۰٪ انگلیسی؛ بازار جونیور ۲۰۲۵–۲۶ بسیار رقابتی.</t>
        </is>
      </c>
      <c r="I15" s="70" t="inlineStr">
        <is>
          <t>workindenmark.dk؛ آگهی‌های StepStone/LinkedIn؛ ارزیابی</t>
        </is>
      </c>
    </row>
    <row r="16">
      <c r="A16" s="40" t="inlineStr">
        <is>
          <t>۱۴</t>
        </is>
      </c>
      <c r="B16" s="22" t="inlineStr">
        <is>
          <t>زبان برای امور اداری و زندگی روزمره</t>
        </is>
      </c>
      <c r="C16" s="64" t="inlineStr">
        <is>
          <t>قانوناً برای تحصیل لازم نیست؛ عملاً A2–B1 (اداره اتباع، اجاره، بیمه، مالیات).</t>
        </is>
      </c>
      <c r="D16" s="65" t="inlineStr">
        <is>
          <t>انگلیسی کافی؛ نامه‌های رسمی هلندی.</t>
        </is>
      </c>
      <c r="E16" s="66" t="inlineStr">
        <is>
          <t>انگلیسی کافی.</t>
        </is>
      </c>
      <c r="F16" s="67" t="inlineStr">
        <is>
          <t>انگلیسی روزمره کافی؛ سامانه‌ها و نامه‌ها دانمارکی.</t>
        </is>
      </c>
      <c r="G16" s="68" t="inlineStr">
        <is>
          <t>رسمی: آلمانی / فرانسه / ایتالیایی بسته به کانتون؛ نامه‌های ادارهٔ مهاجرت، بیمه، اجاره و مالیات به زبان محلی؛ انگلیسی در زوریخ/ژنو/لوزان برای روزمره کافی است، ولی سوئیسی‌آلمانی (گویش) در محیط اجتماعی مانع است</t>
        </is>
      </c>
      <c r="H16" s="69" t="inlineStr">
        <is>
          <t>انگلیسی.</t>
        </is>
      </c>
      <c r="I16" s="70" t="inlineStr">
        <is>
          <t>تجربه عمومی؛ ارزیابی</t>
        </is>
      </c>
    </row>
    <row r="17">
      <c r="A17" s="40" t="inlineStr">
        <is>
          <t>۱۵</t>
        </is>
      </c>
      <c r="B17" s="22" t="inlineStr">
        <is>
          <t>مجوز اقامت پس از تحصیل برای جست‌وجوی کار</t>
        </is>
      </c>
      <c r="C17" s="64" t="inlineStr">
        <is>
          <t>۱۸ ماه (§20 AufenthG) — هر کاری مجاز</t>
        </is>
      </c>
      <c r="D17" s="65" t="inlineStr">
        <is>
          <t>۱۲ ماه (zoekjaar) — تا ۳ سال بعد از مدرک قابل درخواست؛ $290</t>
        </is>
      </c>
      <c r="E17" s="66" t="inlineStr">
        <is>
          <t>۱۲ ماه — با اثبات تمکن $1,080/ماه برای کل دوره</t>
        </is>
      </c>
      <c r="F17" s="67" t="inlineStr">
        <is>
          <t>۳ سال، خودکار همراه مجوز تحصیلی برای ارشد state-approved (AAU/SDU) — تا گرفتن «مجوز کار نامحدود» فقط ۹۰ ساعت/ماه</t>
        </is>
      </c>
      <c r="G17" s="68" t="inlineStr">
        <is>
          <t>فقط ۶ ماه (مجوز L برای جست‌وجوی کار، مادهٔ ۲۱ بند ۳ FNIA) — کوتاه‌ترین در بین ۶ کشور؛ کار در این مدت تا ۱۵ ساعت/هفته</t>
        </is>
      </c>
      <c r="H17" s="69" t="inlineStr">
        <is>
          <t>۱۸ ماه Graduate visa برای درخواست‌های از ۱ ژانویه ۲۰۲۷ — $1,240 + IHS $1,370/سال</t>
        </is>
      </c>
      <c r="I17" s="70" t="inlineStr">
        <is>
          <t>make-it-in-germany.com؛ ind.nl؛ migrationsverket.se؛ nyidanmark.dk؛ sem.admin.ch؛ gov.uk (Statement of Changes ۱۴ اکتبر ۲۰۲۵)</t>
        </is>
      </c>
    </row>
    <row r="18">
      <c r="A18" s="40" t="inlineStr">
        <is>
          <t>۱۶</t>
        </is>
      </c>
      <c r="B18" s="22" t="inlineStr">
        <is>
          <t>حداقل حقوق برای ویزای کار (سطوح ۲۰۲۶)</t>
        </is>
      </c>
      <c r="C18" s="64" t="inlineStr">
        <is>
          <t>بلوکارت: $57,800 عمومی / $52,400 برای IT و تازه‌فارغ‌التحصیلان (تا ۳ سال بعد از مدرک)
مجوز کار §18b برای فارغ‌التحصیلان آلمان: بدون کف ثابت</t>
        </is>
      </c>
      <c r="D18" s="65" t="inlineStr">
        <is>
          <t>HSM کاهش‌یافته برای فارغ‌التحصیلان هلند (تا ۳ سال): $3,560/ماه بدون حق تعطیلات ≈ $46,200/سال
زیر ۳۰ سال عادی: $4,970/ماه</t>
        </is>
      </c>
      <c r="E18" s="66" t="inlineStr">
        <is>
          <t>$3,480/ماه (۹۰٪ میانه؛ از ۱۶ ژوئن ۲۰۲۶)
فارغ‌التحصیلان سوئد که از داخل درخواست دهند: ۷۵٪ = $2,900/ماه
هر ژوئن به‌روز می‌شود</t>
        </is>
      </c>
      <c r="F18" s="67" t="inlineStr">
        <is>
          <t>Positive List (مشاغل IT): کف ثابت ندارد (حقوق مطابق استاندارد دانمارکی)
Pay Limit: $84,300 · Supplementary: $68,100</t>
        </is>
      </c>
      <c r="G18" s="68" t="inlineStr">
        <is>
          <t>کف عددی ندارد ولی حقوق باید «متعارف محل/رشته» باشد. فارغ‌التحصیل سوئیس از «اولویت داخلی/EU» معاف است اگر شغل «منفعت علمی/اقتصادی بالا» داشته باشد؛ ⚠️ ولی سهمیهٔ سالانهٔ اتباع غیر-EU (۲۰۲۶: ۴,۵۰۰ مجوز B + ۴,۰۰۰ L؛ معمولاً ≈ ۶۵–۷۰٪ مصرف می‌شود) شامل شما هم می‌شود — طرح معافیت فارغ‌التحصیلان (22.067) از ۲۰۲۳ در پارلمان متوقف مانده</t>
        </is>
      </c>
      <c r="H18" s="69" t="inlineStr">
        <is>
          <t>Skilled Worker: بالاترینِ $55,300 و نرخ شغل؛ نرخ SOC 2134 (توسعه‌دهنده) = $72,500
تازه‌کار (حداکثر ۴ سال): ۷۰٪ = $50,700
+ انگلیسی B2 (از ۸ ژانویه ۲۰۲۶)</t>
        </is>
      </c>
      <c r="I18" s="70" t="inlineStr">
        <is>
          <t>make-it-in-germany.com؛ ind.nl؛ migrationsverket.se؛ nyidanmark.dk؛ sem.admin.ch (Art. 21 FNIA)؛ gov.uk Appendix Skilled Occupations</t>
        </is>
      </c>
    </row>
    <row r="19">
      <c r="A19" s="40" t="inlineStr">
        <is>
          <t>۱۷</t>
        </is>
      </c>
      <c r="B19" s="22" t="inlineStr">
        <is>
          <t>حقوق ورودی جونیور توسعه‌دهنده (ناخالص سالانه، ۲۰۲۶)</t>
        </is>
      </c>
      <c r="C19" s="64" t="inlineStr">
        <is>
          <t>$54,700–62,700 (با ارشد ≈ $63k)</t>
        </is>
      </c>
      <c r="D19" s="65" t="inlineStr">
        <is>
          <t>$45,600–57,000 (Amsterdam بالاتر)</t>
        </is>
      </c>
      <c r="E19" s="66" t="inlineStr">
        <is>
          <t>$42,400–54,500 ($3.5–4.5k در ماه)</t>
        </is>
      </c>
      <c r="F19" s="67" t="inlineStr">
        <is>
          <t>$76,300–82,400 (IDA 2026: تازه‌فارغ‌التحصیل ≈ $6,690/ماه با بازنشستگی)</t>
        </is>
      </c>
      <c r="G19" s="68" t="inlineStr">
        <is>
          <t>$103,000–127,000 (میانهٔ Glassdoor زوریخ $111k؛ ETH/EPFL $109–143k؛ Big Tech $133–200k) — بالاترین در بین ۶ کشور</t>
        </is>
      </c>
      <c r="H19" s="69" t="inlineStr">
        <is>
          <t>$37,100–46,400 خارج لندن (Manchester/Leeds/Newcastle)؛ London $42,400–59,600 — اغلب زیر کف اسپانسری $50,700</t>
        </is>
      </c>
      <c r="I19" s="70" t="inlineStr">
        <is>
          <t>StepStone؛ Glassdoor؛ IDA؛ Reed — برآورد بازار، نه آمار رسمی</t>
        </is>
      </c>
    </row>
    <row r="20">
      <c r="A20" s="40" t="inlineStr">
        <is>
          <t>۱۸</t>
        </is>
      </c>
      <c r="B20" s="22" t="inlineStr">
        <is>
          <t>خالص ماهانه تقریبی (بعد از مالیات)</t>
        </is>
      </c>
      <c r="C20" s="64" t="inlineStr">
        <is>
          <t>$3,080–3,420</t>
        </is>
      </c>
      <c r="D20" s="65" t="inlineStr">
        <is>
          <t>$3,080–3,530 (بدون قاعده ۳۰٪)</t>
        </is>
      </c>
      <c r="E20" s="66" t="inlineStr">
        <is>
          <t>$2,850–3,310</t>
        </is>
      </c>
      <c r="F20" s="67" t="inlineStr">
        <is>
          <t>$3,760–4,220</t>
        </is>
      </c>
      <c r="G20" s="68" t="inlineStr">
        <is>
          <t>≈ $6,900–8,110 (مالیات + بیمه‌های اجتماعی ≈ ۲۰–۲۵٪ برای مجرد در زوریخ)؛ بیمهٔ درمانی اجباری $425–545/ماه جداگانه از جیب</t>
        </is>
      </c>
      <c r="H20" s="69" t="inlineStr">
        <is>
          <t>$2,650–3,310</t>
        </is>
      </c>
      <c r="I20" s="70" t="inlineStr">
        <is>
          <t>ماشین‌حساب‌های مالیاتی ۲۰۲۶ (کلاس مالیاتی مجرد)</t>
        </is>
      </c>
    </row>
    <row r="21">
      <c r="A21" s="40" t="inlineStr">
        <is>
          <t>۱۹</t>
        </is>
      </c>
      <c r="B21" s="22" t="inlineStr">
        <is>
          <t>پس‌انداز ماهانه تخمینی جونیور (خالص − هزینه زندگی یک نفر شاغل)</t>
        </is>
      </c>
      <c r="C21" s="64" t="inlineStr">
        <is>
          <t>$1,140–1,710</t>
        </is>
      </c>
      <c r="D21" s="65" t="inlineStr">
        <is>
          <t>$800–1,370</t>
        </is>
      </c>
      <c r="E21" s="66" t="inlineStr">
        <is>
          <t>$1,030–1,600</t>
        </is>
      </c>
      <c r="F21" s="67" t="inlineStr">
        <is>
          <t>$1,250–1,820</t>
        </is>
      </c>
      <c r="G21" s="68" t="inlineStr">
        <is>
          <t>$1,820–3,630 در زوریخ (استودیو $1,690–2,300 + بیمه ≈ $485) — بیشترین پس‌انداز مطلق بین ۶ کشور، اگر شغل بگیرید</t>
        </is>
      </c>
      <c r="H21" s="69" t="inlineStr">
        <is>
          <t>$530–1,190</t>
        </is>
      </c>
      <c r="I21" s="70" t="inlineStr">
        <is>
          <t>برآورد؛ هزینه زندگی شاغل: DE $1,600–1,940 · NL $1,940–2,390 · SE $1,480–1,820 · DK $2,170–2,620 · CH $3,870–4,600 · UK $1,720–2,250</t>
        </is>
      </c>
    </row>
    <row r="22">
      <c r="A22" s="40" t="inlineStr">
        <is>
          <t>۲۰</t>
        </is>
      </c>
      <c r="B22" s="22" t="inlineStr">
        <is>
          <t>اقامت دائم (PR) — زمان و شرط اصلی</t>
        </is>
      </c>
      <c r="C22" s="64" t="inlineStr">
        <is>
          <t>۲ سال کار برای فارغ‌التحصیل آلمان با B1 (§18c)؛ بلوکارت: ۲۱ ماه با B1 / ۲۷ ماه با A1</t>
        </is>
      </c>
      <c r="D22" s="65" t="inlineStr">
        <is>
          <t>۵ سال اقامت قانونی (سال‌های تحصیل نصف حساب می‌شود) + inburgering</t>
        </is>
      </c>
      <c r="E22" s="66" t="inlineStr">
        <is>
          <t>۴ سال مجوز کار در ۷ سال اخیر + خودکفایی (تحصیل حساب نمی‌شود)</t>
        </is>
      </c>
      <c r="F22" s="67" t="inlineStr">
        <is>
          <t>۸ سال (یا ۴ سال با هر ۴ شرط تکمیلی) + ۳.۵ سال کار تمام‌وقت در ۴ سال اخیر</t>
        </is>
      </c>
      <c r="G22" s="68" t="inlineStr">
        <is>
          <t>اجازهٔ اقامت C: برای ایرانی‌ها ۱۰ سال (۵ سال آخر پیوسته با B)؛ سال‌های دانشجویی فقط اگر بعدش ۲ سال پیوسته اجازهٔ B داشته باشید حساب می‌شود؛ C زودهنگام ۵ ساله فقط با «ادغام موفق» و B1 شفاهی به صلاحدید کانتون — سخت‌ترین مسیر در بین ۶ کشور</t>
        </is>
      </c>
      <c r="H22" s="69" t="inlineStr">
        <is>
          <t>فعلاً ۵ سال Skilled Worker (Graduate visa حساب نمی‌شود)؛ طرح Earned Settlement با پایه ۱۰ سال در دستور کار دولت (تا سپتامبر ۲۰۲۶ قانون نشده)</t>
        </is>
      </c>
      <c r="I22" s="70" t="inlineStr">
        <is>
          <t>make-it-in-germany.com؛ ind.nl؛ migrationsverket.se؛ nyidanmark.dk؛ sem.admin.ch؛ gov.uk / Home Affairs Committee</t>
        </is>
      </c>
    </row>
    <row r="23">
      <c r="A23" s="40" t="inlineStr">
        <is>
          <t>۲۱</t>
        </is>
      </c>
      <c r="B23" s="22" t="inlineStr">
        <is>
          <t>آزمون زبان محلی برای PR</t>
        </is>
      </c>
      <c r="C23" s="64" t="inlineStr">
        <is>
          <t>B1 آلمانی (A1 فقط با بلوکارت ۲۷ ماهه)</t>
        </is>
      </c>
      <c r="D23" s="65" t="inlineStr">
        <is>
          <t>A2 فعلی → B1 (تصمیم کابینه، فوریه ۲۰۲۶)</t>
        </is>
      </c>
      <c r="E23" s="66" t="inlineStr">
        <is>
          <t>هیچ (برای PR)</t>
        </is>
      </c>
      <c r="F23" s="67" t="inlineStr">
        <is>
          <t>Prøve i Dansk 2 (≈ B1) برای مسیر ۸ ساله؛ PD3 (≈ B2) برای مسیر ۴ ساله</t>
        </is>
      </c>
      <c r="G23" s="68" t="inlineStr">
        <is>
          <t>A2 شفاهی + A1 کتبی زبان محلی (آزمون fide) برای C ۱۰ ساله؛ B1 شفاهی برای C زودهنگام ۵ ساله → بدون زبان سوم PR نمی‌گیرید</t>
        </is>
      </c>
      <c r="H23" s="69" t="inlineStr">
        <is>
          <t>انگلیسی B2 از ۲۶ مارس ۲۰۲۷ + آزمون Life in the UK (زبان سوم نیست)</t>
        </is>
      </c>
      <c r="I23" s="70" t="inlineStr">
        <is>
          <t>BAMF؛ ind.nl؛ migrationsverket.se؛ nyidanmark.dk؛ sem.admin.ch؛ gov.uk (HC 1691)</t>
        </is>
      </c>
    </row>
    <row r="24">
      <c r="A24" s="40" t="inlineStr">
        <is>
          <t>۲۲</t>
        </is>
      </c>
      <c r="B24" s="22" t="inlineStr">
        <is>
          <t>شهروندی (جدا از PR)</t>
        </is>
      </c>
      <c r="C24" s="64" t="inlineStr">
        <is>
          <t>۵ سال + B1 + آزمون تابعیت (تحصیل حساب می‌شود)</t>
        </is>
      </c>
      <c r="D24" s="65" t="inlineStr">
        <is>
          <t>۵ سال + inburgering (A2 → B1)</t>
        </is>
      </c>
      <c r="E24" s="66" t="inlineStr">
        <is>
          <t>از ۶ ژوئن ۲۰۲۶: ۸ سال + آزمون مدنی + آزمون زبان (از اکتبر ۲۰۲۷) + کف درآمد</t>
        </is>
      </c>
      <c r="F24" s="67" t="inlineStr">
        <is>
          <t>۹ سال + PD3 + آزمون تابعیت + اشتغال ۳.۵ سال از ۴ سال</t>
        </is>
      </c>
      <c r="G24" s="68" t="inlineStr">
        <is>
          <t>۱۰ سال اقامت (سال‌های ۸ تا ۱۸ سالگی دوبرابر) + اجازهٔ C + B1 شفاهی / A2 کتبی + شرایط کانتون و شهرداری (۲–۵ سال اقامت محلی) — سخت‌ترین در اروپا</t>
        </is>
      </c>
      <c r="H24" s="69" t="inlineStr">
        <is>
          <t>ILR + ۱۲ ماه؛ B1/B2 + Life in the UK</t>
        </is>
      </c>
      <c r="I24" s="70" t="inlineStr">
        <is>
          <t>قوانین تابعیت ۲۰۲۶؛ migrationsverket.se؛ nyidanmark.dk؛ sem.admin.ch</t>
        </is>
      </c>
    </row>
    <row r="25">
      <c r="A25" s="40" t="inlineStr">
        <is>
          <t>۲۳</t>
        </is>
      </c>
      <c r="B25" s="22" t="inlineStr">
        <is>
          <t>فرایند ویزا برای پاسپورت ایرانی — وضعیت سپتامبر ۲۰۲۶ (بسیار متغیر)</t>
        </is>
      </c>
      <c r="C25" s="64" t="inlineStr">
        <is>
          <t>سفارت تهران در «حالت اضطراری»؛ بخش ویزا به روی مراجعان عادی بسته. TLScontact از ۱۵ ژوئیه ۲۰۲۶ لیست انتظار دانشجویی باز کرده ولی وقت نمی‌دهد. صدور ویزا: ۴۶هزار (۲۰۲۴) → ۲۳هزار (۲۰۲۵) → ≈ ۱٬۳۰۰ اوایل ۲۰۲۶. ارجاع موردی به ایروان/استانبول. حتی در شرایط عادی لیست انتظار ۶–۱۸ ماه.</t>
        </is>
      </c>
      <c r="D25" s="65" t="inlineStr">
        <is>
          <t>دانشگاه درخواست را در IND ثبت می‌کند (TEV) ✓؛ ولی سفارت هلند موقتاً به باکو منتقل شده و MVV در ایران صادر نمی‌شود.</t>
        </is>
      </c>
      <c r="E25" s="66" t="inlineStr">
        <is>
          <t>درخواست آنلاین در Migrationsverket؛ بررسی دیجیتال پاسپورت؛ سفارت تهران فعلاً بیومتریک/کارت اقامت نمی‌گیرد (ژوئیه ۲۰۲۶).</t>
        </is>
      </c>
      <c r="F25" s="67" t="inlineStr">
        <is>
          <t>«در حال حاضر امکان درخواست از ایران وجود ندارد» (سفارت دانمارک، ۲۰۲۶) — باید از SIRI بخواهید پرونده به نمایندگی دیگری در منطقه برود؛ بیومتریک ظرف ۱۴ روز.</t>
        </is>
      </c>
      <c r="G25" s="68" t="inlineStr">
        <is>
          <t>سفارت سوئیس در تهران باز است: ویزای D (تحصیلی) با وقت قبلی پذیرفته می‌شود، ویزای C فعلاً خیر (اطلاعیهٔ ۳۰ ژانویه ۲۰۲۶؛ در جنگ ژوئن ۲۰۲۵ دو هفته بسته بود). تصمیم را ادارهٔ مهاجرت کانتون می‌گیرد: ۸–۱۲ هفته؛ ETH تأییدیهٔ ثبت‌نام برای ویزا را از می ۲۰۲۷ می‌دهد. ⚠️ گلوگاه اصلی: اثبات تمکن (ردیف ۲۵).</t>
        </is>
      </c>
      <c r="H25" s="69" t="inlineStr">
        <is>
          <t>درخواست آنلاین gov.uk + بیومتریک در VAC؛ VFS تهران در ۲۰۲۶ متناوباً بسته/باز شده؛ می‌توان از VAC کشور ثالث اقدام کرد. «قانون ۲۸ روز» مربوط به تمکن مالی است، نه VFS.</t>
        </is>
      </c>
      <c r="I25" s="70" t="inlineStr">
        <is>
          <t>visas-de.tlscontact.com؛ netherlandsworldwide.nl؛ swedenabroad.se؛ iran.um.dk؛ eda.admin.ch/tehran؛ gov.uk — برنامه B: اقدام از ترکیه/ارمنستان/امارات</t>
        </is>
      </c>
    </row>
    <row r="26">
      <c r="A26" s="40" t="inlineStr">
        <is>
          <t>۲۴</t>
        </is>
      </c>
      <c r="B26" s="22" t="inlineStr">
        <is>
          <t>نمره انگلیسی برنامه‌های هدف</t>
        </is>
      </c>
      <c r="C26" s="64" t="inlineStr">
        <is>
          <t>TU Darmstadt، TU Dresden، Stuttgart: C1 / IELTS 7.0 (Dresden: هر بخش ≥ B2)
FAU (AI): B2 / IELTS 6.5</t>
        </is>
      </c>
      <c r="D26" s="65" t="inlineStr">
        <is>
          <t>IELTS 6.5 (هر بخش ≥ 6.0)</t>
        </is>
      </c>
      <c r="E26" s="66" t="inlineStr">
        <is>
          <t>IELTS 6.5 (هر بخش ≥ 5.5)</t>
        </is>
      </c>
      <c r="F26" s="67" t="inlineStr">
        <is>
          <t>IELTS 6.5</t>
        </is>
      </c>
      <c r="G26" s="68" t="inlineStr">
        <is>
          <t>USI: B2 در ورود (IELTS 5.5–6.5) و C1 تا فارغ‌التحصیلی · HSLU: C1 (B2 مشروط) · Joint MSc CS (Neuchâtel/Fribourg/Bern): بدون آزمون زبان — B2 توصیه (FAQ رسمی) · ZHAW: B2–C1 · UZH و ETH: C1 / IELTS 7.0 · EPFL: مدرک زبان الزامی نیست</t>
        </is>
      </c>
      <c r="H26" s="69" t="inlineStr">
        <is>
          <t>IELTS 6.0–6.5</t>
        </is>
      </c>
      <c r="I26" s="70" t="inlineStr">
        <is>
          <t>سایت برنامه‌ها — ⚠️ IELTS از ۳۱ ژانویه ۲۰۲۶ و TOEFL از ۱۴۰۵ در ایران برگزار نمی‌شوند؛ آزمون را در استانبول/ایروان/دبی/تفلیس بدهید (نتیجهٔ کامپیوتری ۳–۵ روزه). برای مهلت ۱۵ ژانویهٔ ۲۰۲۷ (سوئد/دانمارک/Stuttgart) نتیجه باید تا اوایل ژانویه در دست باشد</t>
        </is>
      </c>
    </row>
    <row r="27">
      <c r="A27" s="40" t="inlineStr">
        <is>
          <t>۲۵</t>
        </is>
      </c>
      <c r="B27" s="22" t="inlineStr">
        <is>
          <t>تمکن مالی ویزا (۲۰۲۶) و نکته تحریمی</t>
        </is>
      </c>
      <c r="C27" s="64" t="inlineStr">
        <is>
          <t>حساب مسدود $13,600 ($1,130 × ۱۲). Fintiba ساکنان ایران را نمی‌پذیرد؛ Expatrio/Coracle را هنگام اقدام بررسی کنید. انتقال پول فقط از مسیر کشور ثالث/صرافی (۳–۶٪ هزینه).</t>
        </is>
      </c>
      <c r="D27" s="65" t="inlineStr">
        <is>
          <t>$15,500 ($1,290 × ۱۲) + شهریه؛ معمولاً به حساب دانشگاه واریز می‌شود.</t>
        </is>
      </c>
      <c r="E27" s="66" t="inlineStr">
        <is>
          <t>$1,080 × ماه‌های مجوز (سال اول ≈ $12,900) + قسط اول شهریه.</t>
        </is>
      </c>
      <c r="F27" s="67" t="inlineStr">
        <is>
          <t>پرداخت شهریه ترم اول به‌عنوان تمکن پذیرفته می‌شود (در غیر این‌صورت $1,130/ماه).</t>
        </is>
      </c>
      <c r="G27" s="68" t="inlineStr">
        <is>
          <t>$25,400 برای هر سال (Basel $29,000) + شهریه؛ برای هر تمدید سالانه دوباره. زوریخ: فقط حساب بانک سوئیسی/شعبهٔ سوئیسی به نام خودتان (حساب والدین پذیرفته نیست) یا ضامن مقیم سوئیس (B/C)؛ بانک‌های سوئیس برای ساکنان ایران حساب باز نمی‌کنند → عملاً از تهران فقط با ضامن، یا کانتون‌های انعطاف‌پذیرتر (تیچینو، فریبورگ، نوشاتل، برن، لوسرن — قبل از اقدام از دفتر بین‌الملل دانشگاه تأیید بگیرید). انتقال پول فقط از مسیر کشور ثالث.</t>
        </is>
      </c>
      <c r="H27" s="69" t="inlineStr">
        <is>
          <t>شهریه + $1,550 × ۹ = $14,000 خارج لندن / $18,200 لندن؛ از ۳۰ نوامبر ۲۰۲۶: $14,300 / $18,700؛ ۲۸ روز متوالی در حساب؛ + ویزای دانشجویی $695 + IHS با نرخ دانشجویی $1,030/سال (برای ۱۶ ماه اقامت ≈ $1,540).</t>
        </is>
      </c>
      <c r="I27" s="70" t="inlineStr">
        <is>
          <t>make-it-in-germany.com؛ ind.nl؛ migrationsverket.se؛ nyidanmark.dk؛ sem.admin.ch؛ gov.uk (HC 584). افتتاح حساب بانکی برای ایرانی‌ها در همه‌جا کندتر است (آلمان و هلند بیشترین گزارش مشکل).</t>
        </is>
      </c>
    </row>
    <row r="28">
      <c r="A28" s="40" t="inlineStr">
        <is>
          <t>۲۶</t>
        </is>
      </c>
      <c r="B28" s="22" t="inlineStr">
        <is>
          <t>بازار کار برای جونیورِ فقط‌انگلیسی‌زبان (ارزیابی، ۱–۵ ستاره)</t>
        </is>
      </c>
      <c r="C28" s="64" t="inlineStr">
        <is>
          <t>⭐⭐⭐ تقاضا و حقوق بالا؛ بدون آلمانی نیمی از بازار بسته</t>
        </is>
      </c>
      <c r="D28" s="65" t="inlineStr">
        <is>
          <t>⭐⭐⭐⭐ انگلیسی‌دوست‌ترین بازار قاره؛ کف HSM فارغ‌التحصیل دست‌یافتنی</t>
        </is>
      </c>
      <c r="E28" s="66" t="inlineStr">
        <is>
          <t>⭐⭐ بازار ۲۰۲۴–۲۶ ضعیف؛ شبکه محلی مهم</t>
        </is>
      </c>
      <c r="F28" s="67" t="inlineStr">
        <is>
          <t>⭐⭐ بدون دانمارکی محدود؛ خارج از Copenhagen سخت</t>
        </is>
      </c>
      <c r="G28" s="68" t="inlineStr">
        <is>
          <t>⭐⭐ (حقوق ⭐⭐⭐⭐⭐) بالاترین حقوق اروپا و هاب Big Tech در زوریخ؛ ولی برای غیر-EU فقط ۶ ماه فرصت، سهمیه و شرط «منفعت اقتصادی بالا» → عملاً فقط شرکت‌های بزرگ/اسپین‌آف‌های ETH اسپانسر می‌شوند؛ رقابت با فارغ‌التحصیلان ETH/EPFL و EU؛ بازار ۲۰۲۶ گزینشی‌تر</t>
        </is>
      </c>
      <c r="H28" s="69" t="inlineStr">
        <is>
          <t>⭐⭐ بازار جونیور اشباع؛ اسپانسری $50,700+ برای جونیور نادر؛ بعد از ۱۸ ماه باید ویزای کار داشت</t>
        </is>
      </c>
      <c r="I28" s="70" t="inlineStr">
        <is>
          <t>ارزیابی بر اساس ردیف‌های ۱۳، ۱۵، ۱۶، ۱۷</t>
        </is>
      </c>
    </row>
    <row r="29">
      <c r="A29" s="40" t="inlineStr">
        <is>
          <t>۲۷</t>
        </is>
      </c>
      <c r="B29" s="22" t="inlineStr">
        <is>
          <t>جهت‌گیری سیاست‌های مهاجرتی ۲۰۲۵–۲۶ (ریسک تغییر تا ۲۰۲۸)</t>
        </is>
      </c>
      <c r="C29" s="64" t="inlineStr">
        <is>
          <t>متوسط: قوانین کار پایدار؛ تابعیت ۳ ساله حذف شد</t>
        </is>
      </c>
      <c r="D29" s="65" t="inlineStr">
        <is>
          <t>متوسط: B1 برای PR/تابعیت؛ WIB فقط کارشناسی انگلیسی را هدف گرفته (ارشد امن)</t>
        </is>
      </c>
      <c r="E29" s="66" t="inlineStr">
        <is>
          <t>بالا: شهروندی ۸ سال، کف حقوق ۹۰٪ میانه، سقف کار ۱۵ ساعت، تبدیل اقامت تحصیلی به کاری فقط بعد از ≥ ۲ ترم</t>
        </is>
      </c>
      <c r="F29" s="67" t="inlineStr">
        <is>
          <t>متوسط–بالا: سخت‌گیرانه ولی پایدار</t>
        </is>
      </c>
      <c r="G29" s="68" t="inlineStr">
        <is>
          <t>متوسط: ابتکار «سوئیس ۱۰ میلیونی» SVP در ۱۴ ژوئن ۲۰۲۶ رد شد (۵۴.۸٪ نه)؛ ولی بستهٔ صرفه‌جویی EP27 (۲۰۲۷–۲۹) → احتمال افزایش دوبارهٔ شهریهٔ ETH/EPFL برای خارجی‌ها؛ سهمیهٔ غیر-EU ثابت (۸,۵۰۰)؛ بستهٔ قراردادهای جدید با EU (Bilaterals III) در راه رفراندوم</t>
        </is>
      </c>
      <c r="H29" s="69" t="inlineStr">
        <is>
          <t>بسیار بالا: Graduate visa ۱۸ ماه، B2، طرح PR ۱۰ ساله، عوارض $1,230/دانشجو/سال از اوت ۲۰۲۸ فقط برای دانشگاه‌های انگلستان — دورهٔ یک‌سالهٔ شما (سپتامبر ۲۰۲۷ تا سپتامبر ۲۰۲۸) عملاً از آن رد می‌شود، ولی بعضی دانشگاه‌ها ممکن است از ۲۰۲۷ در شهریه پیش‌خور کنند</t>
        </is>
      </c>
      <c r="I29" s="70" t="inlineStr">
        <is>
          <t>قوانین و لوایح ۲۰۲۵–۲۶</t>
        </is>
      </c>
    </row>
    <row r="30">
      <c r="A30" s="40" t="inlineStr">
        <is>
          <t>۲۸</t>
        </is>
      </c>
      <c r="B30" s="22" t="inlineStr">
        <is>
          <t>امتیاز برای ۳ معیار شما (هر کدام از ۱۰): هزینه کل / زندگی و کار فقط با انگلیسی / بازار کار و حقوق</t>
        </is>
      </c>
      <c r="C30" s="64" t="inlineStr">
        <is>
          <t>10 / 4 / 8 = ۲۲</t>
        </is>
      </c>
      <c r="D30" s="65" t="inlineStr">
        <is>
          <t>2 / 8 / 8 = ۱۸</t>
        </is>
      </c>
      <c r="E30" s="66" t="inlineStr">
        <is>
          <t>6 / 8 / 5 = ۱۹</t>
        </is>
      </c>
      <c r="F30" s="67" t="inlineStr">
        <is>
          <t>4 / 6 / 6 = ۱۶</t>
        </is>
      </c>
      <c r="G30" s="68" t="inlineStr">
        <is>
          <t>5 / 6 / 7 = ۱۸</t>
        </is>
      </c>
      <c r="H30" s="69" t="inlineStr">
        <is>
          <t>5 / 10 / 4 = ۱۹</t>
        </is>
      </c>
      <c r="I30" s="70" t="inlineStr">
        <is>
          <t>وزن برابر. اگر «هزینه» وزن بیشتری دارد و B1 آلمانی را می‌پذیرید → آلمان؛ اگر «انگلیسی» وزن بیشتری دارد → انگلستان (کامل) و بعد هلند/سوئد؛ اگر «حقوق» وزن بیشتری دارد → سوئیس، به شرط پذیرش ریسک پنجرهٔ ۶ ماههٔ کار و هزینهٔ زندگی. سوئیس: هزینه ۵ (شهریه ناچیز ولی زندگی گران‌ترین)، انگلیسی ۶ (تحصیل و Big Tech انگلیسی، اداری/PR زبان محلی)، بازار ۷ (بالاترین حقوق، ولی دسترسی محدود برای غیر-EU). انگلستان با گزینه‌های ارزان شمال (Teesside/Northumbria) ۱۹ (هم‌امتیاز سوئد) ولی در بودجهٔ $40k کل فقط با ۲۰ ساعت کار دانشجویی جا می‌شوند.</t>
        </is>
      </c>
    </row>
    <row r="31">
      <c r="A31" s="40" t="inlineStr">
        <is>
          <t>۲۸ب</t>
        </is>
      </c>
      <c r="B31" s="22" t="inlineStr">
        <is>
          <t>امتیاز با وزن‌های شما (۲۸ سپتامبر): کار پیدا کردن ۲۷.۵٪ = حقوق ۲۷.۵٪ / فقط انگلیسی ۳۰٪ / هزینهٔ کل ۱۵٪ — از ۱۰۰ (زیرامتیازها از ۱۰)؛ ⚠️ فیلتر بودجه (ردیف ۹: $40,000 = شهریه + زندگی تا کار) جداگانه اعمال می‌شود</t>
        </is>
      </c>
      <c r="C31" s="64" t="inlineStr">
        <is>
          <t>کار ۶ · حقوق ۶ · انگلیسی ۴ · هزینه ۱۰ → ۶۰ — ✅ حتی بدون کار جا می‌شود</t>
        </is>
      </c>
      <c r="D31" s="65" t="inlineStr">
        <is>
          <t>کار ۸ · حقوق ۵ · انگلیسی ۸ · هزینه ۲ → ۶۲.۸ — ❌ شهریه به‌تنهایی بیش از $40k</t>
        </is>
      </c>
      <c r="E31" s="66" t="inlineStr">
        <is>
          <t>کار ۴ · حقوق ۵ · انگلیسی ۸ · هزینه ۶ → ۵۷.۸ — ⚠️ فقط با بورس</t>
        </is>
      </c>
      <c r="F31" s="67" t="inlineStr">
        <is>
          <t>کار ۵ · حقوق ۷ · انگلیسی ۶ · هزینه ۴ → ۵۷ — ❌ بودجه + ویزا</t>
        </is>
      </c>
      <c r="G31" s="68" t="inlineStr">
        <is>
          <t>کار ۵ · حقوق ۱۰ · انگلیسی ۶ · هزینه ۵ → ۶۶.۸ — ✅ Neuchâtel/Fribourg/Basel؛ ⚠️ HSLU فقط با کار تعطیلات ترم؛ USI گام ۱ ❌</t>
        </is>
      </c>
      <c r="H31" s="69" t="inlineStr">
        <is>
          <t>کار ۵ · حقوق ۳ · انگلیسی ۱۰ · هزینه ۵ → ۵۹.۵ — ✅ Teesside؛ Northumbria/Essex/MMU گام ۱ فقط با $1–3k کمک ۲۸ روزهٔ خانواده، بعد ۲۰ ساعت کار (≈ $1,440 ≈ زندگی)</t>
        </is>
      </c>
      <c r="I31" s="70" t="inlineStr">
        <is>
          <t>امتیاز کشوری با وزن‌های شما (کار و حقوق برابر). «کار» = ردیف‌های ۱۵، ۱۶/۱۷، ۲۶؛ «حقوق» = ۱۷–۱۹؛ «کار» سوئیس ۵ چون فارغ‌التحصیلان سوئیس طبق مادهٔ ۲۱(۳) AIG از اولویت نیروی داخلی معاف‌اند (سهمیه و ۶ ماه باقی است). امتیاز برنامه‌به‌برنامه (شیت «تصمیم» بخش پ؛ بودجه در دو گام: شهریه + تمکن یک‌سال ≤ $40k، بعد زندگی واقعی + کار با حداکثر ساعت مجاز): Basel ۷۱.۳ › HSLU ۶۸.۳ › Neuchâtel ۶۷ › Fribourg ۶۵.۵ › Stuttgart ۶۴ = Manchester Met ۶۴ › Teesside ۶۱.۵ › Northumbria = Essex ۶۱.۳ › Darmstadt ۶۰ › Saarland ۵۷.۳ › BTH = MDU ۵۵ › Passau ۵۱.۵ (USI ۶۱، Leicester ۵۹.۸ و LiU ۵۶.۳ گام ۱ را رد نمی‌کنند). امتیازها قضاوت‌اند؛ وزن‌ها در شیت «تصمیم» قابل تغییرند.</t>
        </is>
      </c>
    </row>
    <row r="32"/>
    <row r="33">
      <c r="B33" s="72" t="inlineStr">
        <is>
          <t>تاریخ راستی‌آزمایی: ۲۷–۲۸ سپتامبر ۲۰۲۶ (۵–۶ مهر ۱۴۰۵). همهٔ مبالغ این فایل به دلار آمریکا تبدیل شده‌اند تا لازم نباشد چیزی را خودتان تبدیل کنید. نرخ‌های ۲۸ سپتامبر ۲۰۲۶: ۱ یورو = ۱.۱۴ دلار · ۱ پوند = ۱.۳۲۵ دلار · ۱ فرانک سوئیس = ۱.۲۱ دلار · ۱ کرون سوئد = ۰.۱۰ دلار · ۱ کرون دانمارک = ۰.۱۵ دلار. اعداد گرد شده‌اند (زیر ۱۰ هزار به ۱۰ دلار، بالاتر به ۱۰۰ دلار)؛ رقم رسمی به ارز محلی فقط در شیت «راستی‌آزمایی» داخل پرانتز آمده است. شهریه‌ها سطح 2026/27 هستند (Bristol 2027/28)؛ نرخ سال ورود شما (2027/28) بین اکتبر ۲۰۲۶ تا بهار ۲۰۲۷ منتشر می‌شود — ۳ تا ۵ درصد بالاتر بگیرید؛ ⚠️ ETH/EPFL ممکن است با بستهٔ EP27 از ۲۰۲۷ دوباره گران شوند.</t>
        </is>
      </c>
    </row>
    <row r="34">
      <c r="B34" s="43" t="inlineStr">
        <is>
          <t>همه ارقام سطح 2026/27 و از منابع رسمی (شیت «منابع»)؛ برای ورودی سپتامبر ۲۰۲۷ نرخ 2027/28 را بگیرید (تا بهار ۲۰۲۷ منتشر می‌شود؛ فعلاً +۳–۵٪). ردیف‌های ۱۳، ۱۴، ۱۷–۱۹، ۲۶ برآورد/ارزیابی هستند و در ستون منبع مشخص شده‌اند.</t>
        </is>
      </c>
    </row>
    <row r="35">
      <c r="B35" s="43" t="inlineStr">
        <is>
          <t>جدول اولیه (Table.xlsx) برای مقایسه دست‌نخورده مانده است.</t>
        </is>
      </c>
    </row>
    <row r="36">
      <c r="B36" s="72" t="inlineStr">
        <is>
          <t>شیت «برنامه‌ها»: ۱۱۰ برنامهٔ انگلیسی‌زبان در ۸ حوزهٔ کامپیوتری (نه فقط CS) برای هر ۶ کشور (سوئیس ۱۴)؛ شیت «حوزه‌ها و بازار کار»: کدام حوزه برای شما بازار و پذیرش بهتری دارد.</t>
        </is>
      </c>
    </row>
  </sheetData>
  <pageMargins left="0.75" right="0.75" top="1" bottom="1" header="0.5" footer="0.5"/>
  <pageSetup orientation="landscape" fitToHeight="0" fitToWidth="1"/>
</worksheet>
</file>

<file path=xl/worksheets/sheet3.xml><?xml version="1.0" encoding="utf-8"?>
<worksheet xmlns="http://schemas.openxmlformats.org/spreadsheetml/2006/main">
  <sheetPr>
    <tabColor rgb="002E75B6"/>
    <outlinePr summaryBelow="0" summaryRight="0"/>
    <pageSetUpPr fitToPage="1"/>
  </sheetPr>
  <dimension ref="A1:R118"/>
  <sheetViews>
    <sheetView showGridLines="0" rightToLeft="1" tabSelected="0" workbookViewId="0">
      <pane xSplit="4" ySplit="1" topLeftCell="E2" activePane="bottomRight" state="frozen"/>
      <selection pane="topRight"/>
      <selection pane="bottomLeft"/>
      <selection pane="bottomRight" activeCell="A1" sqref="A1"/>
    </sheetView>
  </sheetViews>
  <sheetFormatPr baseColWidth="8" defaultRowHeight="15" outlineLevelCol="1"/>
  <cols>
    <col width="5" customWidth="1" min="1" max="1"/>
    <col width="10" customWidth="1" min="2" max="2"/>
    <col width="28" customWidth="1" min="3" max="3"/>
    <col width="30" customWidth="1" min="4" max="4"/>
    <col width="22" customWidth="1" min="5" max="5"/>
    <col width="40" customWidth="1" min="6" max="6"/>
    <col width="22" customWidth="1" min="7" max="7"/>
    <col width="9" customWidth="1" min="8" max="8"/>
    <col width="30" customWidth="1" min="9" max="9"/>
    <col width="14" customWidth="1" min="10" max="10"/>
    <col width="16" customWidth="1" min="11" max="11"/>
    <col width="34" customWidth="1" min="12" max="12"/>
    <col width="12" customWidth="1" min="13" max="13"/>
    <col width="12" customWidth="1" min="14" max="14"/>
    <col width="16" customWidth="1" min="15" max="15"/>
    <col outlineLevel="1" width="44" customWidth="1" min="16" max="16"/>
    <col outlineLevel="1" width="40" customWidth="1" min="17" max="17"/>
    <col outlineLevel="1" width="40" customWidth="1" min="18" max="18"/>
  </cols>
  <sheetData>
    <row r="1" ht="48" customHeight="1">
      <c r="A1" s="15" t="inlineStr">
        <is>
          <t>#</t>
        </is>
      </c>
      <c r="B1" s="15" t="inlineStr">
        <is>
          <t>کشور</t>
        </is>
      </c>
      <c r="C1" s="15" t="inlineStr">
        <is>
          <t>دانشگاه</t>
        </is>
      </c>
      <c r="D1" s="15" t="inlineStr">
        <is>
          <t>شهر</t>
        </is>
      </c>
      <c r="E1" s="15" t="inlineStr">
        <is>
          <t>هزینهٔ زندگی شهر (تقریبی، ماهانه با اجاره)</t>
        </is>
      </c>
      <c r="F1" s="15" t="inlineStr">
        <is>
          <t>برنامه</t>
        </is>
      </c>
      <c r="G1" s="15" t="inlineStr">
        <is>
          <t>حوزه</t>
        </is>
      </c>
      <c r="H1" s="15" t="inlineStr">
        <is>
          <t>مدت</t>
        </is>
      </c>
      <c r="I1" s="15" t="inlineStr">
        <is>
          <t>شهریهٔ سالانه (2026/27؛ اگر نرخ 2027/28 منتشر شده، ذکر شده)</t>
        </is>
      </c>
      <c r="J1" s="15" t="inlineStr">
        <is>
          <t>≈ شهریهٔ کل دوره</t>
        </is>
      </c>
      <c r="K1" s="15" t="inlineStr">
        <is>
          <t>★ ≈ کل هزینهٔ دوره = شهریه + زندگی (بدون بورس)</t>
        </is>
      </c>
      <c r="L1" s="15" t="inlineStr">
        <is>
          <t>شرط ورود</t>
        </is>
      </c>
      <c r="M1" s="15" t="inlineStr">
        <is>
          <t>IELTS</t>
        </is>
      </c>
      <c r="N1" s="15" t="inlineStr">
        <is>
          <t>QS 2027</t>
        </is>
      </c>
      <c r="O1" s="15" t="inlineStr">
        <is>
          <t>Safe / Target / Reach (معدل ۱۵.۷۷)</t>
        </is>
      </c>
      <c r="P1" s="15" t="inlineStr">
        <is>
          <t>بازار کار حوزه (۱–۵) و نکته</t>
        </is>
      </c>
      <c r="Q1" s="15" t="inlineStr">
        <is>
          <t>نکتهٔ برنامه</t>
        </is>
      </c>
      <c r="R1" s="15" t="inlineStr">
        <is>
          <t>منبع (صفحهٔ رسمی)</t>
        </is>
      </c>
    </row>
    <row r="2">
      <c r="A2" s="40" t="n">
        <v>1</v>
      </c>
      <c r="B2" s="73" t="inlineStr">
        <is>
          <t>انگلستان</t>
        </is>
      </c>
      <c r="C2" s="37" t="inlineStr">
        <is>
          <t>Teesside University</t>
        </is>
      </c>
      <c r="D2" s="37" t="inlineStr">
        <is>
          <t>Middlesbrough (میدلزبرو) — شمال شرق انگلستان</t>
        </is>
      </c>
      <c r="E2" s="37" t="inlineStr">
        <is>
          <t>ارزان — $1,260–1,520</t>
        </is>
      </c>
      <c r="F2" s="37" t="inlineStr">
        <is>
          <t>MSc Computer Science</t>
        </is>
      </c>
      <c r="G2" s="37" t="inlineStr">
        <is>
          <t>مهندسی نرم‌افزار / علوم کامپیوتر</t>
        </is>
      </c>
      <c r="H2" s="37" t="inlineStr">
        <is>
          <t>۱ سال</t>
        </is>
      </c>
      <c r="I2" s="37" t="inlineStr">
        <is>
          <t>$22,500</t>
        </is>
      </c>
      <c r="J2" s="37" t="inlineStr">
        <is>
          <t>$22,500</t>
        </is>
      </c>
      <c r="K2" s="74" t="inlineStr">
        <is>
          <t>$38–41k</t>
        </is>
      </c>
      <c r="L2" s="37" t="inlineStr">
        <is>
          <t>2:2 در رشتهٔ مرتبط</t>
        </is>
      </c>
      <c r="M2" s="37" t="inlineStr">
        <is>
          <t>6.0</t>
        </is>
      </c>
      <c r="N2" s="37" t="inlineStr">
        <is>
          <t>— (THE 601–800)</t>
        </is>
      </c>
      <c r="O2" s="49" t="inlineStr">
        <is>
          <t>Safe</t>
        </is>
      </c>
      <c r="P2" s="37" t="inlineStr">
        <is>
          <t>4/5 — بیشترین حجم آگهی در هر ۶ کشور؛ ورود جونیور از ۲۰۲۳ سخت‌تر شده — سابقهٔ کار شما مزیت است</t>
        </is>
      </c>
      <c r="Q2" s="37" t="inlineStr">
        <is>
          <t>ارزان‌ترین گزینهٔ معتبر انگلستان؛ Middlesbrough ارزان ولی بازار کار محلی کوچک</t>
        </is>
      </c>
      <c r="R2" s="75" t="inlineStr">
        <is>
          <t>https://www.tees.ac.uk/postgraduate_courses/computing_&amp;_cyber_security/msc_computer_science.cfm</t>
        </is>
      </c>
    </row>
    <row r="3">
      <c r="A3" s="76" t="n">
        <v>2</v>
      </c>
      <c r="B3" s="73" t="inlineStr">
        <is>
          <t>انگلستان</t>
        </is>
      </c>
      <c r="C3" s="77" t="inlineStr">
        <is>
          <t>Teesside University</t>
        </is>
      </c>
      <c r="D3" s="77" t="inlineStr">
        <is>
          <t>Middlesbrough (میدلزبرو) — شمال شرق انگلستان</t>
        </is>
      </c>
      <c r="E3" s="77" t="inlineStr">
        <is>
          <t>ارزان — $1,260–1,520</t>
        </is>
      </c>
      <c r="F3" s="77" t="inlineStr">
        <is>
          <t>MSc Artificial Intelligence</t>
        </is>
      </c>
      <c r="G3" s="77" t="inlineStr">
        <is>
          <t>هوش مصنوعی / یادگیری ماشین</t>
        </is>
      </c>
      <c r="H3" s="77" t="inlineStr">
        <is>
          <t>۱ سال</t>
        </is>
      </c>
      <c r="I3" s="77" t="inlineStr">
        <is>
          <t>$22,500</t>
        </is>
      </c>
      <c r="J3" s="77" t="inlineStr">
        <is>
          <t>$22,500</t>
        </is>
      </c>
      <c r="K3" s="74" t="inlineStr">
        <is>
          <t>$38–41k</t>
        </is>
      </c>
      <c r="L3" s="77" t="inlineStr">
        <is>
          <t>2:2 در رشتهٔ مرتبط</t>
        </is>
      </c>
      <c r="M3" s="77" t="inlineStr">
        <is>
          <t>6.0</t>
        </is>
      </c>
      <c r="N3" s="77" t="inlineStr">
        <is>
          <t>—</t>
        </is>
      </c>
      <c r="O3" s="49" t="inlineStr">
        <is>
          <t>Safe</t>
        </is>
      </c>
      <c r="P3" s="77" t="inlineStr">
        <is>
          <t>5/5 — داغ‌ترین بازار؛ «AI Engineer» سریع‌ترین‌رشد (LinkedIn 2026)؛ ولی برنامه‌های ریاضی‌محور (Tübingen، UvA، KTH) بسیار رقابتی‌اند</t>
        </is>
      </c>
      <c r="Q3" s="77" t="inlineStr">
        <is>
          <t>همان باند شهریهٔ Teesside</t>
        </is>
      </c>
      <c r="R3" s="78" t="inlineStr">
        <is>
          <t>https://www.tees.ac.uk/postgraduate_courses/computing_&amp;_cyber_security/msc_artificial_intelligence.cfm</t>
        </is>
      </c>
    </row>
    <row r="4">
      <c r="A4" s="40" t="n">
        <v>3</v>
      </c>
      <c r="B4" s="73" t="inlineStr">
        <is>
          <t>انگلستان</t>
        </is>
      </c>
      <c r="C4" s="37" t="inlineStr">
        <is>
          <t>Teesside University</t>
        </is>
      </c>
      <c r="D4" s="37" t="inlineStr">
        <is>
          <t>Middlesbrough (میدلزبرو) — شمال شرق انگلستان</t>
        </is>
      </c>
      <c r="E4" s="37" t="inlineStr">
        <is>
          <t>ارزان — $1,260–1,520</t>
        </is>
      </c>
      <c r="F4" s="37" t="inlineStr">
        <is>
          <t>MSc Cyber Security (BCS accredited)</t>
        </is>
      </c>
      <c r="G4" s="37" t="inlineStr">
        <is>
          <t>امنیت سایبری</t>
        </is>
      </c>
      <c r="H4" s="37" t="inlineStr">
        <is>
          <t>۱ سال</t>
        </is>
      </c>
      <c r="I4" s="37" t="inlineStr">
        <is>
          <t>$22,500</t>
        </is>
      </c>
      <c r="J4" s="37" t="inlineStr">
        <is>
          <t>$22,500</t>
        </is>
      </c>
      <c r="K4" s="74" t="inlineStr">
        <is>
          <t>$38–41k</t>
        </is>
      </c>
      <c r="L4" s="37" t="inlineStr">
        <is>
          <t>2:2 در رشتهٔ مرتبط</t>
        </is>
      </c>
      <c r="M4" s="37" t="inlineStr">
        <is>
          <t>6.0</t>
        </is>
      </c>
      <c r="N4" s="37" t="inlineStr">
        <is>
          <t>—</t>
        </is>
      </c>
      <c r="O4" s="49" t="inlineStr">
        <is>
          <t>Safe</t>
        </is>
      </c>
      <c r="P4" s="37" t="inlineStr">
        <is>
          <t>4/5 — کمبود ساختاری (Bitkom: جزو ۳ کمبود اصلی آلمان)؛ اما ۳۱٪ تیم‌ها هیچ نیروی جونیور ندارند → کارآموزی/گواهی لازم است</t>
        </is>
      </c>
      <c r="Q4" s="37" t="inlineStr">
        <is>
          <t>اعتبار BCS؛ بدون NCSC</t>
        </is>
      </c>
      <c r="R4" s="75" t="inlineStr">
        <is>
          <t>https://www.tees.ac.uk/postgraduate_courses/computing_&amp;_cyber_security/msc_cyber_security.cfm</t>
        </is>
      </c>
    </row>
    <row r="5">
      <c r="A5" s="76" t="n">
        <v>4</v>
      </c>
      <c r="B5" s="73" t="inlineStr">
        <is>
          <t>انگلستان</t>
        </is>
      </c>
      <c r="C5" s="77" t="inlineStr">
        <is>
          <t>Northumbria University</t>
        </is>
      </c>
      <c r="D5" s="77" t="inlineStr">
        <is>
          <t>Newcastle upon Tyne (نیوکاسل) — شمال شرق</t>
        </is>
      </c>
      <c r="E5" s="77" t="inlineStr">
        <is>
          <t>ارزان تا متوسط — $1,260–1,660</t>
        </is>
      </c>
      <c r="F5" s="77" t="inlineStr">
        <is>
          <t>MSc Advanced Computer Science</t>
        </is>
      </c>
      <c r="G5" s="77" t="inlineStr">
        <is>
          <t>مهندسی نرم‌افزار / علوم کامپیوتر</t>
        </is>
      </c>
      <c r="H5" s="77" t="inlineStr">
        <is>
          <t>۱ سال</t>
        </is>
      </c>
      <c r="I5" s="77" t="inlineStr">
        <is>
          <t>$28,500</t>
        </is>
      </c>
      <c r="J5" s="77" t="inlineStr">
        <is>
          <t>$28,500</t>
        </is>
      </c>
      <c r="K5" s="74" t="inlineStr">
        <is>
          <t>$44–48k</t>
        </is>
      </c>
      <c r="L5" s="77" t="inlineStr">
        <is>
          <t>2:2 در رشتهٔ کامپیوتری</t>
        </is>
      </c>
      <c r="M5" s="77" t="inlineStr">
        <is>
          <t>6.5</t>
        </is>
      </c>
      <c r="N5" s="77">
        <f>528</f>
        <v/>
      </c>
      <c r="O5" s="49" t="inlineStr">
        <is>
          <t>Safe</t>
        </is>
      </c>
      <c r="P5" s="77" t="inlineStr">
        <is>
          <t>4/5 — بیشترین حجم آگهی در هر ۶ کشور؛ ورود جونیور از ۲۰۲۳ سخت‌تر شده — سابقهٔ کار شما مزیت است</t>
        </is>
      </c>
      <c r="Q5" s="77" t="inlineStr">
        <is>
          <t>Newcastle: شهر دانشجویی ارزان با بازار فناوری متوسط</t>
        </is>
      </c>
      <c r="R5" s="78" t="inlineStr">
        <is>
          <t>https://www.northumbria.ac.uk/study-at-northumbria/courses/msc-advanced-computer-science-dtfava6/</t>
        </is>
      </c>
    </row>
    <row r="6">
      <c r="A6" s="40" t="n">
        <v>5</v>
      </c>
      <c r="B6" s="73" t="inlineStr">
        <is>
          <t>انگلستان</t>
        </is>
      </c>
      <c r="C6" s="37" t="inlineStr">
        <is>
          <t>Northumbria University</t>
        </is>
      </c>
      <c r="D6" s="37" t="inlineStr">
        <is>
          <t>Newcastle upon Tyne (نیوکاسل) — شمال شرق</t>
        </is>
      </c>
      <c r="E6" s="37" t="inlineStr">
        <is>
          <t>ارزان تا متوسط — $1,260–1,660</t>
        </is>
      </c>
      <c r="F6" s="37" t="inlineStr">
        <is>
          <t>MSc Artificial Intelligence</t>
        </is>
      </c>
      <c r="G6" s="37" t="inlineStr">
        <is>
          <t>هوش مصنوعی / یادگیری ماشین</t>
        </is>
      </c>
      <c r="H6" s="37" t="inlineStr">
        <is>
          <t>۱ سال</t>
        </is>
      </c>
      <c r="I6" s="37" t="inlineStr">
        <is>
          <t>$28,500</t>
        </is>
      </c>
      <c r="J6" s="37" t="inlineStr">
        <is>
          <t>$28,500</t>
        </is>
      </c>
      <c r="K6" s="74" t="inlineStr">
        <is>
          <t>$44–48k</t>
        </is>
      </c>
      <c r="L6" s="37" t="inlineStr">
        <is>
          <t>2:2 در رشتهٔ کامپیوتری/ریاضی</t>
        </is>
      </c>
      <c r="M6" s="37" t="inlineStr">
        <is>
          <t>6.5</t>
        </is>
      </c>
      <c r="N6" s="37">
        <f>528</f>
        <v/>
      </c>
      <c r="O6" s="49" t="inlineStr">
        <is>
          <t>Safe</t>
        </is>
      </c>
      <c r="P6" s="37" t="inlineStr">
        <is>
          <t>5/5 — داغ‌ترین بازار؛ «AI Engineer» سریع‌ترین‌رشد (LinkedIn 2026)؛ ولی برنامه‌های ریاضی‌محور (Tübingen، UvA، KTH) بسیار رقابتی‌اند</t>
        </is>
      </c>
      <c r="Q6" s="37" t="inlineStr">
        <is>
          <t>شهریهٔ رسمی 2026/27</t>
        </is>
      </c>
      <c r="R6" s="75" t="inlineStr">
        <is>
          <t>https://www.northumbria.ac.uk/study-at-northumbria/courses/msc-artificial-intelligence-dtfari6/</t>
        </is>
      </c>
    </row>
    <row r="7">
      <c r="A7" s="76" t="n">
        <v>6</v>
      </c>
      <c r="B7" s="73" t="inlineStr">
        <is>
          <t>انگلستان</t>
        </is>
      </c>
      <c r="C7" s="77" t="inlineStr">
        <is>
          <t>Nottingham Trent University (NTU)</t>
        </is>
      </c>
      <c r="D7" s="77" t="inlineStr">
        <is>
          <t>Nottingham (ناتینگهام) — میدلندز</t>
        </is>
      </c>
      <c r="E7" s="77" t="inlineStr">
        <is>
          <t>متوسط — $1,330–1,720</t>
        </is>
      </c>
      <c r="F7" s="77" t="inlineStr">
        <is>
          <t>MSc Artificial Intelligence</t>
        </is>
      </c>
      <c r="G7" s="77" t="inlineStr">
        <is>
          <t>هوش مصنوعی / یادگیری ماشین</t>
        </is>
      </c>
      <c r="H7" s="77" t="inlineStr">
        <is>
          <t>۱ سال</t>
        </is>
      </c>
      <c r="I7" s="77" t="inlineStr">
        <is>
          <t>≈ $26,400</t>
        </is>
      </c>
      <c r="J7" s="77" t="inlineStr">
        <is>
          <t>$26,400</t>
        </is>
      </c>
      <c r="K7" s="74" t="inlineStr">
        <is>
          <t>$42–47k</t>
        </is>
      </c>
      <c r="L7" s="77" t="inlineStr">
        <is>
          <t>2:2 (≈ ۵۵٪)</t>
        </is>
      </c>
      <c r="M7" s="77" t="inlineStr">
        <is>
          <t>6.5</t>
        </is>
      </c>
      <c r="N7" s="77">
        <f>639</f>
        <v/>
      </c>
      <c r="O7" s="49" t="inlineStr">
        <is>
          <t>Safe</t>
        </is>
      </c>
      <c r="P7" s="77" t="inlineStr">
        <is>
          <t>5/5 — داغ‌ترین بازار؛ «AI Engineer» سریع‌ترین‌رشد (LinkedIn 2026)؛ ولی برنامه‌های ریاضی‌محور (Tübingen، UvA، KTH) بسیار رقابتی‌اند</t>
        </is>
      </c>
      <c r="Q7" s="77" t="inlineStr">
        <is>
          <t>رقم از دو مرجع ثانویه؛ صفحهٔ رسمی 2026/27 را قبل از اقدام چک کنید</t>
        </is>
      </c>
      <c r="R7" s="78" t="inlineStr">
        <is>
          <t>https://www.ntu.ac.uk/study-and-courses/courses</t>
        </is>
      </c>
    </row>
    <row r="8">
      <c r="A8" s="40" t="n">
        <v>7</v>
      </c>
      <c r="B8" s="73" t="inlineStr">
        <is>
          <t>انگلستان</t>
        </is>
      </c>
      <c r="C8" s="37" t="inlineStr">
        <is>
          <t>Nottingham Trent University (NTU)</t>
        </is>
      </c>
      <c r="D8" s="37" t="inlineStr">
        <is>
          <t>Nottingham (ناتینگهام) — میدلندز</t>
        </is>
      </c>
      <c r="E8" s="37" t="inlineStr">
        <is>
          <t>متوسط — $1,330–1,720</t>
        </is>
      </c>
      <c r="F8" s="37" t="inlineStr">
        <is>
          <t>MSc Cyber Security</t>
        </is>
      </c>
      <c r="G8" s="37" t="inlineStr">
        <is>
          <t>امنیت سایبری</t>
        </is>
      </c>
      <c r="H8" s="37" t="inlineStr">
        <is>
          <t>۱ سال</t>
        </is>
      </c>
      <c r="I8" s="37" t="inlineStr">
        <is>
          <t>≈ $26,400</t>
        </is>
      </c>
      <c r="J8" s="37" t="inlineStr">
        <is>
          <t>$26,400</t>
        </is>
      </c>
      <c r="K8" s="74" t="inlineStr">
        <is>
          <t>$42–47k</t>
        </is>
      </c>
      <c r="L8" s="37" t="inlineStr">
        <is>
          <t>2:2</t>
        </is>
      </c>
      <c r="M8" s="37" t="inlineStr">
        <is>
          <t>6.5</t>
        </is>
      </c>
      <c r="N8" s="37">
        <f>639</f>
        <v/>
      </c>
      <c r="O8" s="49" t="inlineStr">
        <is>
          <t>Safe</t>
        </is>
      </c>
      <c r="P8" s="37" t="inlineStr">
        <is>
          <t>4/5 — کمبود ساختاری (Bitkom: جزو ۳ کمبود اصلی آلمان)؛ اما ۳۱٪ تیم‌ها هیچ نیروی جونیور ندارند → کارآموزی/گواهی لازم است</t>
        </is>
      </c>
      <c r="Q8" s="37" t="inlineStr">
        <is>
          <t>همان باند NTU (≈)</t>
        </is>
      </c>
      <c r="R8" s="75" t="inlineStr">
        <is>
          <t>https://www.ntu.ac.uk/study-and-courses/courses</t>
        </is>
      </c>
    </row>
    <row r="9">
      <c r="A9" s="76" t="n">
        <v>8</v>
      </c>
      <c r="B9" s="73" t="inlineStr">
        <is>
          <t>انگلستان</t>
        </is>
      </c>
      <c r="C9" s="77" t="inlineStr">
        <is>
          <t>Manchester Metropolitan University (MMU)</t>
        </is>
      </c>
      <c r="D9" s="77" t="inlineStr">
        <is>
          <t>Manchester (منچستر) — دومین قطب فناوری انگلستان</t>
        </is>
      </c>
      <c r="E9" s="77" t="inlineStr">
        <is>
          <t>متوسط — $1,390–1,790</t>
        </is>
      </c>
      <c r="F9" s="77" t="inlineStr">
        <is>
          <t>MSc Cyber Security</t>
        </is>
      </c>
      <c r="G9" s="77" t="inlineStr">
        <is>
          <t>امنیت سایبری</t>
        </is>
      </c>
      <c r="H9" s="77" t="inlineStr">
        <is>
          <t>۱ سال</t>
        </is>
      </c>
      <c r="I9" s="77" t="inlineStr">
        <is>
          <t>$27,800</t>
        </is>
      </c>
      <c r="J9" s="77" t="inlineStr">
        <is>
          <t>$27,800</t>
        </is>
      </c>
      <c r="K9" s="74" t="inlineStr">
        <is>
          <t>$45–49k</t>
        </is>
      </c>
      <c r="L9" s="77" t="inlineStr">
        <is>
          <t>2:2 در رشتهٔ کامپیوتری</t>
        </is>
      </c>
      <c r="M9" s="77" t="inlineStr">
        <is>
          <t>6.5</t>
        </is>
      </c>
      <c r="N9" s="77" t="inlineStr">
        <is>
          <t>≈ 600–650</t>
        </is>
      </c>
      <c r="O9" s="49" t="inlineStr">
        <is>
          <t>Safe</t>
        </is>
      </c>
      <c r="P9" s="77" t="inlineStr">
        <is>
          <t>4/5 — کمبود ساختاری (Bitkom: جزو ۳ کمبود اصلی آلمان)؛ اما ۳۱٪ تیم‌ها هیچ نیروی جونیور ندارند → کارآموزی/گواهی لازم است</t>
        </is>
      </c>
      <c r="Q9" s="77" t="inlineStr">
        <is>
          <t>Manchester دومین قطب فناوری انگلستان؛ شهریهٔ رسمی overseas 2026/27</t>
        </is>
      </c>
      <c r="R9" s="78" t="inlineStr">
        <is>
          <t>https://www.mmu.ac.uk/study/postgraduate/course/msc-cyber-security</t>
        </is>
      </c>
    </row>
    <row r="10">
      <c r="A10" s="40" t="n">
        <v>9</v>
      </c>
      <c r="B10" s="73" t="inlineStr">
        <is>
          <t>انگلستان</t>
        </is>
      </c>
      <c r="C10" s="37" t="inlineStr">
        <is>
          <t>University of Essex</t>
        </is>
      </c>
      <c r="D10" s="37" t="inlineStr">
        <is>
          <t>Colchester (کولچستر) — Essex، ۵۰ دقیقه تا لندن</t>
        </is>
      </c>
      <c r="E10" s="37" t="inlineStr">
        <is>
          <t>متوسط — $1,330–1,790</t>
        </is>
      </c>
      <c r="F10" s="37" t="inlineStr">
        <is>
          <t>MSc Advanced Computer Science</t>
        </is>
      </c>
      <c r="G10" s="37" t="inlineStr">
        <is>
          <t>مهندسی نرم‌افزار / علوم کامپیوتر</t>
        </is>
      </c>
      <c r="H10" s="37" t="inlineStr">
        <is>
          <t>۱ سال</t>
        </is>
      </c>
      <c r="I10" s="37" t="inlineStr">
        <is>
          <t>$32,700</t>
        </is>
      </c>
      <c r="J10" s="37" t="inlineStr">
        <is>
          <t>$32,700</t>
        </is>
      </c>
      <c r="K10" s="74" t="inlineStr">
        <is>
          <t>$49–54k</t>
        </is>
      </c>
      <c r="L10" s="37" t="inlineStr">
        <is>
          <t>2:2؛ Computer Engineering پذیرفته می‌شود</t>
        </is>
      </c>
      <c r="M10" s="37" t="inlineStr">
        <is>
          <t>6.0</t>
        </is>
      </c>
      <c r="N10" s="37">
        <f>438</f>
        <v/>
      </c>
      <c r="O10" s="45" t="inlineStr">
        <is>
          <t>Safe/Target</t>
        </is>
      </c>
      <c r="P10" s="37" t="inlineStr">
        <is>
          <t>4/5 — بیشترین حجم آگهی در هر ۶ کشور؛ ورود جونیور از ۲۰۲۳ سخت‌تر شده — سابقهٔ کار شما مزیت است</t>
        </is>
      </c>
      <c r="Q10" s="37" t="inlineStr">
        <is>
          <t>۵۰ دقیقه تا لندن؛ دانشکدهٔ CSEE قوی در AI</t>
        </is>
      </c>
      <c r="R10" s="75" t="inlineStr">
        <is>
          <t>https://www.essex.ac.uk/courses/pg00435/1/msc-advanced-computer-science</t>
        </is>
      </c>
    </row>
    <row r="11">
      <c r="A11" s="76" t="n">
        <v>10</v>
      </c>
      <c r="B11" s="73" t="inlineStr">
        <is>
          <t>انگلستان</t>
        </is>
      </c>
      <c r="C11" s="77" t="inlineStr">
        <is>
          <t>University of Essex</t>
        </is>
      </c>
      <c r="D11" s="77" t="inlineStr">
        <is>
          <t>Colchester (کولچستر) — Essex، ۵۰ دقیقه تا لندن</t>
        </is>
      </c>
      <c r="E11" s="77" t="inlineStr">
        <is>
          <t>متوسط — $1,330–1,790</t>
        </is>
      </c>
      <c r="F11" s="77" t="inlineStr">
        <is>
          <t>MSc Artificial Intelligence</t>
        </is>
      </c>
      <c r="G11" s="77" t="inlineStr">
        <is>
          <t>هوش مصنوعی / یادگیری ماشین</t>
        </is>
      </c>
      <c r="H11" s="77" t="inlineStr">
        <is>
          <t>۱ سال</t>
        </is>
      </c>
      <c r="I11" s="77" t="inlineStr">
        <is>
          <t>$32,700</t>
        </is>
      </c>
      <c r="J11" s="77" t="inlineStr">
        <is>
          <t>$32,700</t>
        </is>
      </c>
      <c r="K11" s="74" t="inlineStr">
        <is>
          <t>$49–54k</t>
        </is>
      </c>
      <c r="L11" s="77" t="inlineStr">
        <is>
          <t>2:2 در رشتهٔ کامپیوتری/ریاضی</t>
        </is>
      </c>
      <c r="M11" s="77" t="inlineStr">
        <is>
          <t>6.0</t>
        </is>
      </c>
      <c r="N11" s="77">
        <f>438</f>
        <v/>
      </c>
      <c r="O11" s="45" t="inlineStr">
        <is>
          <t>Safe/Target</t>
        </is>
      </c>
      <c r="P11" s="77" t="inlineStr">
        <is>
          <t>5/5 — داغ‌ترین بازار؛ «AI Engineer» سریع‌ترین‌رشد (LinkedIn 2026)؛ ولی برنامه‌های ریاضی‌محور (Tübingen، UvA، KTH) بسیار رقابتی‌اند</t>
        </is>
      </c>
      <c r="Q11" s="77" t="inlineStr">
        <is>
          <t>ورودی اکتبر ۲۰۲۶ تأیید شده</t>
        </is>
      </c>
      <c r="R11" s="78" t="inlineStr">
        <is>
          <t>https://www.essex.ac.uk/courses/pg00457/1/msc-artificial-intelligence</t>
        </is>
      </c>
    </row>
    <row r="12">
      <c r="A12" s="40" t="n">
        <v>11</v>
      </c>
      <c r="B12" s="73" t="inlineStr">
        <is>
          <t>انگلستان</t>
        </is>
      </c>
      <c r="C12" s="37" t="inlineStr">
        <is>
          <t>University of Leicester</t>
        </is>
      </c>
      <c r="D12" s="37" t="inlineStr">
        <is>
          <t>Leicester (لستر) — میدلندز</t>
        </is>
      </c>
      <c r="E12" s="37" t="inlineStr">
        <is>
          <t>متوسط — $1,330–1,720</t>
        </is>
      </c>
      <c r="F12" s="37" t="inlineStr">
        <is>
          <t>MSc Advanced Computer Science</t>
        </is>
      </c>
      <c r="G12" s="37" t="inlineStr">
        <is>
          <t>مهندسی نرم‌افزار / علوم کامپیوتر</t>
        </is>
      </c>
      <c r="H12" s="37" t="inlineStr">
        <is>
          <t>۱ سال</t>
        </is>
      </c>
      <c r="I12" s="37" t="inlineStr">
        <is>
          <t>$32,100</t>
        </is>
      </c>
      <c r="J12" s="37" t="inlineStr">
        <is>
          <t>$32,100</t>
        </is>
      </c>
      <c r="K12" s="74" t="inlineStr">
        <is>
          <t>$48–53k</t>
        </is>
      </c>
      <c r="L12" s="37" t="inlineStr">
        <is>
          <t>2:1 (سابقهٔ کار مرتبط جبران می‌کند)</t>
        </is>
      </c>
      <c r="M12" s="37" t="inlineStr">
        <is>
          <t>6.5</t>
        </is>
      </c>
      <c r="N12" s="37">
        <f>314</f>
        <v/>
      </c>
      <c r="O12" s="30" t="inlineStr">
        <is>
          <t>Target</t>
        </is>
      </c>
      <c r="P12" s="37" t="inlineStr">
        <is>
          <t>4/5 — بیشترین حجم آگهی در هر ۶ کشور؛ ورود جونیور از ۲۰۲۳ سخت‌تر شده — سابقهٔ کار شما مزیت است</t>
        </is>
      </c>
      <c r="Q12" s="37" t="inlineStr">
        <is>
          <t>رتبهٔ بهتر با شهریهٔ نزدیک Essex</t>
        </is>
      </c>
      <c r="R12" s="75" t="inlineStr">
        <is>
          <t>https://le.ac.uk/courses/advanced-computer-science-msc/2026</t>
        </is>
      </c>
    </row>
    <row r="13">
      <c r="A13" s="76" t="n">
        <v>12</v>
      </c>
      <c r="B13" s="73" t="inlineStr">
        <is>
          <t>انگلستان</t>
        </is>
      </c>
      <c r="C13" s="77" t="inlineStr">
        <is>
          <t>University of Leicester</t>
        </is>
      </c>
      <c r="D13" s="77" t="inlineStr">
        <is>
          <t>Leicester (لستر) — میدلندز</t>
        </is>
      </c>
      <c r="E13" s="77" t="inlineStr">
        <is>
          <t>متوسط — $1,330–1,720</t>
        </is>
      </c>
      <c r="F13" s="77" t="inlineStr">
        <is>
          <t>MSc Artificial Intelligence</t>
        </is>
      </c>
      <c r="G13" s="77" t="inlineStr">
        <is>
          <t>هوش مصنوعی / یادگیری ماشین</t>
        </is>
      </c>
      <c r="H13" s="77" t="inlineStr">
        <is>
          <t>۱ سال</t>
        </is>
      </c>
      <c r="I13" s="77" t="inlineStr">
        <is>
          <t>$32,100</t>
        </is>
      </c>
      <c r="J13" s="77" t="inlineStr">
        <is>
          <t>$32,100</t>
        </is>
      </c>
      <c r="K13" s="74" t="inlineStr">
        <is>
          <t>$48–53k</t>
        </is>
      </c>
      <c r="L13" s="77" t="inlineStr">
        <is>
          <t>2:1</t>
        </is>
      </c>
      <c r="M13" s="77" t="inlineStr">
        <is>
          <t>6.5</t>
        </is>
      </c>
      <c r="N13" s="77">
        <f>314</f>
        <v/>
      </c>
      <c r="O13" s="30" t="inlineStr">
        <is>
          <t>Target</t>
        </is>
      </c>
      <c r="P13" s="77" t="inlineStr">
        <is>
          <t>5/5 — داغ‌ترین بازار؛ «AI Engineer» سریع‌ترین‌رشد (LinkedIn 2026)؛ ولی برنامه‌های ریاضی‌محور (Tübingen، UvA، KTH) بسیار رقابتی‌اند</t>
        </is>
      </c>
      <c r="Q13" s="77" t="inlineStr"/>
      <c r="R13" s="78" t="inlineStr">
        <is>
          <t>https://le.ac.uk/courses/artificial-intelligence-msc/2026</t>
        </is>
      </c>
    </row>
    <row r="14">
      <c r="A14" s="40" t="n">
        <v>13</v>
      </c>
      <c r="B14" s="73" t="inlineStr">
        <is>
          <t>انگلستان</t>
        </is>
      </c>
      <c r="C14" s="37" t="inlineStr">
        <is>
          <t>University of Leicester</t>
        </is>
      </c>
      <c r="D14" s="37" t="inlineStr">
        <is>
          <t>Leicester (لستر) — میدلندز</t>
        </is>
      </c>
      <c r="E14" s="37" t="inlineStr">
        <is>
          <t>متوسط — $1,330–1,720</t>
        </is>
      </c>
      <c r="F14" s="37" t="inlineStr">
        <is>
          <t>MSc Cloud Computing</t>
        </is>
      </c>
      <c r="G14" s="37" t="inlineStr">
        <is>
          <t>ابری / سیستم‌های توزیع‌شده / DevOps</t>
        </is>
      </c>
      <c r="H14" s="37" t="inlineStr">
        <is>
          <t>۱ سال</t>
        </is>
      </c>
      <c r="I14" s="37" t="inlineStr">
        <is>
          <t>$32,100</t>
        </is>
      </c>
      <c r="J14" s="37" t="inlineStr">
        <is>
          <t>$32,100</t>
        </is>
      </c>
      <c r="K14" s="74" t="inlineStr">
        <is>
          <t>$48–53k</t>
        </is>
      </c>
      <c r="L14" s="37" t="inlineStr">
        <is>
          <t>2:1</t>
        </is>
      </c>
      <c r="M14" s="37" t="inlineStr">
        <is>
          <t>6.5</t>
        </is>
      </c>
      <c r="N14" s="37">
        <f>314</f>
        <v/>
      </c>
      <c r="O14" s="30" t="inlineStr">
        <is>
          <t>Target</t>
        </is>
      </c>
      <c r="P14" s="37" t="inlineStr">
        <is>
          <t>4/5 — تقاضای پایدار و کمتر مدرک‌محور؛ گواهی AWS/Azure کنار مدرک وزن زیادی دارد</t>
        </is>
      </c>
      <c r="Q14" s="37" t="inlineStr">
        <is>
          <t>یکی از معدود ارشدهای خالص Cloud در انگلستان</t>
        </is>
      </c>
      <c r="R14" s="75" t="inlineStr">
        <is>
          <t>https://le.ac.uk/courses/cloud-computing-msc/2026</t>
        </is>
      </c>
    </row>
    <row r="15">
      <c r="A15" s="76" t="n">
        <v>14</v>
      </c>
      <c r="B15" s="73" t="inlineStr">
        <is>
          <t>انگلستان</t>
        </is>
      </c>
      <c r="C15" s="77" t="inlineStr">
        <is>
          <t>Brunel University London</t>
        </is>
      </c>
      <c r="D15" s="77" t="inlineStr">
        <is>
          <t>London – Uxbridge (لندن، غرب؛ کمپوس Brunel)</t>
        </is>
      </c>
      <c r="E15" s="77" t="inlineStr">
        <is>
          <t>خیلی گران — $1,860–2,390</t>
        </is>
      </c>
      <c r="F15" s="77" t="inlineStr">
        <is>
          <t>MSc Artificial Intelligence</t>
        </is>
      </c>
      <c r="G15" s="77" t="inlineStr">
        <is>
          <t>هوش مصنوعی / یادگیری ماشین</t>
        </is>
      </c>
      <c r="H15" s="77" t="inlineStr">
        <is>
          <t>۱ سال</t>
        </is>
      </c>
      <c r="I15" s="77" t="inlineStr">
        <is>
          <t>$32,900</t>
        </is>
      </c>
      <c r="J15" s="77" t="inlineStr">
        <is>
          <t>$32,900</t>
        </is>
      </c>
      <c r="K15" s="74" t="inlineStr">
        <is>
          <t>$55–61k</t>
        </is>
      </c>
      <c r="L15" s="77" t="inlineStr">
        <is>
          <t>2:2</t>
        </is>
      </c>
      <c r="M15" s="77" t="inlineStr">
        <is>
          <t>6.5</t>
        </is>
      </c>
      <c r="N15" s="77" t="inlineStr">
        <is>
          <t>353</t>
        </is>
      </c>
      <c r="O15" s="45" t="inlineStr">
        <is>
          <t>Safe/Target</t>
        </is>
      </c>
      <c r="P15" s="77" t="inlineStr">
        <is>
          <t>5/5 — داغ‌ترین بازار؛ «AI Engineer» سریع‌ترین‌رشد (LinkedIn 2026)؛ ولی برنامه‌های ریاضی‌محور (Tübingen، UvA، KTH) بسیار رقابتی‌اند</t>
        </is>
      </c>
      <c r="Q15" s="77" t="inlineStr">
        <is>
          <t>لندن = بازار کار بزرگ ولی زندگی $1,860–2,390/ماه؛ بورس تا $7,950 تضمینی نیست</t>
        </is>
      </c>
      <c r="R15" s="78" t="inlineStr">
        <is>
          <t>https://www.brunel.ac.uk/study/courses/artificial-intelligence-msc</t>
        </is>
      </c>
    </row>
    <row r="16">
      <c r="A16" s="40" t="n">
        <v>15</v>
      </c>
      <c r="B16" s="73" t="inlineStr">
        <is>
          <t>انگلستان</t>
        </is>
      </c>
      <c r="C16" s="37" t="inlineStr">
        <is>
          <t>Brunel University London</t>
        </is>
      </c>
      <c r="D16" s="37" t="inlineStr">
        <is>
          <t>London – Uxbridge (لندن، غرب؛ کمپوس Brunel)</t>
        </is>
      </c>
      <c r="E16" s="37" t="inlineStr">
        <is>
          <t>خیلی گران — $1,860–2,390</t>
        </is>
      </c>
      <c r="F16" s="37" t="inlineStr">
        <is>
          <t>MSc Data Science and Analytics</t>
        </is>
      </c>
      <c r="G16" s="37" t="inlineStr">
        <is>
          <t>علم داده / تحلیل داده</t>
        </is>
      </c>
      <c r="H16" s="37" t="inlineStr">
        <is>
          <t>۱ سال</t>
        </is>
      </c>
      <c r="I16" s="37" t="inlineStr">
        <is>
          <t>$32,900</t>
        </is>
      </c>
      <c r="J16" s="37" t="inlineStr">
        <is>
          <t>$32,900</t>
        </is>
      </c>
      <c r="K16" s="74" t="inlineStr">
        <is>
          <t>$55–61k</t>
        </is>
      </c>
      <c r="L16" s="37" t="inlineStr">
        <is>
          <t>2:2</t>
        </is>
      </c>
      <c r="M16" s="37" t="inlineStr">
        <is>
          <t>6.5</t>
        </is>
      </c>
      <c r="N16" s="37" t="inlineStr">
        <is>
          <t>353</t>
        </is>
      </c>
      <c r="O16" s="45" t="inlineStr">
        <is>
          <t>Safe/Target</t>
        </is>
      </c>
      <c r="P16" s="37" t="inlineStr">
        <is>
          <t>3/5 — بازار ارشد/سینیور خوب، ولی سطح جونیور اشباع (ده‌ها هزار فارغ‌التحصیل مشابه)؛ Data Engineer کم‌رقابت‌تر از Data Scientist</t>
        </is>
      </c>
      <c r="Q16" s="37" t="inlineStr"/>
      <c r="R16" s="75" t="inlineStr">
        <is>
          <t>https://www.brunel.ac.uk/study/courses/data-science-and-analytics-msc</t>
        </is>
      </c>
    </row>
    <row r="17">
      <c r="A17" s="76" t="n">
        <v>16</v>
      </c>
      <c r="B17" s="73" t="inlineStr">
        <is>
          <t>انگلستان</t>
        </is>
      </c>
      <c r="C17" s="77" t="inlineStr">
        <is>
          <t>University of Kent</t>
        </is>
      </c>
      <c r="D17" s="77" t="inlineStr">
        <is>
          <t>Canterbury (کنتربری) — Kent</t>
        </is>
      </c>
      <c r="E17" s="77" t="inlineStr">
        <is>
          <t>متوسط — $1,330–1,790</t>
        </is>
      </c>
      <c r="F17" s="77" t="inlineStr">
        <is>
          <t>MSc Cyber Security (NCSC fully certified + BCS)</t>
        </is>
      </c>
      <c r="G17" s="77" t="inlineStr">
        <is>
          <t>امنیت سایبری</t>
        </is>
      </c>
      <c r="H17" s="77" t="inlineStr">
        <is>
          <t>۱ سال</t>
        </is>
      </c>
      <c r="I17" s="77" t="inlineStr">
        <is>
          <t>≈ $31,100</t>
        </is>
      </c>
      <c r="J17" s="77" t="inlineStr">
        <is>
          <t>$31,100</t>
        </is>
      </c>
      <c r="K17" s="74" t="inlineStr">
        <is>
          <t>$47–53k</t>
        </is>
      </c>
      <c r="L17" s="77" t="inlineStr">
        <is>
          <t>«good 2:2»</t>
        </is>
      </c>
      <c r="M17" s="77" t="inlineStr">
        <is>
          <t>6.5</t>
        </is>
      </c>
      <c r="N17" s="77" t="inlineStr">
        <is>
          <t>415</t>
        </is>
      </c>
      <c r="O17" s="30" t="inlineStr">
        <is>
          <t>Target</t>
        </is>
      </c>
      <c r="P17" s="77" t="inlineStr">
        <is>
          <t>4/5 — کمبود ساختاری (Bitkom: جزو ۳ کمبود اصلی آلمان)؛ اما ۳۱٪ تیم‌ها هیچ نیروی جونیور ندارند → کارآموزی/گواهی لازم است</t>
        </is>
      </c>
      <c r="Q17" s="77" t="inlineStr">
        <is>
          <t>گواهی کامل NCSC = معتبرترین برچسب امنیت در بریتانیا؛ رقم شهریه از مرجع ثانویه</t>
        </is>
      </c>
      <c r="R17" s="78" t="inlineStr">
        <is>
          <t>https://www.kent.ac.uk/courses/postgraduate/1225/cyber-security</t>
        </is>
      </c>
    </row>
    <row r="18">
      <c r="A18" s="40" t="n">
        <v>17</v>
      </c>
      <c r="B18" s="73" t="inlineStr">
        <is>
          <t>انگلستان</t>
        </is>
      </c>
      <c r="C18" s="37" t="inlineStr">
        <is>
          <t>Royal Holloway, University of London</t>
        </is>
      </c>
      <c r="D18" s="37" t="inlineStr">
        <is>
          <t>Egham، Surrey (اگام؛ ۴۰ دقیقه تا لندن)</t>
        </is>
      </c>
      <c r="E18" s="37" t="inlineStr">
        <is>
          <t>گران — $1,720–2,120</t>
        </is>
      </c>
      <c r="F18" s="37" t="inlineStr">
        <is>
          <t>MSc Information and Cyber Security</t>
        </is>
      </c>
      <c r="G18" s="37" t="inlineStr">
        <is>
          <t>امنیت سایبری</t>
        </is>
      </c>
      <c r="H18" s="37" t="inlineStr">
        <is>
          <t>۱ سال</t>
        </is>
      </c>
      <c r="I18" s="37" t="inlineStr">
        <is>
          <t>$33,800</t>
        </is>
      </c>
      <c r="J18" s="37" t="inlineStr">
        <is>
          <t>$33,800</t>
        </is>
      </c>
      <c r="K18" s="74" t="inlineStr">
        <is>
          <t>$54–59k</t>
        </is>
      </c>
      <c r="L18" s="37" t="inlineStr">
        <is>
          <t>2:2</t>
        </is>
      </c>
      <c r="M18" s="37" t="inlineStr">
        <is>
          <t>6.5</t>
        </is>
      </c>
      <c r="N18" s="37">
        <f>485</f>
        <v/>
      </c>
      <c r="O18" s="30" t="inlineStr">
        <is>
          <t>Target</t>
        </is>
      </c>
      <c r="P18" s="37" t="inlineStr">
        <is>
          <t>4/5 — کمبود ساختاری (Bitkom: جزو ۳ کمبود اصلی آلمان)؛ اما ۳۱٪ تیم‌ها هیچ نیروی جونیور ندارند → کارآموزی/گواهی لازم است</t>
        </is>
      </c>
      <c r="Q18" s="37" t="inlineStr">
        <is>
          <t>قدیمی‌ترین گروه امنیت اطلاعات بریتانیا (ISG)؛ NCSC certified</t>
        </is>
      </c>
      <c r="R18" s="75" t="inlineStr">
        <is>
          <t>https://www.royalholloway.ac.uk/studying-here/postgraduate/information-security/information-and-cyber-security/</t>
        </is>
      </c>
    </row>
    <row r="19">
      <c r="A19" s="76" t="n">
        <v>18</v>
      </c>
      <c r="B19" s="73" t="inlineStr">
        <is>
          <t>انگلستان</t>
        </is>
      </c>
      <c r="C19" s="77" t="inlineStr">
        <is>
          <t>Goldsmiths, University of London</t>
        </is>
      </c>
      <c r="D19" s="77" t="inlineStr">
        <is>
          <t>London – New Cross (لندن، جنوب شرق؛ Goldsmiths)</t>
        </is>
      </c>
      <c r="E19" s="77" t="inlineStr">
        <is>
          <t>خیلی گران — $1,860–2,390</t>
        </is>
      </c>
      <c r="F19" s="77" t="inlineStr">
        <is>
          <t>MSc Computer Games Programming</t>
        </is>
      </c>
      <c r="G19" s="77" t="inlineStr">
        <is>
          <t>توسعه بازی</t>
        </is>
      </c>
      <c r="H19" s="77" t="inlineStr">
        <is>
          <t>۱ سال</t>
        </is>
      </c>
      <c r="I19" s="77" t="inlineStr">
        <is>
          <t>$29,200</t>
        </is>
      </c>
      <c r="J19" s="77" t="inlineStr">
        <is>
          <t>$29,200</t>
        </is>
      </c>
      <c r="K19" s="74" t="inlineStr">
        <is>
          <t>$51–58k</t>
        </is>
      </c>
      <c r="L19" s="77" t="inlineStr">
        <is>
          <t>مدرک second-class در رشتهٔ برنامه‌نویسی</t>
        </is>
      </c>
      <c r="M19" s="77" t="inlineStr">
        <is>
          <t>6.5 (6.0)</t>
        </is>
      </c>
      <c r="N19" s="77" t="inlineStr">
        <is>
          <t>≈ 800–1000</t>
        </is>
      </c>
      <c r="O19" s="45" t="inlineStr">
        <is>
          <t>Safe/Target</t>
        </is>
      </c>
      <c r="P19" s="77" t="inlineStr">
        <is>
          <t>2/5 — ≈۴۵ هزار اخراج ۲۰۲۲–۲۰۲۵؛ ۲۶٪ توسعه‌دهندگان اروپایی حداقل یک‌بار اخراج شده‌اند؛ حقوق برنامه‌نویس Unity تا ۵۰٪ افت — سابقهٔ Unity شما مزیت ورود است، نه تضمین</t>
        </is>
      </c>
      <c r="Q19" s="77" t="inlineStr">
        <is>
          <t>پورتفولیوی Unity/C# شما اینجا مستقیماً به کار می‌آید؛ بازار بازی ۲۰۲۲–۲۵ ضعیف</t>
        </is>
      </c>
      <c r="R19" s="78" t="inlineStr">
        <is>
          <t>https://www.gold.ac.uk/pg/msc-computer-games-programming/</t>
        </is>
      </c>
    </row>
    <row r="20">
      <c r="A20" s="40" t="n">
        <v>19</v>
      </c>
      <c r="B20" s="73" t="inlineStr">
        <is>
          <t>انگلستان</t>
        </is>
      </c>
      <c r="C20" s="37" t="inlineStr">
        <is>
          <t>University of Surrey</t>
        </is>
      </c>
      <c r="D20" s="37" t="inlineStr">
        <is>
          <t>Guildford (گیلفورد) — Surrey، ۳۵ دقیقه تا لندن؛ قطب بازی‌سازی</t>
        </is>
      </c>
      <c r="E20" s="37" t="inlineStr">
        <is>
          <t>گران — $1,720–2,120</t>
        </is>
      </c>
      <c r="F20" s="37" t="inlineStr">
        <is>
          <t>MSc Artificial Intelligence</t>
        </is>
      </c>
      <c r="G20" s="37" t="inlineStr">
        <is>
          <t>هوش مصنوعی / یادگیری ماشین</t>
        </is>
      </c>
      <c r="H20" s="37" t="inlineStr">
        <is>
          <t>۱ سال</t>
        </is>
      </c>
      <c r="I20" s="37" t="inlineStr">
        <is>
          <t>≈ $35,600–36,400</t>
        </is>
      </c>
      <c r="J20" s="37" t="inlineStr">
        <is>
          <t>$35,600–36,400</t>
        </is>
      </c>
      <c r="K20" s="74" t="inlineStr">
        <is>
          <t>$56–62k</t>
        </is>
      </c>
      <c r="L20" s="37" t="inlineStr">
        <is>
          <t>2:2</t>
        </is>
      </c>
      <c r="M20" s="37" t="inlineStr">
        <is>
          <t>6.5</t>
        </is>
      </c>
      <c r="N20" s="37">
        <f>246</f>
        <v/>
      </c>
      <c r="O20" s="30" t="inlineStr">
        <is>
          <t>Target</t>
        </is>
      </c>
      <c r="P20" s="37" t="inlineStr">
        <is>
          <t>5/5 — داغ‌ترین بازار؛ «AI Engineer» سریع‌ترین‌رشد (LinkedIn 2026)؛ ولی برنامه‌های ریاضی‌محور (Tübingen، UvA، KTH) بسیار رقابتی‌اند</t>
        </is>
      </c>
      <c r="Q20" s="37" t="inlineStr">
        <is>
          <t>Guildford قطب بازی‌سازی و امنیت بریتانیا (نزدیک لندن)؛ رقم AI برآورد است (Cyber همین دانشگاه: $35,600 برای سپتامبر ۲۰۲۷ رسمی)</t>
        </is>
      </c>
      <c r="R20" s="75" t="inlineStr">
        <is>
          <t>https://www.surrey.ac.uk/postgraduate/artificial-intelligence-msc</t>
        </is>
      </c>
    </row>
    <row r="21">
      <c r="A21" s="76" t="n">
        <v>20</v>
      </c>
      <c r="B21" s="73" t="inlineStr">
        <is>
          <t>انگلستان</t>
        </is>
      </c>
      <c r="C21" s="77" t="inlineStr">
        <is>
          <t>University of Surrey</t>
        </is>
      </c>
      <c r="D21" s="77" t="inlineStr">
        <is>
          <t>Guildford (گیلفورد) — Surrey، ۳۵ دقیقه تا لندن؛ قطب بازی‌سازی</t>
        </is>
      </c>
      <c r="E21" s="77" t="inlineStr">
        <is>
          <t>گران — $1,720–2,120</t>
        </is>
      </c>
      <c r="F21" s="77" t="inlineStr">
        <is>
          <t>MSc Cyber Security (NCSC)</t>
        </is>
      </c>
      <c r="G21" s="77" t="inlineStr">
        <is>
          <t>امنیت سایبری</t>
        </is>
      </c>
      <c r="H21" s="77" t="inlineStr">
        <is>
          <t>۱ سال</t>
        </is>
      </c>
      <c r="I21" s="77" t="inlineStr">
        <is>
          <t>$35,600 (ورودی سپتامبر ۲۰۲۷ — رسمی؛ فوریه ۲۰۲۷: $34,300)</t>
        </is>
      </c>
      <c r="J21" s="77" t="inlineStr">
        <is>
          <t>$35,600</t>
        </is>
      </c>
      <c r="K21" s="74" t="inlineStr">
        <is>
          <t>$56–61k</t>
        </is>
      </c>
      <c r="L21" s="77" t="inlineStr">
        <is>
          <t>2:2</t>
        </is>
      </c>
      <c r="M21" s="77" t="inlineStr">
        <is>
          <t>6.5 (W 6.0)</t>
        </is>
      </c>
      <c r="N21" s="77">
        <f>246</f>
        <v/>
      </c>
      <c r="O21" s="30" t="inlineStr">
        <is>
          <t>Target</t>
        </is>
      </c>
      <c r="P21" s="77" t="inlineStr">
        <is>
          <t>4/5 — کمبود ساختاری (Bitkom: جزو ۳ کمبود اصلی آلمان)؛ اما ۳۱٪ تیم‌ها هیچ نیروی جونیور ندارند → کارآموزی/گواهی لازم است</t>
        </is>
      </c>
      <c r="Q21" s="77" t="inlineStr">
        <is>
          <t>رقم رسمی دقیقاً برای سال ورود شما (سپتامبر ۲۰۲۷)</t>
        </is>
      </c>
      <c r="R21" s="78" t="inlineStr">
        <is>
          <t>https://www.surrey.ac.uk/postgraduate/cyber-security-msc</t>
        </is>
      </c>
    </row>
    <row r="22">
      <c r="A22" s="40" t="n">
        <v>21</v>
      </c>
      <c r="B22" s="73" t="inlineStr">
        <is>
          <t>انگلستان</t>
        </is>
      </c>
      <c r="C22" s="37" t="inlineStr">
        <is>
          <t>University of York</t>
        </is>
      </c>
      <c r="D22" s="37" t="inlineStr">
        <is>
          <t>York (یورک) — شمال انگلستان</t>
        </is>
      </c>
      <c r="E22" s="37" t="inlineStr">
        <is>
          <t>متوسط — $1,330–1,790</t>
        </is>
      </c>
      <c r="F22" s="37" t="inlineStr">
        <is>
          <t>MSc Advanced Computer Science</t>
        </is>
      </c>
      <c r="G22" s="37" t="inlineStr">
        <is>
          <t>مهندسی نرم‌افزار / علوم کامپیوتر</t>
        </is>
      </c>
      <c r="H22" s="37" t="inlineStr">
        <is>
          <t>۱ سال</t>
        </is>
      </c>
      <c r="I22" s="37" t="inlineStr">
        <is>
          <t>$43,600</t>
        </is>
      </c>
      <c r="J22" s="37" t="inlineStr">
        <is>
          <t>$43,600</t>
        </is>
      </c>
      <c r="K22" s="74" t="inlineStr">
        <is>
          <t>$59–65k</t>
        </is>
      </c>
      <c r="L22" s="37" t="inlineStr">
        <is>
          <t>2:2 با پیش‌زمینهٔ قوی</t>
        </is>
      </c>
      <c r="M22" s="37" t="inlineStr">
        <is>
          <t>6.5</t>
        </is>
      </c>
      <c r="N22" s="37">
        <f>158</f>
        <v/>
      </c>
      <c r="O22" s="42" t="inlineStr">
        <is>
          <t>Target/Reach</t>
        </is>
      </c>
      <c r="P22" s="37" t="inlineStr">
        <is>
          <t>4/5 — بیشترین حجم آگهی در هر ۶ کشور؛ ورود جونیور از ۲۰۲۳ سخت‌تر شده — سابقهٔ کار شما مزیت است</t>
        </is>
      </c>
      <c r="Q22" s="37" t="inlineStr">
        <is>
          <t>Russell Group؛ گران</t>
        </is>
      </c>
      <c r="R22" s="75" t="inlineStr">
        <is>
          <t>https://www.york.ac.uk/study/postgraduate-taught/courses/msc-advanced-computer-science/</t>
        </is>
      </c>
    </row>
    <row r="23">
      <c r="A23" s="76" t="n">
        <v>22</v>
      </c>
      <c r="B23" s="73" t="inlineStr">
        <is>
          <t>انگلستان</t>
        </is>
      </c>
      <c r="C23" s="77" t="inlineStr">
        <is>
          <t>University of York</t>
        </is>
      </c>
      <c r="D23" s="77" t="inlineStr">
        <is>
          <t>York (یورک) — شمال انگلستان</t>
        </is>
      </c>
      <c r="E23" s="77" t="inlineStr">
        <is>
          <t>متوسط — $1,330–1,790</t>
        </is>
      </c>
      <c r="F23" s="77" t="inlineStr">
        <is>
          <t>MSc Human-Centred Interactive Technologies</t>
        </is>
      </c>
      <c r="G23" s="77" t="inlineStr">
        <is>
          <t>HCI / طراحی تعامل / UX</t>
        </is>
      </c>
      <c r="H23" s="77" t="inlineStr">
        <is>
          <t>۱ سال</t>
        </is>
      </c>
      <c r="I23" s="77" t="inlineStr">
        <is>
          <t>$43,600</t>
        </is>
      </c>
      <c r="J23" s="77" t="inlineStr">
        <is>
          <t>$43,600</t>
        </is>
      </c>
      <c r="K23" s="74" t="inlineStr">
        <is>
          <t>$59–65k</t>
        </is>
      </c>
      <c r="L23" s="77" t="inlineStr">
        <is>
          <t>2:2</t>
        </is>
      </c>
      <c r="M23" s="77" t="inlineStr">
        <is>
          <t>6.5</t>
        </is>
      </c>
      <c r="N23" s="77">
        <f>158</f>
        <v/>
      </c>
      <c r="O23" s="30" t="inlineStr">
        <is>
          <t>Target</t>
        </is>
      </c>
      <c r="P23" s="77" t="inlineStr">
        <is>
          <t>2/5 — آگهی‌های UX/UXR از ۲۰۲۲ حدود ۷۰٪ کم شده و از ۲۰۲۳ ثابت مانده؛ رقابت شدید، حقوق شروع کمتر از توسعه‌دهنده</t>
        </is>
      </c>
      <c r="Q23" s="77" t="inlineStr">
        <is>
          <t>بهترین برنامهٔ HCI انگلستان برای معدل شما؛ ولی بازار UX ضعیف</t>
        </is>
      </c>
      <c r="R23" s="78" t="inlineStr">
        <is>
          <t>https://www.york.ac.uk/study/postgraduate-taught/courses/msc-human-centred-interactive-technologies/</t>
        </is>
      </c>
    </row>
    <row r="24">
      <c r="A24" s="40" t="n">
        <v>23</v>
      </c>
      <c r="B24" s="73" t="inlineStr">
        <is>
          <t>انگلستان</t>
        </is>
      </c>
      <c r="C24" s="37" t="inlineStr">
        <is>
          <t>Newcastle University (Russell Group)</t>
        </is>
      </c>
      <c r="D24" s="37" t="inlineStr">
        <is>
          <t>Newcastle upon Tyne (نیوکاسل) — شمال شرق</t>
        </is>
      </c>
      <c r="E24" s="37" t="inlineStr">
        <is>
          <t>ارزان تا متوسط — $1,260–1,660</t>
        </is>
      </c>
      <c r="F24" s="37" t="inlineStr">
        <is>
          <t>MSc Computer Game Engineering</t>
        </is>
      </c>
      <c r="G24" s="37" t="inlineStr">
        <is>
          <t>توسعه بازی</t>
        </is>
      </c>
      <c r="H24" s="37" t="inlineStr">
        <is>
          <t>۱ سال</t>
        </is>
      </c>
      <c r="I24" s="37" t="inlineStr">
        <is>
          <t>$42,800 (2026)</t>
        </is>
      </c>
      <c r="J24" s="37" t="inlineStr">
        <is>
          <t>$42,800</t>
        </is>
      </c>
      <c r="K24" s="74" t="inlineStr">
        <is>
          <t>$58–63k</t>
        </is>
      </c>
      <c r="L24" s="37" t="inlineStr">
        <is>
          <t>2:2 در رشتهٔ کامپیوتری/ریاضی‌محور (طبق QS TopUniversities و IDP — صفحهٔ رسمی را چک کنید)</t>
        </is>
      </c>
      <c r="M24" s="37" t="inlineStr">
        <is>
          <t>6.5</t>
        </is>
      </c>
      <c r="N24" s="37" t="inlineStr">
        <is>
          <t>149</t>
        </is>
      </c>
      <c r="O24" s="42" t="inlineStr">
        <is>
          <t>Target/Reach</t>
        </is>
      </c>
      <c r="P24" s="37" t="inlineStr">
        <is>
          <t>2/5 — ≈۴۵ هزار اخراج ۲۰۲۲–۲۰۲۵؛ ۲۶٪ توسعه‌دهندگان اروپایی حداقل یک‌بار اخراج شده‌اند؛ حقوق برنامه‌نویس Unity تا ۵۰٪ افت — سابقهٔ Unity شما مزیت ورود است، نه تضمین</t>
        </is>
      </c>
      <c r="Q24" s="37" t="inlineStr">
        <is>
          <t>معتبرترین ارشد مهندسی بازی انگلستان؛ گران</t>
        </is>
      </c>
      <c r="R24" s="75" t="inlineStr">
        <is>
          <t>https://www.ncl.ac.uk/postgraduate/</t>
        </is>
      </c>
    </row>
    <row r="25">
      <c r="A25" s="76" t="n">
        <v>24</v>
      </c>
      <c r="B25" s="73" t="inlineStr">
        <is>
          <t>انگلستان</t>
        </is>
      </c>
      <c r="C25" s="77" t="inlineStr">
        <is>
          <t>Lancaster University</t>
        </is>
      </c>
      <c r="D25" s="77" t="inlineStr">
        <is>
          <t>Lancaster (لنکستر) — شمال غرب</t>
        </is>
      </c>
      <c r="E25" s="77" t="inlineStr">
        <is>
          <t>ارزان تا متوسط — $1,260–1,660</t>
        </is>
      </c>
      <c r="F25" s="77" t="inlineStr">
        <is>
          <t>MSc Cyber Security</t>
        </is>
      </c>
      <c r="G25" s="77" t="inlineStr">
        <is>
          <t>امنیت سایبری</t>
        </is>
      </c>
      <c r="H25" s="77" t="inlineStr">
        <is>
          <t>۱ سال</t>
        </is>
      </c>
      <c r="I25" s="77" t="inlineStr">
        <is>
          <t>$39,800 (بورس خودکار $5,960 با 2:1)</t>
        </is>
      </c>
      <c r="J25" s="77" t="inlineStr">
        <is>
          <t>$39,800</t>
        </is>
      </c>
      <c r="K25" s="74" t="inlineStr">
        <is>
          <t>$55–60k</t>
        </is>
      </c>
      <c r="L25" s="77" t="inlineStr">
        <is>
          <t>2:1</t>
        </is>
      </c>
      <c r="M25" s="77" t="inlineStr">
        <is>
          <t>6.5</t>
        </is>
      </c>
      <c r="N25" s="77" t="inlineStr">
        <is>
          <t>164</t>
        </is>
      </c>
      <c r="O25" s="79" t="inlineStr">
        <is>
          <t>Reach</t>
        </is>
      </c>
      <c r="P25" s="77" t="inlineStr">
        <is>
          <t>4/5 — کمبود ساختاری (Bitkom: جزو ۳ کمبود اصلی آلمان)؛ اما ۳۱٪ تیم‌ها هیچ نیروی جونیور ندارند → کارآموزی/گواهی لازم است</t>
        </is>
      </c>
      <c r="Q25" s="77" t="inlineStr">
        <is>
          <t>NCSC-certified؛ شرط 2:1 برای معدل شما سخت است</t>
        </is>
      </c>
      <c r="R25" s="78" t="inlineStr">
        <is>
          <t>https://www.lancaster.ac.uk/study/postgraduate/postgraduate-courses/cyber-security-msc/2026/</t>
        </is>
      </c>
    </row>
    <row r="26">
      <c r="A26" s="40" t="n">
        <v>25</v>
      </c>
      <c r="B26" s="73" t="inlineStr">
        <is>
          <t>انگلستان</t>
        </is>
      </c>
      <c r="C26" s="37" t="inlineStr">
        <is>
          <t>University of Sheffield (Russell Group)</t>
        </is>
      </c>
      <c r="D26" s="37" t="inlineStr">
        <is>
          <t>Sheffield (شفیلد) — یورکشایر</t>
        </is>
      </c>
      <c r="E26" s="37" t="inlineStr">
        <is>
          <t>ارزان تا متوسط — $1,260–1,660</t>
        </is>
      </c>
      <c r="F26" s="37" t="inlineStr">
        <is>
          <t>MSc Artificial Intelligence</t>
        </is>
      </c>
      <c r="G26" s="37" t="inlineStr">
        <is>
          <t>هوش مصنوعی / یادگیری ماشین</t>
        </is>
      </c>
      <c r="H26" s="37" t="inlineStr">
        <is>
          <t>۱ سال</t>
        </is>
      </c>
      <c r="I26" s="37" t="inlineStr">
        <is>
          <t>≈ $43,600–45,500 (2026؛ MSc AI for Engineering همین دانشگاه رسماً $43,600)</t>
        </is>
      </c>
      <c r="J26" s="37" t="inlineStr">
        <is>
          <t>$43,600–45,500</t>
        </is>
      </c>
      <c r="K26" s="74" t="inlineStr">
        <is>
          <t>$59–65k</t>
        </is>
      </c>
      <c r="L26" s="37" t="inlineStr">
        <is>
          <t>2:1</t>
        </is>
      </c>
      <c r="M26" s="37" t="inlineStr">
        <is>
          <t>6.5</t>
        </is>
      </c>
      <c r="N26" s="37" t="inlineStr">
        <is>
          <t>82</t>
        </is>
      </c>
      <c r="O26" s="79" t="inlineStr">
        <is>
          <t>Reach</t>
        </is>
      </c>
      <c r="P26" s="37" t="inlineStr">
        <is>
          <t>5/5 — داغ‌ترین بازار؛ «AI Engineer» سریع‌ترین‌رشد (LinkedIn 2026)؛ ولی برنامه‌های ریاضی‌محور (Tübingen، UvA، KTH) بسیار رقابتی‌اند</t>
        </is>
      </c>
      <c r="Q26" s="37" t="inlineStr">
        <is>
          <t>رتبهٔ بالا، شهریه و شرط ورود بالا؛ رقم دقیق MSc AI را از صفحهٔ رسمی بگیرید</t>
        </is>
      </c>
      <c r="R26" s="75" t="inlineStr">
        <is>
          <t>https://www.sheffield.ac.uk/postgraduate/taught/courses</t>
        </is>
      </c>
    </row>
    <row r="27">
      <c r="A27" s="76" t="n">
        <v>26</v>
      </c>
      <c r="B27" s="73" t="inlineStr">
        <is>
          <t>انگلستان</t>
        </is>
      </c>
      <c r="C27" s="77" t="inlineStr">
        <is>
          <t>Imperial College London (Russell Group)</t>
        </is>
      </c>
      <c r="D27" s="77" t="inlineStr">
        <is>
          <t>London – مرکز (South Kensington / Bloomsbury / Strand؛ Imperial، UCL، KCL)</t>
        </is>
      </c>
      <c r="E27" s="77" t="inlineStr">
        <is>
          <t>خیلی گران — $2,120–2,520 (برآورد خود Imperial: $21.7–22.5k برای ۹ ماه)</t>
        </is>
      </c>
      <c r="F27" s="77" t="inlineStr">
        <is>
          <t>MSc Computing (Artificial Intelligence and Machine Learning) / MSc Computing</t>
        </is>
      </c>
      <c r="G27" s="77" t="inlineStr">
        <is>
          <t>هوش مصنوعی / یادگیری ماشین</t>
        </is>
      </c>
      <c r="H27" s="77" t="inlineStr">
        <is>
          <t>۱ سال</t>
        </is>
      </c>
      <c r="I27" s="77" t="inlineStr">
        <is>
          <t>$61,000 (2026/27 رسمی؛ 2027/28 هنوز اعلام نشده)</t>
        </is>
      </c>
      <c r="J27" s="77" t="inlineStr">
        <is>
          <t>$61,000</t>
        </is>
      </c>
      <c r="K27" s="74" t="inlineStr">
        <is>
          <t>$86–91k</t>
        </is>
      </c>
      <c r="L27" s="77" t="inlineStr">
        <is>
          <t>First-class honours در رشته‌ای با محتوای قابل توجه Computing — برای مدرک ایرانی ≥ ۱۷–۱۸/۲۰ → با ۱۵.۷۷ رسماً واجد شرایط نیستید</t>
        </is>
      </c>
      <c r="M27" s="77" t="inlineStr">
        <is>
          <t>7.0 (higher requirement؛ هر بخش ≥ 6.5)</t>
        </is>
      </c>
      <c r="N27" s="77">
        <f>2</f>
        <v/>
      </c>
      <c r="O27" s="79" t="inlineStr">
        <is>
          <t>Reach</t>
        </is>
      </c>
      <c r="P27" s="77" t="inlineStr">
        <is>
          <t>5/5 — داغ‌ترین بازار؛ «AI Engineer» سریع‌ترین‌رشد (LinkedIn 2026)؛ ولی برنامه‌های ریاضی‌محور (Tübingen، UvA، KTH) بسیار رقابتی‌اند</t>
        </is>
      </c>
      <c r="Q27" s="77" t="inlineStr">
        <is>
          <t>QS 2027 #2 · LEO: میانهٔ درآمد فارغ‌التحصیلان Computing پنج سال بعد $105,500 · دورهای ۲۰۲۷: ۶ ژانویه / ۱۰ مارس / ۲۸ آوریل · Imperial Inspires $19,900 (رقابتی) · ❌ عملاً بسته برای معدل شما</t>
        </is>
      </c>
      <c r="R27" s="78" t="inlineStr">
        <is>
          <t>https://www.imperial.ac.uk/study/courses/postgraduate-taught/computing-artificial-intelligence-msc/</t>
        </is>
      </c>
    </row>
    <row r="28">
      <c r="A28" s="40" t="n">
        <v>27</v>
      </c>
      <c r="B28" s="73" t="inlineStr">
        <is>
          <t>انگلستان</t>
        </is>
      </c>
      <c r="C28" s="37" t="inlineStr">
        <is>
          <t>UCL – University College London (Russell Group)</t>
        </is>
      </c>
      <c r="D28" s="37" t="inlineStr">
        <is>
          <t>London – مرکز (South Kensington / Bloomsbury / Strand؛ Imperial، UCL، KCL)</t>
        </is>
      </c>
      <c r="E28" s="37" t="inlineStr">
        <is>
          <t>خیلی گران — $2,120–2,520 (برآورد خود Imperial: $21.7–22.5k برای ۹ ماه)</t>
        </is>
      </c>
      <c r="F28" s="37" t="inlineStr">
        <is>
          <t>MSc Software Systems Engineering / MSc Machine Learning (MSc Computer Science تبدیلی است و برای فارغ‌التحصیل CS باز نیست)</t>
        </is>
      </c>
      <c r="G28" s="37" t="inlineStr">
        <is>
          <t>مهندسی نرم‌افزار / علوم کامپیوتر</t>
        </is>
      </c>
      <c r="H28" s="37" t="inlineStr">
        <is>
          <t>۱ سال</t>
        </is>
      </c>
      <c r="I28" s="37" t="inlineStr">
        <is>
          <t>≈ $56,600–61,900 (2026/27؛ MSc Computer Science رسماً $56,600)</t>
        </is>
      </c>
      <c r="J28" s="37" t="inlineStr">
        <is>
          <t>$56,600–61,900</t>
        </is>
      </c>
      <c r="K28" s="74" t="inlineStr">
        <is>
          <t>$82–92k</t>
        </is>
      </c>
      <c r="L28" s="37" t="inlineStr">
        <is>
          <t>2:1 (upper second) — جدول تطبیق ایرانِ UCL را نتوانستم رسمی تأیید کنم (معمولاً ۱۵–۱۶/۲۰)؛ ریاضی قوی؛ هزینهٔ درخواست $120؛ ودیعهٔ ۱۰٪ شهریه</t>
        </is>
      </c>
      <c r="M28" s="37" t="inlineStr">
        <is>
          <t>7.0 (Level 2؛ هر بخش ≥ 6.5)</t>
        </is>
      </c>
      <c r="N28" s="37">
        <f>9</f>
        <v/>
      </c>
      <c r="O28" s="79" t="inlineStr">
        <is>
          <t>Reach</t>
        </is>
      </c>
      <c r="P28" s="37" t="inlineStr">
        <is>
          <t>4/5 — بیشترین حجم آگهی در هر ۶ کشور؛ ورود جونیور از ۲۰۲۳ سخت‌تر شده — سابقهٔ کار شما مزیت است</t>
        </is>
      </c>
      <c r="Q28" s="37" t="inlineStr">
        <is>
          <t>QS 2027 #9 · High Fliers 2026: پنجمین دانشگاه هدف کارفرمایان بزرگ · لندن گران‌ترین زندگی · با ۱۵.۷۷ مرزی-پایین</t>
        </is>
      </c>
      <c r="R28" s="75" t="inlineStr">
        <is>
          <t>https://www.ucl.ac.uk/prospective-students/graduate/taught-degrees/computer-science-msc-2026</t>
        </is>
      </c>
    </row>
    <row r="29">
      <c r="A29" s="76" t="n">
        <v>28</v>
      </c>
      <c r="B29" s="73" t="inlineStr">
        <is>
          <t>انگلستان</t>
        </is>
      </c>
      <c r="C29" s="77" t="inlineStr">
        <is>
          <t>King's College London (Russell Group)</t>
        </is>
      </c>
      <c r="D29" s="77" t="inlineStr">
        <is>
          <t>London – مرکز (South Kensington / Bloomsbury / Strand؛ Imperial، UCL، KCL)</t>
        </is>
      </c>
      <c r="E29" s="77" t="inlineStr">
        <is>
          <t>خیلی گران — $2,120–2,520 (برآورد خود Imperial: $21.7–22.5k برای ۹ ماه)</t>
        </is>
      </c>
      <c r="F29" s="77" t="inlineStr">
        <is>
          <t>MSc Advanced Computing / MSc Artificial Intelligence</t>
        </is>
      </c>
      <c r="G29" s="77" t="inlineStr">
        <is>
          <t>مهندسی نرم‌افزار / علوم کامپیوتر</t>
        </is>
      </c>
      <c r="H29" s="77" t="inlineStr">
        <is>
          <t>۱ سال</t>
        </is>
      </c>
      <c r="I29" s="77" t="inlineStr">
        <is>
          <t>$53,600 (2026)</t>
        </is>
      </c>
      <c r="J29" s="77" t="inlineStr">
        <is>
          <t>$53,600</t>
        </is>
      </c>
      <c r="K29" s="74" t="inlineStr">
        <is>
          <t>$79–84k</t>
        </is>
      </c>
      <c r="L29" s="77" t="inlineStr">
        <is>
          <t>«high 2:1» = ۶۵٪ — جدول رسمی KCL برای ایران: ۱۷/۲۰ (2:1 معمولی = ۱۵/۲۰، First = ۱۸/۲۰) → با ۱۵.۷۷ زیر خط، مگر با سابقهٔ کار قابل توجه</t>
        </is>
      </c>
      <c r="M29" s="77" t="inlineStr">
        <is>
          <t>7.0 (هر بخش ≥ 6.5)</t>
        </is>
      </c>
      <c r="N29" s="77">
        <f>31</f>
        <v/>
      </c>
      <c r="O29" s="79" t="inlineStr">
        <is>
          <t>Reach</t>
        </is>
      </c>
      <c r="P29" s="77" t="inlineStr">
        <is>
          <t>4/5 — بیشترین حجم آگهی در هر ۶ کشور؛ ورود جونیور از ۲۰۲۳ سخت‌تر شده — سابقهٔ کار شما مزیت است</t>
        </is>
      </c>
      <c r="Q29" s="77" t="inlineStr">
        <is>
          <t>QS 2027 ≈ 31 · Strand، مرکز لندن · نیاز به ۱۷/۲۰ یعنی «high 2:1» — سابقهٔ کار ۲ ساله ممکن است جبران کند (خود KCL این را می‌گوید)، ولی امیدوار نباشید</t>
        </is>
      </c>
      <c r="R29" s="78" t="inlineStr">
        <is>
          <t>https://www.kcl.ac.uk/study-legacy/postgraduate/apply/entry-requirements/international</t>
        </is>
      </c>
    </row>
    <row r="30">
      <c r="A30" s="40" t="n">
        <v>29</v>
      </c>
      <c r="B30" s="73" t="inlineStr">
        <is>
          <t>انگلستان</t>
        </is>
      </c>
      <c r="C30" s="37" t="inlineStr">
        <is>
          <t>University of Warwick (Russell Group)</t>
        </is>
      </c>
      <c r="D30" s="37" t="inlineStr">
        <is>
          <t>Coventry (کاونتری) — کمپوس Warwick؛ میدلندز</t>
        </is>
      </c>
      <c r="E30" s="37" t="inlineStr">
        <is>
          <t>متوسط — $1,330–1,660</t>
        </is>
      </c>
      <c r="F30" s="37" t="inlineStr">
        <is>
          <t>MSc Computer Science</t>
        </is>
      </c>
      <c r="G30" s="37" t="inlineStr">
        <is>
          <t>مهندسی نرم‌افزار / علوم کامپیوتر</t>
        </is>
      </c>
      <c r="H30" s="37" t="inlineStr">
        <is>
          <t>۱ سال</t>
        </is>
      </c>
      <c r="I30" s="37" t="inlineStr">
        <is>
          <t>$49,600 (2026 entry)</t>
        </is>
      </c>
      <c r="J30" s="37" t="inlineStr">
        <is>
          <t>$49,600</t>
        </is>
      </c>
      <c r="K30" s="74" t="inlineStr">
        <is>
          <t>$66–70k</t>
        </is>
      </c>
      <c r="L30" s="37" t="inlineStr">
        <is>
          <t>2:1 — جدول رسمی Warwick برای ایران: 1st = ۱۷/۲۰، 2:1 = ۱۵/۲۰، 2:2 = ۱۳/۲۰ → ۱۵.۷۷ ✓ (پذیرش PGT ≈ ۲۲٪، رقابتی)</t>
        </is>
      </c>
      <c r="M30" s="37" t="inlineStr">
        <is>
          <t>7.0 (اکثر PGT؛ بعضی 6.5)</t>
        </is>
      </c>
      <c r="N30" s="37">
        <f>69</f>
        <v/>
      </c>
      <c r="O30" s="42" t="inlineStr">
        <is>
          <t>Target/Reach</t>
        </is>
      </c>
      <c r="P30" s="37" t="inlineStr">
        <is>
          <t>4/5 — بیشترین حجم آگهی در هر ۶ کشور؛ ورود جونیور از ۲۰۲۳ سخت‌تر شده — سابقهٔ کار شما مزیت است</t>
        </is>
      </c>
      <c r="Q30" s="37" t="inlineStr">
        <is>
          <t>QS 2027 ≈ 69 · High Fliers 2026: چهارمین دانشگاه هدف کارفرمایان · Coventry ارزان‌تر از لندن · هزینهٔ درخواست $99، ودیعهٔ $3,310 · واقع‌بینانه‌ترین «برند بزرگ» برای معدل شما</t>
        </is>
      </c>
      <c r="R30" s="75" t="inlineStr">
        <is>
          <t>https://warwick.ac.uk/study/international/countryinformation/middleeast/iran/</t>
        </is>
      </c>
    </row>
    <row r="31">
      <c r="A31" s="76" t="n">
        <v>30</v>
      </c>
      <c r="B31" s="73" t="inlineStr">
        <is>
          <t>انگلستان</t>
        </is>
      </c>
      <c r="C31" s="77" t="inlineStr">
        <is>
          <t>University of Bristol (Russell Group)</t>
        </is>
      </c>
      <c r="D31" s="77" t="inlineStr">
        <is>
          <t>Bristol (بریستول) — جنوب غرب؛ قطب فناوری/هوافضا</t>
        </is>
      </c>
      <c r="E31" s="77" t="inlineStr">
        <is>
          <t>گران — $1,590–1,920</t>
        </is>
      </c>
      <c r="F31" s="77" t="inlineStr">
        <is>
          <t>MSc Data Science (برای فارغ‌التحصیل CS/مهندسی؛ MSc Computer Science بریستول تبدیلی است)</t>
        </is>
      </c>
      <c r="G31" s="77" t="inlineStr">
        <is>
          <t>علم داده / تحلیل داده</t>
        </is>
      </c>
      <c r="H31" s="77" t="inlineStr">
        <is>
          <t>۱ سال</t>
        </is>
      </c>
      <c r="I31" s="77" t="inlineStr">
        <is>
          <t>$50,200 (2027/28 رسمی — ورودی سپتامبر ۲۰۲۷)</t>
        </is>
      </c>
      <c r="J31" s="77" t="inlineStr">
        <is>
          <t>$50,200</t>
        </is>
      </c>
      <c r="K31" s="74" t="inlineStr">
        <is>
          <t>$69–73k</t>
        </is>
      </c>
      <c r="L31" s="77" t="inlineStr">
        <is>
          <t>«strong 2:1 (۶۵٪+)» در CS/مهندسی/علوم عددی؛ صفحهٔ ایرانِ بریستول: کارشناسی ۴ ساله از دانشگاه مورد تأیید با حداقل ۱۵/۲۰ → ۱۵.۷۷ حداقل را رد می‌کند ولی «strong» نیست</t>
        </is>
      </c>
      <c r="M31" s="77" t="inlineStr">
        <is>
          <t>6.5 (Profile E) — چک شود</t>
        </is>
      </c>
      <c r="N31" s="77">
        <f>54</f>
        <v/>
      </c>
      <c r="O31" s="79" t="inlineStr">
        <is>
          <t>Reach</t>
        </is>
      </c>
      <c r="P31" s="77" t="inlineStr">
        <is>
          <t>3/5 — بازار ارشد/سینیور خوب، ولی سطح جونیور اشباع (ده‌ها هزار فارغ‌التحصیل مشابه)؛ Data Engineer کم‌رقابت‌تر از Data Scientist</t>
        </is>
      </c>
      <c r="Q31" s="77" t="inlineStr">
        <is>
          <t>QS 2027 ≈ 54 · LEO: میانهٔ Computing پنج سال بعد $93,100 · High Fliers: پنجم (۲۰۲۵) · Think Big Scholarship (رقابتی) · با ۱۵.۷۷ Reach</t>
        </is>
      </c>
      <c r="R31" s="78" t="inlineStr">
        <is>
          <t>https://www.bristol.ac.uk/study/postgraduate/taught/msc-data-science/</t>
        </is>
      </c>
    </row>
    <row r="32">
      <c r="A32" s="40" t="n">
        <v>31</v>
      </c>
      <c r="B32" s="73" t="inlineStr">
        <is>
          <t>انگلستان</t>
        </is>
      </c>
      <c r="C32" s="37" t="inlineStr">
        <is>
          <t>Durham University (Russell Group)</t>
        </is>
      </c>
      <c r="D32" s="37" t="inlineStr">
        <is>
          <t>Durham (دورهام) — شمال شرق؛ ۱۵ دقیقه تا نیوکاسل</t>
        </is>
      </c>
      <c r="E32" s="37" t="inlineStr">
        <is>
          <t>ارزان تا متوسط — $1,260–1,590</t>
        </is>
      </c>
      <c r="F32" s="37" t="inlineStr">
        <is>
          <t>MSc Advanced Computer Science (و MSc Data Science)</t>
        </is>
      </c>
      <c r="G32" s="37" t="inlineStr">
        <is>
          <t>مهندسی نرم‌افزار / علوم کامپیوتر</t>
        </is>
      </c>
      <c r="H32" s="37" t="inlineStr">
        <is>
          <t>۱ سال</t>
        </is>
      </c>
      <c r="I32" s="37" t="inlineStr">
        <is>
          <t>$45,700 (2026 entry)</t>
        </is>
      </c>
      <c r="J32" s="37" t="inlineStr">
        <is>
          <t>$45,700</t>
        </is>
      </c>
      <c r="K32" s="74" t="inlineStr">
        <is>
          <t>$61–65k</t>
        </is>
      </c>
      <c r="L32" s="37" t="inlineStr">
        <is>
          <t>2:1 در CS — جدول رسمی Durham برای ایران: 1st ≥ ۱۷/۲۰، 2:1 = ۱۴–۱۶/۲۰، 2:2 = ۱۲–۱۳/۲۰ (دانشگاه باید در فهرست Ecctis باشد) → ۱۵.۷۷ ✓</t>
        </is>
      </c>
      <c r="M32" s="37" t="inlineStr">
        <is>
          <t>6.5 (هر بخش ≥ 6.0)</t>
        </is>
      </c>
      <c r="N32" s="37">
        <f>94</f>
        <v/>
      </c>
      <c r="O32" s="30" t="inlineStr">
        <is>
          <t>Target</t>
        </is>
      </c>
      <c r="P32" s="37" t="inlineStr">
        <is>
          <t>4/5 — بیشترین حجم آگهی در هر ۶ کشور؛ ورود جونیور از ۲۰۲۳ سخت‌تر شده — سابقهٔ کار شما مزیت است</t>
        </is>
      </c>
      <c r="Q32" s="37" t="inlineStr">
        <is>
          <t>QS 2027 ≈ 94 · High Fliers 2025: دهم · ارزان‌ترین شهر بین این شش · ارزان‌ترین Russell Group این فهرست بعد از York/Newcastle · شروع سپتامبر ۲۰۲۶ اعلام شده؛ ۲۰۲۷ مشابه</t>
        </is>
      </c>
      <c r="R32" s="75" t="inlineStr">
        <is>
          <t>https://www.durham.ac.uk/study/courses/advanced-computer-science-g5t609/</t>
        </is>
      </c>
    </row>
    <row r="33">
      <c r="A33" s="80" t="n">
        <v>32</v>
      </c>
      <c r="B33" s="81" t="inlineStr">
        <is>
          <t>سوئیس</t>
        </is>
      </c>
      <c r="C33" s="82" t="inlineStr">
        <is>
          <t>USI – Università della Svizzera italiana</t>
        </is>
      </c>
      <c r="D33" s="82" t="inlineStr">
        <is>
          <t>Lugano (لوگانو) — تیچینو، ایتالیایی‌زبان؛ IDSIA؛ ارزان‌ترین شهر دانشگاهی سوئیس</t>
        </is>
      </c>
      <c r="E33" s="82" t="inlineStr">
        <is>
          <t>گران — $1,690–2,180</t>
        </is>
      </c>
      <c r="F33" s="82" t="inlineStr">
        <is>
          <t>MSc Informatics (گرایش‌ها: Artificial Intelligence، Software Development، Systems…)</t>
        </is>
      </c>
      <c r="G33" s="82" t="inlineStr">
        <is>
          <t>مهندسی نرم‌افزار / علوم کامپیوتر</t>
        </is>
      </c>
      <c r="H33" s="82" t="inlineStr">
        <is>
          <t>۲ سال (120 ECTS)</t>
        </is>
      </c>
      <c r="I33" s="82" t="inlineStr">
        <is>
          <t>$4,840 در ترم برای غیرمقیم سوئیس ($9,680/سال)</t>
        </is>
      </c>
      <c r="J33" s="82" t="inlineStr">
        <is>
          <t>$19,400</t>
        </is>
      </c>
      <c r="K33" s="83" t="inlineStr">
        <is>
          <t>$60–72k</t>
        </is>
      </c>
      <c r="L33" s="82" t="inlineStr">
        <is>
          <t>کارشناسی CS/مرتبط؛ فارغ‌التحصیل UAS با ۳۰–۶۰ ECTS تکمیلی؛ بررسی موردی</t>
        </is>
      </c>
      <c r="M33" s="82" t="inlineStr">
        <is>
          <t>B2 در ورود (IELTS 5.5) → C1 (7.0) تا فارغ‌التحصیلی</t>
        </is>
      </c>
      <c r="N33" s="82">
        <f>456</f>
        <v/>
      </c>
      <c r="O33" s="84" t="inlineStr">
        <is>
          <t>Target</t>
        </is>
      </c>
      <c r="P33" s="82" t="inlineStr">
        <is>
          <t>4/5 — بیشترین حجم آگهی در هر ۶ کشور؛ ورود جونیور از ۲۰۲۳ سخت‌تر شده — سابقهٔ کار شما مزیت است</t>
        </is>
      </c>
      <c r="Q33" s="82" t="inlineStr">
        <is>
          <t>کم‌شرط‌ترین ورود سوئیس؛ Lugano ارزان‌ترین شهر دانشگاهی سوئیس؛ مهلت غیر-EU ۳۰ آوریل ۲۰۲۷؛ زبان شهر ایتالیایی</t>
        </is>
      </c>
      <c r="R33" s="85" t="inlineStr">
        <is>
          <t>https://www.usi.ch/en/education/master/informatics</t>
        </is>
      </c>
    </row>
    <row r="34">
      <c r="A34" s="40" t="n">
        <v>33</v>
      </c>
      <c r="B34" s="86" t="inlineStr">
        <is>
          <t>سوئیس</t>
        </is>
      </c>
      <c r="C34" s="37" t="inlineStr">
        <is>
          <t>USI – Università della Svizzera italiana</t>
        </is>
      </c>
      <c r="D34" s="37" t="inlineStr">
        <is>
          <t>Lugano (لوگانو) — تیچینو، ایتالیایی‌زبان؛ IDSIA؛ ارزان‌ترین شهر دانشگاهی سوئیس</t>
        </is>
      </c>
      <c r="E34" s="37" t="inlineStr">
        <is>
          <t>گران — $1,690–2,180</t>
        </is>
      </c>
      <c r="F34" s="37" t="inlineStr">
        <is>
          <t>MSc Artificial Intelligence (با IDSIA)</t>
        </is>
      </c>
      <c r="G34" s="37" t="inlineStr">
        <is>
          <t>هوش مصنوعی / یادگیری ماشین</t>
        </is>
      </c>
      <c r="H34" s="37" t="inlineStr">
        <is>
          <t>۲ سال (120 ECTS)</t>
        </is>
      </c>
      <c r="I34" s="37" t="inlineStr">
        <is>
          <t>$4,840 در ترم برای غیرمقیم ($9,680/سال)</t>
        </is>
      </c>
      <c r="J34" s="37" t="inlineStr">
        <is>
          <t>$19,400</t>
        </is>
      </c>
      <c r="K34" s="74" t="inlineStr">
        <is>
          <t>$60–72k</t>
        </is>
      </c>
      <c r="L34" s="37" t="inlineStr">
        <is>
          <t>کارشناسی CS/مرتبط با ریاضی و برنامه‌نویسی قوی؛ بررسی موردی</t>
        </is>
      </c>
      <c r="M34" s="37" t="inlineStr">
        <is>
          <t>6.5 (B2؛ C1 تا پایان دوره)</t>
        </is>
      </c>
      <c r="N34" s="37">
        <f>456</f>
        <v/>
      </c>
      <c r="O34" s="30" t="inlineStr">
        <is>
          <t>Target</t>
        </is>
      </c>
      <c r="P34" s="37" t="inlineStr">
        <is>
          <t>5/5 — داغ‌ترین بازار؛ «AI Engineer» سریع‌ترین‌رشد (LinkedIn 2026)؛ ولی برنامه‌های ریاضی‌محور (Tübingen، UvA، KTH) بسیار رقابتی‌اند</t>
        </is>
      </c>
      <c r="Q34" s="37" t="inlineStr">
        <is>
          <t>اولین ارشد AI سوئیس؛ IDSIA (آزمایشگاه Schmidhuber/LSTM)؛ رقابتی‌تر از Informatics</t>
        </is>
      </c>
      <c r="R34" s="75" t="inlineStr">
        <is>
          <t>https://www.usi.ch/en/education/master/artificial-intelligence</t>
        </is>
      </c>
    </row>
    <row r="35">
      <c r="A35" s="76" t="n">
        <v>34</v>
      </c>
      <c r="B35" s="86" t="inlineStr">
        <is>
          <t>سوئیس</t>
        </is>
      </c>
      <c r="C35" s="77" t="inlineStr">
        <is>
          <t>USI – Università della Svizzera italiana</t>
        </is>
      </c>
      <c r="D35" s="77" t="inlineStr">
        <is>
          <t>Lugano (لوگانو) — تیچینو، ایتالیایی‌زبان؛ IDSIA؛ ارزان‌ترین شهر دانشگاهی سوئیس</t>
        </is>
      </c>
      <c r="E35" s="77" t="inlineStr">
        <is>
          <t>گران — $1,690–2,180</t>
        </is>
      </c>
      <c r="F35" s="77" t="inlineStr">
        <is>
          <t>MSc Software and Data Engineering</t>
        </is>
      </c>
      <c r="G35" s="77" t="inlineStr">
        <is>
          <t>علم داده / تحلیل داده</t>
        </is>
      </c>
      <c r="H35" s="77" t="inlineStr">
        <is>
          <t>۲ سال (120 ECTS)</t>
        </is>
      </c>
      <c r="I35" s="77" t="inlineStr">
        <is>
          <t>$4,840 در ترم برای غیرمقیم ($9,680/سال)</t>
        </is>
      </c>
      <c r="J35" s="77" t="inlineStr">
        <is>
          <t>$19,400</t>
        </is>
      </c>
      <c r="K35" s="74" t="inlineStr">
        <is>
          <t>$60–72k</t>
        </is>
      </c>
      <c r="L35" s="77" t="inlineStr">
        <is>
          <t>کارشناسی CS/مرتبط</t>
        </is>
      </c>
      <c r="M35" s="77" t="inlineStr">
        <is>
          <t>B2 → C1</t>
        </is>
      </c>
      <c r="N35" s="77">
        <f>456</f>
        <v/>
      </c>
      <c r="O35" s="30" t="inlineStr">
        <is>
          <t>Target</t>
        </is>
      </c>
      <c r="P35" s="77" t="inlineStr">
        <is>
          <t>3/5 — بازار ارشد/سینیور خوب، ولی سطح جونیور اشباع (ده‌ها هزار فارغ‌التحصیل مشابه)؛ Data Engineer کم‌رقابت‌تر از Data Scientist</t>
        </is>
      </c>
      <c r="Q35" s="77" t="inlineStr">
        <is>
          <t>ترکیب مهندسی نرم‌افزار + مهندسی داده (Data Engineering — همان توصیهٔ شیت حوزه‌ها)؛ کم‌رقابت‌تر از AI</t>
        </is>
      </c>
      <c r="R35" s="78" t="inlineStr">
        <is>
          <t>https://www.usi.ch/en/education/master/software-and-data-engineering</t>
        </is>
      </c>
    </row>
    <row r="36">
      <c r="A36" s="40" t="n">
        <v>35</v>
      </c>
      <c r="B36" s="86" t="inlineStr">
        <is>
          <t>سوئیس</t>
        </is>
      </c>
      <c r="C36" s="37" t="inlineStr">
        <is>
          <t>Hochschule Luzern (HSLU)</t>
        </is>
      </c>
      <c r="D36" s="37" t="inlineStr">
        <is>
          <t>Lucerne / Luzern (لوسرن) — مرکز سوئیس، ۴۵ دقیقه تا زوریخ</t>
        </is>
      </c>
      <c r="E36" s="37" t="inlineStr">
        <is>
          <t>گران — $1,880–2,360</t>
        </is>
      </c>
      <c r="F36" s="37" t="inlineStr">
        <is>
          <t>MSc Applied Data Science and AI (نام جدید از اوت ۲۰۲۶؛ قبلاً Applied Information and Data Science)</t>
        </is>
      </c>
      <c r="G36" s="37" t="inlineStr">
        <is>
          <t>علم داده / تحلیل داده</t>
        </is>
      </c>
      <c r="H36" s="37" t="inlineStr">
        <is>
          <t>۲ سال (120 ECTS؛ معمولاً ۴ ترم، قابل تمدید تا ۸)</t>
        </is>
      </c>
      <c r="I36" s="37" t="inlineStr">
        <is>
          <t>$1,570 در ترم (خارجی) + ≈ $335 هزینهٔ جانبی ≈ $3,810/سال؛ هزینهٔ درخواست $305</t>
        </is>
      </c>
      <c r="J36" s="37" t="inlineStr">
        <is>
          <t>$7,620</t>
        </is>
      </c>
      <c r="K36" s="74" t="inlineStr">
        <is>
          <t>$53–64k</t>
        </is>
      </c>
      <c r="L36" s="37" t="inlineStr">
        <is>
          <t>هر کارشناسی (دانشگاه یا UAS)؛ آزمون انگلیسی + آزمون استعداد HSLU</t>
        </is>
      </c>
      <c r="M36" s="37" t="inlineStr">
        <is>
          <t>C1 (B2 مشروط)</t>
        </is>
      </c>
      <c r="N36" s="37" t="inlineStr">
        <is>
          <t>—</t>
        </is>
      </c>
      <c r="O36" s="45" t="inlineStr">
        <is>
          <t>Safe/Target</t>
        </is>
      </c>
      <c r="P36" s="37" t="inlineStr">
        <is>
          <t>3/5 — بازار ارشد/سینیور خوب، ولی سطح جونیور اشباع (ده‌ها هزار فارغ‌التحصیل مشابه)؛ Data Engineer کم‌رقابت‌تر از Data Scientist</t>
        </is>
      </c>
      <c r="Q36" s="37" t="inlineStr">
        <is>
          <t>«باز برای تغییر رشته‌ای‌ها»، کاربردی و مدیریتی؛ ترکیبی (حضوری/آنلاین)؛ آلمانی لازم نیست؛ شروع سپتامبر/فوریه؛ ⚠️ مهلت ویزایی‌ها ۱ آوریل ۲۰۲۷ (رسمی؛ Swiss/EU تا ۱ ژوئن)</t>
        </is>
      </c>
      <c r="R36" s="75" t="inlineStr">
        <is>
          <t>https://www.hslu.ch/en/lucerne-school-of-business/degree-programmes/master/applied-data-science-and-ai/</t>
        </is>
      </c>
    </row>
    <row r="37">
      <c r="A37" s="76" t="n">
        <v>36</v>
      </c>
      <c r="B37" s="86" t="inlineStr">
        <is>
          <t>سوئیس</t>
        </is>
      </c>
      <c r="C37" s="77" t="inlineStr">
        <is>
          <t>University of Bern</t>
        </is>
      </c>
      <c r="D37" s="77" t="inlineStr">
        <is>
          <t>Bern (برن) — پایتخت؛ آلمانی‌زبان</t>
        </is>
      </c>
      <c r="E37" s="77" t="inlineStr">
        <is>
          <t>گران — $1,940–2,420</t>
        </is>
      </c>
      <c r="F37" s="77" t="inlineStr">
        <is>
          <t>Swiss Joint MSc Computer Science (Bern / Neuchâtel / Fribourg)</t>
        </is>
      </c>
      <c r="G37" s="77" t="inlineStr">
        <is>
          <t>مهندسی نرم‌افزار / علوم کامپیوتر</t>
        </is>
      </c>
      <c r="H37" s="77" t="inlineStr">
        <is>
          <t>۱.۵ سال (90 ECTS)</t>
        </is>
      </c>
      <c r="I37" s="77" t="inlineStr">
        <is>
          <t>$3,160 در ترم برای خارجی‌ها از پاییز ۲۰۲۶ (پایه $1,030 + اضافهٔ غیرسوئیسی‌ها $2,060 + جانبی $71) ≈ $6,290/سال</t>
        </is>
      </c>
      <c r="J37" s="77" t="inlineStr">
        <is>
          <t>$9,470</t>
        </is>
      </c>
      <c r="K37" s="74" t="inlineStr">
        <is>
          <t>$44–53k</t>
        </is>
      </c>
      <c r="L37" s="77" t="inlineStr">
        <is>
          <t>کارشناسی Computer Science یا معادل (بررسی موردی؛ حداکثر ۶۰ ECTS تکمیلی — دروس تکمیلی ممکن است آلمانی/فرانسه باشند)</t>
        </is>
      </c>
      <c r="M37" s="77" t="inlineStr">
        <is>
          <t>بدون آزمون (B2 توصیه — FAQ رسمی)</t>
        </is>
      </c>
      <c r="N37" s="77">
        <f>191</f>
        <v/>
      </c>
      <c r="O37" s="30" t="inlineStr">
        <is>
          <t>Target</t>
        </is>
      </c>
      <c r="P37" s="77" t="inlineStr">
        <is>
          <t>4/5 — بیشترین حجم آگهی در هر ۶ کشور؛ ورود جونیور از ۲۰۲۳ سخت‌تر شده — سابقهٔ کار شما مزیت است</t>
        </is>
      </c>
      <c r="Q37" s="87" t="inlineStr">
        <is>
          <t>⚠️ شهریهٔ خارجی‌ها از پاییز ۲۰۲۶ سه‌برابر شد (رسمی unibe.ch) → همان مدرک مشترک را از Neuchâtel ($955/ترم) یا Fribourg ($1,190/ترم) بگیرید؛ مهلت ۳۰ آوریل — ویزایی‌ها مهلت دیرهنگام ندارند</t>
        </is>
      </c>
      <c r="R37" s="78" t="inlineStr">
        <is>
          <t>https://www.philnat.unibe.ch/studies/study_programs/master_s_in_computer_science/index_eng.html</t>
        </is>
      </c>
    </row>
    <row r="38">
      <c r="A38" s="40" t="n">
        <v>37</v>
      </c>
      <c r="B38" s="86" t="inlineStr">
        <is>
          <t>سوئیس</t>
        </is>
      </c>
      <c r="C38" s="37" t="inlineStr">
        <is>
          <t>University of Neuchâtel</t>
        </is>
      </c>
      <c r="D38" s="37" t="inlineStr">
        <is>
          <t>Neuchâtel (نوشاتل) — فرانسه‌زبان؛ کنار دریاچه؛ ۳۵ دقیقه تا برن</t>
        </is>
      </c>
      <c r="E38" s="37" t="inlineStr">
        <is>
          <t>متوسط تا گران — $1,630–2,120</t>
        </is>
      </c>
      <c r="F38" s="37" t="inlineStr">
        <is>
          <t>Swiss Joint MSc Computer Science (ثبت‌نام در Neuchâtel)</t>
        </is>
      </c>
      <c r="G38" s="37" t="inlineStr">
        <is>
          <t>مهندسی نرم‌افزار / علوم کامپیوتر</t>
        </is>
      </c>
      <c r="H38" s="37" t="inlineStr">
        <is>
          <t>۱.۵ سال (90 ECTS)</t>
        </is>
      </c>
      <c r="I38" s="37" t="inlineStr">
        <is>
          <t>$955 در ترم (خارجی؛ شامل همهٔ هزینه‌ها) = $1,910/سال</t>
        </is>
      </c>
      <c r="J38" s="37" t="inlineStr">
        <is>
          <t>$2,870</t>
        </is>
      </c>
      <c r="K38" s="74" t="inlineStr">
        <is>
          <t>$32–41k</t>
        </is>
      </c>
      <c r="L38" s="37" t="inlineStr">
        <is>
          <t>کارشناسی CS یا معادل (بررسی موردی؛ حداکثر ۶۰ ECTS تکمیلی)</t>
        </is>
      </c>
      <c r="M38" s="37" t="inlineStr">
        <is>
          <t>بدون آزمون (B2 توصیه — FAQ رسمی)</t>
        </is>
      </c>
      <c r="N38" s="37" t="inlineStr">
        <is>
          <t>—</t>
        </is>
      </c>
      <c r="O38" s="30" t="inlineStr">
        <is>
          <t>Target</t>
        </is>
      </c>
      <c r="P38" s="37" t="inlineStr">
        <is>
          <t>4/5 — بیشترین حجم آگهی در هر ۶ کشور؛ ورود جونیور از ۲۰۲۳ سخت‌تر شده — سابقهٔ کار شما مزیت است</t>
        </is>
      </c>
      <c r="Q38" s="37" t="inlineStr">
        <is>
          <t>ارزان‌ترین شهریهٔ سوئیس؛ همان مدرک مشترک Bern/Fribourg (دروس در سه شهر، بلیت قطار جبران می‌شود)؛ مهلت ۳۰ آوریل (خارجی‌ها: تا ۳۱ مارس بفرستید)؛ هزینهٔ پرونده $120 از شهریه کم می‌شود؛ شهر فرانسه‌زبان</t>
        </is>
      </c>
      <c r="R38" s="75" t="inlineStr">
        <is>
          <t>https://mcs.unibnf.ch/</t>
        </is>
      </c>
    </row>
    <row r="39">
      <c r="A39" s="76" t="n">
        <v>38</v>
      </c>
      <c r="B39" s="86" t="inlineStr">
        <is>
          <t>سوئیس</t>
        </is>
      </c>
      <c r="C39" s="77" t="inlineStr">
        <is>
          <t>University of Fribourg</t>
        </is>
      </c>
      <c r="D39" s="77" t="inlineStr">
        <is>
          <t>Fribourg (فریبورگ) — دوزبانه (آلمانی/فرانسه)</t>
        </is>
      </c>
      <c r="E39" s="77" t="inlineStr">
        <is>
          <t>گران — $1,750–2,180</t>
        </is>
      </c>
      <c r="F39" s="77" t="inlineStr">
        <is>
          <t>Swiss Joint MSc Computer Science (ثبت‌نام در Fribourg)</t>
        </is>
      </c>
      <c r="G39" s="77" t="inlineStr">
        <is>
          <t>مهندسی نرم‌افزار / علوم کامپیوتر</t>
        </is>
      </c>
      <c r="H39" s="77" t="inlineStr">
        <is>
          <t>۱.۵ سال (90 ECTS)</t>
        </is>
      </c>
      <c r="I39" s="77" t="inlineStr">
        <is>
          <t>$1,190 در ترم (خارجی؛ رسمی؛ شامل $140 اضافهٔ خارجی‌ها) = $2,380/سال</t>
        </is>
      </c>
      <c r="J39" s="77" t="inlineStr">
        <is>
          <t>$3,580</t>
        </is>
      </c>
      <c r="K39" s="74" t="inlineStr">
        <is>
          <t>$35–43k</t>
        </is>
      </c>
      <c r="L39" s="77" t="inlineStr">
        <is>
          <t>کارشناسی CS یا معادل (بررسی موردی؛ حداکثر ۶۰ ECTS تکمیلی)</t>
        </is>
      </c>
      <c r="M39" s="77" t="inlineStr">
        <is>
          <t>بدون آزمون (B2 توصیه — FAQ رسمی)</t>
        </is>
      </c>
      <c r="N39" s="77">
        <f>670</f>
        <v/>
      </c>
      <c r="O39" s="30" t="inlineStr">
        <is>
          <t>Target</t>
        </is>
      </c>
      <c r="P39" s="77" t="inlineStr">
        <is>
          <t>4/5 — بیشترین حجم آگهی در هر ۶ کشور؛ ورود جونیور از ۲۰۲۳ سخت‌تر شده — سابقهٔ کار شما مزیت است</t>
        </is>
      </c>
      <c r="Q39" s="77" t="inlineStr">
        <is>
          <t>همان برنامهٔ مشترک Bern/Neuchâtel؛ شهر دوزبانه و ارزان‌تر؛ ⚠️ مهلت ویزایی‌ها ۱–۲۸ فوریه ۲۰۲۷ (رسمی unifr.ch)</t>
        </is>
      </c>
      <c r="R39" s="78" t="inlineStr">
        <is>
          <t>https://www.unifr.ch/inf/en/</t>
        </is>
      </c>
    </row>
    <row r="40">
      <c r="A40" s="40" t="n">
        <v>39</v>
      </c>
      <c r="B40" s="86" t="inlineStr">
        <is>
          <t>سوئیس</t>
        </is>
      </c>
      <c r="C40" s="37" t="inlineStr">
        <is>
          <t>University of Basel</t>
        </is>
      </c>
      <c r="D40" s="37" t="inlineStr">
        <is>
          <t>Basel (بازل) — Roche، Novartis؛ مرز آلمان/فرانسه</t>
        </is>
      </c>
      <c r="E40" s="37" t="inlineStr">
        <is>
          <t>گران — $1,940–2,540</t>
        </is>
      </c>
      <c r="F40" s="37" t="inlineStr">
        <is>
          <t>MSc Computer Science</t>
        </is>
      </c>
      <c r="G40" s="37" t="inlineStr">
        <is>
          <t>مهندسی نرم‌افزار / علوم کامپیوتر</t>
        </is>
      </c>
      <c r="H40" s="37" t="inlineStr">
        <is>
          <t>۱.۵ سال (90 ECTS)</t>
        </is>
      </c>
      <c r="I40" s="37" t="inlineStr">
        <is>
          <t>$1,030 در ترم (برای همه؛ بدون اضافهٔ خارجی‌ها — رسمی 2026/27) = $2,060/سال</t>
        </is>
      </c>
      <c r="J40" s="37" t="inlineStr">
        <is>
          <t>$3,090</t>
        </is>
      </c>
      <c r="K40" s="74" t="inlineStr">
        <is>
          <t>$38–49k</t>
        </is>
      </c>
      <c r="L40" s="37" t="inlineStr">
        <is>
          <t>کارشناسی CS یا معادل با نمرات خوب؛ بررسی فردی</t>
        </is>
      </c>
      <c r="M40" s="37" t="inlineStr">
        <is>
          <t>B2–C1 (چک شود)</t>
        </is>
      </c>
      <c r="N40" s="37">
        <f>150</f>
        <v/>
      </c>
      <c r="O40" s="42" t="inlineStr">
        <is>
          <t>Target/Reach</t>
        </is>
      </c>
      <c r="P40" s="37" t="inlineStr">
        <is>
          <t>4/5 — بیشترین حجم آگهی در هر ۶ کشور؛ ورود جونیور از ۲۰۲۳ سخت‌تر شده — سابقهٔ کار شما مزیت است</t>
        </is>
      </c>
      <c r="Q40" s="37" t="inlineStr">
        <is>
          <t>رتبهٔ ۱۵۰؛ 90 ECTS انگلیسی؛ هزینهٔ درخواست $120؛ ⚠️ کانتون Basel تمکن $29,000/سال می‌خواهد؛ مهلت ۳۰ آوریل (رسمی)</t>
        </is>
      </c>
      <c r="R40" s="75" t="inlineStr">
        <is>
          <t>https://dmi.unibas.ch/en/studies/computer-science/masters/</t>
        </is>
      </c>
    </row>
    <row r="41">
      <c r="A41" s="76" t="n">
        <v>40</v>
      </c>
      <c r="B41" s="86" t="inlineStr">
        <is>
          <t>سوئیس</t>
        </is>
      </c>
      <c r="C41" s="77" t="inlineStr">
        <is>
          <t>University of Zurich (UZH)</t>
        </is>
      </c>
      <c r="D41" s="77" t="inlineStr">
        <is>
          <t>Zürich (زوریخ) — Google، UBS، ETH؛ گران‌ترین شهر دانشگاهی اروپا</t>
        </is>
      </c>
      <c r="E41" s="77" t="inlineStr">
        <is>
          <t>خیلی گران — $2,300–3,030</t>
        </is>
      </c>
      <c r="F41" s="77" t="inlineStr">
        <is>
          <t>MSc Informatics (گرایش‌ها: Software Systems، Data Science، People-Oriented Computing…)</t>
        </is>
      </c>
      <c r="G41" s="77" t="inlineStr">
        <is>
          <t>مهندسی نرم‌افزار / علوم کامپیوتر</t>
        </is>
      </c>
      <c r="H41" s="77" t="inlineStr">
        <is>
          <t>۱.۵–۲ سال (90/120 ECTS)</t>
        </is>
      </c>
      <c r="I41" s="77" t="inlineStr">
        <is>
          <t>$1,060 در ترم (خارجی؛ شامل $120 اضافهٔ خارجی‌ها و $71 جانبی) ≈ $2,130/سال</t>
        </is>
      </c>
      <c r="J41" s="77" t="inlineStr">
        <is>
          <t>$3,190</t>
        </is>
      </c>
      <c r="K41" s="74" t="inlineStr">
        <is>
          <t>$45–58k</t>
        </is>
      </c>
      <c r="L41" s="77" t="inlineStr">
        <is>
          <t>کارشناسی Informatics/CS با نمرات بسیار خوب؛ فقط یک درخواست در هر ترم؛ هزینهٔ درخواست $180</t>
        </is>
      </c>
      <c r="M41" s="77" t="inlineStr">
        <is>
          <t>C1 / IELTS 7.0</t>
        </is>
      </c>
      <c r="N41" s="77">
        <f>98</f>
        <v/>
      </c>
      <c r="O41" s="79" t="inlineStr">
        <is>
          <t>Reach</t>
        </is>
      </c>
      <c r="P41" s="77" t="inlineStr">
        <is>
          <t>4/5 — بیشترین حجم آگهی در هر ۶ کشور؛ ورود جونیور از ۲۰۲۳ سخت‌تر شده — سابقهٔ کار شما مزیت است</t>
        </is>
      </c>
      <c r="Q41" s="87" t="inlineStr">
        <is>
          <t>⚠️ مهلت ویزایی‌ها ۲۸ فوریه ۲۰۲۷ (بدون ویزا ۳۰ آوریل)؛ کانتون زوریخ: تمکن $25,400 فقط در بانک سوئیسی به نام خودتان</t>
        </is>
      </c>
      <c r="R41" s="78" t="inlineStr">
        <is>
          <t>https://www.ifi.uzh.ch/en/studies/master.html</t>
        </is>
      </c>
    </row>
    <row r="42">
      <c r="A42" s="40" t="n">
        <v>41</v>
      </c>
      <c r="B42" s="86" t="inlineStr">
        <is>
          <t>سوئیس</t>
        </is>
      </c>
      <c r="C42" s="37" t="inlineStr">
        <is>
          <t>ZHAW School of Engineering</t>
        </is>
      </c>
      <c r="D42" s="37" t="inlineStr">
        <is>
          <t>Zürich / Winterthur (زوریخ / وینترتور؛ کمپوس‌های ZHAW)</t>
        </is>
      </c>
      <c r="E42" s="37" t="inlineStr">
        <is>
          <t>خیلی گران — $2,180–2,900</t>
        </is>
      </c>
      <c r="F42" s="37" t="inlineStr">
        <is>
          <t>MSc in Engineering (MSE) — پروفایل Computer Science / Data Science / Information &amp; Cyber Security</t>
        </is>
      </c>
      <c r="G42" s="37" t="inlineStr">
        <is>
          <t>چندحوزه‌ای (انتخاب گرایش)</t>
        </is>
      </c>
      <c r="H42" s="37" t="inlineStr">
        <is>
          <t>۱.۵ سال (90 ECTS؛ پاره‌وقت تا ۳ سال)</t>
        </is>
      </c>
      <c r="I42" s="37" t="inlineStr">
        <is>
          <t>$1,480 در ترم (خارجی) + $73 ≈ $3,100/سال</t>
        </is>
      </c>
      <c r="J42" s="37" t="inlineStr">
        <is>
          <t>$4,650</t>
        </is>
      </c>
      <c r="K42" s="74" t="inlineStr">
        <is>
          <t>$44–57k</t>
        </is>
      </c>
      <c r="L42" s="37" t="inlineStr">
        <is>
          <t>کارشناسی با نمرات A یا B (≈ یک‌سوم بالای کلاس) — گواهی رتبهٔ کلاسی از سمنان بگیرید</t>
        </is>
      </c>
      <c r="M42" s="37" t="inlineStr">
        <is>
          <t>B2–C1</t>
        </is>
      </c>
      <c r="N42" s="37" t="inlineStr">
        <is>
          <t>851–900</t>
        </is>
      </c>
      <c r="O42" s="42" t="inlineStr">
        <is>
          <t>Target/Reach</t>
        </is>
      </c>
      <c r="P42" s="37" t="inlineStr">
        <is>
          <t>4/5 — گرایش را بعد از ورود انتخاب می‌کنید؛ امتیاز بازار = گرایشی که برمی‌دارید</t>
        </is>
      </c>
      <c r="Q42" s="37" t="inlineStr">
        <is>
          <t>کاربردی و پروژه‌محور (کار در مؤسسات ZHAW، اغلب با حقوق دستیاری)؛ مهلت پایان آوریل؛ کانتون زوریخ (تمکن در بانک سوئیسی)</t>
        </is>
      </c>
      <c r="R42" s="75" t="inlineStr">
        <is>
          <t>https://www.zhaw.ch/en/engineering/study/masters-degree-programme</t>
        </is>
      </c>
    </row>
    <row r="43">
      <c r="A43" s="76" t="n">
        <v>42</v>
      </c>
      <c r="B43" s="86" t="inlineStr">
        <is>
          <t>سوئیس</t>
        </is>
      </c>
      <c r="C43" s="77" t="inlineStr">
        <is>
          <t>EPFL</t>
        </is>
      </c>
      <c r="D43" s="77" t="inlineStr">
        <is>
          <t>Lausanne (لوزان) — کنار دریاچهٔ ژنو؛ فرانسه‌زبان؛ EPFL</t>
        </is>
      </c>
      <c r="E43" s="77" t="inlineStr">
        <is>
          <t>خیلی گران — $2,060–2,660</t>
        </is>
      </c>
      <c r="F43" s="77" t="inlineStr">
        <is>
          <t>MSc Computer Science</t>
        </is>
      </c>
      <c r="G43" s="77" t="inlineStr">
        <is>
          <t>مهندسی نرم‌افزار / علوم کامپیوتر</t>
        </is>
      </c>
      <c r="H43" s="77" t="inlineStr">
        <is>
          <t>۲ سال (120 ECTS)</t>
        </is>
      </c>
      <c r="I43" s="77" t="inlineStr">
        <is>
          <t>$2,710 در ترم برای خارجی‌های غیرمقیم (از پاییز ۲۰۲۵؛ ≈ $5,420/سال)</t>
        </is>
      </c>
      <c r="J43" s="77" t="inlineStr">
        <is>
          <t>$10,800</t>
        </is>
      </c>
      <c r="K43" s="74" t="inlineStr">
        <is>
          <t>$60–75k</t>
        </is>
      </c>
      <c r="L43" s="77" t="inlineStr">
        <is>
          <t>کارشناسی CS با نمرات عالی (بالای کلاس)؛ فقط یک برنامه در سال</t>
        </is>
      </c>
      <c r="M43" s="77" t="inlineStr">
        <is>
          <t>مدرک زبان الزامی نیست (C1 عملاً لازم)</t>
        </is>
      </c>
      <c r="N43" s="77">
        <f>22</f>
        <v/>
      </c>
      <c r="O43" s="79" t="inlineStr">
        <is>
          <t>Reach</t>
        </is>
      </c>
      <c r="P43" s="77" t="inlineStr">
        <is>
          <t>4/5 — بیشترین حجم آگهی در هر ۶ کشور؛ ورود جونیور از ۲۰۲۳ سخت‌تر شده — سابقهٔ کار شما مزیت است</t>
        </is>
      </c>
      <c r="Q43" s="77" t="inlineStr">
        <is>
          <t>دور اول ۱۵ دسامبر ۲۰۲۶ (توصیه برای ویزایی‌ها؛ پاسخ اوایل آوریل)، دور دوم ۳۱ مارس ۲۰۲۷؛ ⚠️ احتمال افزایش دوبارهٔ شهریه (EP27)</t>
        </is>
      </c>
      <c r="R43" s="78" t="inlineStr">
        <is>
          <t>https://www.epfl.ch/education/master/programs/computer-science/</t>
        </is>
      </c>
    </row>
    <row r="44">
      <c r="A44" s="40" t="n">
        <v>43</v>
      </c>
      <c r="B44" s="86" t="inlineStr">
        <is>
          <t>سوئیس</t>
        </is>
      </c>
      <c r="C44" s="37" t="inlineStr">
        <is>
          <t>EPFL</t>
        </is>
      </c>
      <c r="D44" s="37" t="inlineStr">
        <is>
          <t>Lausanne (لوزان) — کنار دریاچهٔ ژنو؛ فرانسه‌زبان؛ EPFL</t>
        </is>
      </c>
      <c r="E44" s="37" t="inlineStr">
        <is>
          <t>خیلی گران — $2,060–2,660</t>
        </is>
      </c>
      <c r="F44" s="37" t="inlineStr">
        <is>
          <t>MSc Data Science</t>
        </is>
      </c>
      <c r="G44" s="37" t="inlineStr">
        <is>
          <t>علم داده / تحلیل داده</t>
        </is>
      </c>
      <c r="H44" s="37" t="inlineStr">
        <is>
          <t>۲ سال (120 ECTS)</t>
        </is>
      </c>
      <c r="I44" s="37" t="inlineStr">
        <is>
          <t>$2,710 در ترم (≈ $5,420/سال)</t>
        </is>
      </c>
      <c r="J44" s="37" t="inlineStr">
        <is>
          <t>$10,800</t>
        </is>
      </c>
      <c r="K44" s="74" t="inlineStr">
        <is>
          <t>$60–75k</t>
        </is>
      </c>
      <c r="L44" s="37" t="inlineStr">
        <is>
          <t>کارشناسی CS/ریاضی/مهندسی با نمرات عالی</t>
        </is>
      </c>
      <c r="M44" s="37" t="inlineStr">
        <is>
          <t>مدرک زبان الزامی نیست</t>
        </is>
      </c>
      <c r="N44" s="37">
        <f>22</f>
        <v/>
      </c>
      <c r="O44" s="79" t="inlineStr">
        <is>
          <t>Reach</t>
        </is>
      </c>
      <c r="P44" s="37" t="inlineStr">
        <is>
          <t>3/5 — بازار ارشد/سینیور خوب، ولی سطح جونیور اشباع (ده‌ها هزار فارغ‌التحصیل مشابه)؛ Data Engineer کم‌رقابت‌تر از Data Scientist</t>
        </is>
      </c>
      <c r="Q44" s="37" t="inlineStr">
        <is>
          <t>بسیار رقابتی؛ کارآموزی صنعتی جزو برنامه است</t>
        </is>
      </c>
      <c r="R44" s="75" t="inlineStr">
        <is>
          <t>https://www.epfl.ch/education/master/programs/data-science/</t>
        </is>
      </c>
    </row>
    <row r="45">
      <c r="A45" s="76" t="n">
        <v>44</v>
      </c>
      <c r="B45" s="86" t="inlineStr">
        <is>
          <t>سوئیس</t>
        </is>
      </c>
      <c r="C45" s="77" t="inlineStr">
        <is>
          <t>ETH Zürich</t>
        </is>
      </c>
      <c r="D45" s="77" t="inlineStr">
        <is>
          <t>Zürich (زوریخ) — Google، UBS، ETH؛ گران‌ترین شهر دانشگاهی اروپا</t>
        </is>
      </c>
      <c r="E45" s="77" t="inlineStr">
        <is>
          <t>خیلی گران — $2,300–3,030</t>
        </is>
      </c>
      <c r="F45" s="77" t="inlineStr">
        <is>
          <t>MSc Computer Science</t>
        </is>
      </c>
      <c r="G45" s="77" t="inlineStr">
        <is>
          <t>مهندسی نرم‌افزار / علوم کامپیوتر</t>
        </is>
      </c>
      <c r="H45" s="77" t="inlineStr">
        <is>
          <t>۲ سال (120 ECTS)</t>
        </is>
      </c>
      <c r="I45" s="77" t="inlineStr">
        <is>
          <t>$2,650 + ≈ $90 = ≈ $2,740 در ترم (≈ $5,480/سال)</t>
        </is>
      </c>
      <c r="J45" s="77" t="inlineStr">
        <is>
          <t>$11,000</t>
        </is>
      </c>
      <c r="K45" s="74" t="inlineStr">
        <is>
          <t>$66–84k</t>
        </is>
      </c>
      <c r="L45" s="77" t="inlineStr">
        <is>
          <t>کارشناسی CS با نمرات ممتاز (عملاً ۱۰٪ بالای کلاس)؛ هزینهٔ درخواست $180؛ تا ۲ برنامه</t>
        </is>
      </c>
      <c r="M45" s="77" t="inlineStr">
        <is>
          <t>C1 / IELTS 7.0</t>
        </is>
      </c>
      <c r="N45" s="77">
        <f>8</f>
        <v/>
      </c>
      <c r="O45" s="79" t="inlineStr">
        <is>
          <t>Reach</t>
        </is>
      </c>
      <c r="P45" s="77" t="inlineStr">
        <is>
          <t>4/5 — بیشترین حجم آگهی در هر ۶ کشور؛ ورود جونیور از ۲۰۲۳ سخت‌تر شده — سابقهٔ کار شما مزیت است</t>
        </is>
      </c>
      <c r="Q45" s="77" t="inlineStr">
        <is>
          <t>بهترین دانشگاه قارهٔ اروپا؛ اپلای فقط ۱–۳۰ نوامبر ۲۰۲۶، پاسخ تا پایان مارس ۲۰۲۷، شروع ۲۰ سپتامبر ۲۰۲۷؛ با معدل ۱۵.۷۷ احتمال پذیرش کم</t>
        </is>
      </c>
      <c r="R45" s="78" t="inlineStr">
        <is>
          <t>https://ethz.ch/en/studies/master/degree-programmes/engineering-sciences/computer-science.html</t>
        </is>
      </c>
    </row>
    <row r="46">
      <c r="A46" s="40" t="n">
        <v>45</v>
      </c>
      <c r="B46" s="86" t="inlineStr">
        <is>
          <t>سوئیس</t>
        </is>
      </c>
      <c r="C46" s="37" t="inlineStr">
        <is>
          <t>ETH Zürich + EPFL</t>
        </is>
      </c>
      <c r="D46" s="37" t="inlineStr">
        <is>
          <t>Zürich (زوریخ) — Google، UBS، ETH؛ گران‌ترین شهر دانشگاهی اروپا</t>
        </is>
      </c>
      <c r="E46" s="37" t="inlineStr">
        <is>
          <t>خیلی گران — $2,300–3,030</t>
        </is>
      </c>
      <c r="F46" s="37" t="inlineStr">
        <is>
          <t>MSc Cyber Security (مشترک ETH–EPFL؛ یک سال در هر کدام)</t>
        </is>
      </c>
      <c r="G46" s="37" t="inlineStr">
        <is>
          <t>امنیت سایبری</t>
        </is>
      </c>
      <c r="H46" s="37" t="inlineStr">
        <is>
          <t>۲ سال (120 ECTS)</t>
        </is>
      </c>
      <c r="I46" s="37" t="inlineStr">
        <is>
          <t>شهریهٔ ETH: ≈ $2,740 در ترم (≈ $5,480/سال)</t>
        </is>
      </c>
      <c r="J46" s="37" t="inlineStr">
        <is>
          <t>$11,000</t>
        </is>
      </c>
      <c r="K46" s="74" t="inlineStr">
        <is>
          <t>$66–84k</t>
        </is>
      </c>
      <c r="L46" s="37" t="inlineStr">
        <is>
          <t>کارشناسی CS با نمرات ممتاز؛ پیش‌زمینهٔ ریاضی/سیستم قوی</t>
        </is>
      </c>
      <c r="M46" s="37" t="inlineStr">
        <is>
          <t>C1 / IELTS 7.0</t>
        </is>
      </c>
      <c r="N46" s="37">
        <f>8</f>
        <v/>
      </c>
      <c r="O46" s="79" t="inlineStr">
        <is>
          <t>Reach</t>
        </is>
      </c>
      <c r="P46" s="37" t="inlineStr">
        <is>
          <t>4/5 — کمبود ساختاری (Bitkom: جزو ۳ کمبود اصلی آلمان)؛ اما ۳۱٪ تیم‌ها هیچ نیروی جونیور ندارند → کارآموزی/گواهی لازم است</t>
        </is>
      </c>
      <c r="Q46" s="37" t="inlineStr">
        <is>
          <t>قوی‌ترین ارشد امنیت اروپا؛ همان پنجرهٔ نوامبر ETH؛ Reach</t>
        </is>
      </c>
      <c r="R46" s="75" t="inlineStr">
        <is>
          <t>https://ethz.ch/en/studies/master/degree-programmes/engineering-sciences/cyber-security.html</t>
        </is>
      </c>
    </row>
    <row r="47">
      <c r="A47" s="80" t="n">
        <v>46</v>
      </c>
      <c r="B47" s="88" t="inlineStr">
        <is>
          <t>آلمان</t>
        </is>
      </c>
      <c r="C47" s="82" t="inlineStr">
        <is>
          <t>Universität Stuttgart</t>
        </is>
      </c>
      <c r="D47" s="82" t="inlineStr">
        <is>
          <t>Stuttgart (اشتوتگارت) — Bosch، Mercedes، Porsche</t>
        </is>
      </c>
      <c r="E47" s="82" t="inlineStr">
        <is>
          <t>گران — $1,250–1,540</t>
        </is>
      </c>
      <c r="F47" s="82" t="inlineStr">
        <is>
          <t>M.Sc. Computer Science (انگلیسی، بدون NC)</t>
        </is>
      </c>
      <c r="G47" s="82" t="inlineStr">
        <is>
          <t>مهندسی نرم‌افزار / علوم کامپیوتر</t>
        </is>
      </c>
      <c r="H47" s="82" t="inlineStr">
        <is>
          <t>۲ سال</t>
        </is>
      </c>
      <c r="I47" s="82" t="inlineStr">
        <is>
          <t>$1,710 در ترم + ≈ $230 سهم ترم = ≈ $3,880/سال</t>
        </is>
      </c>
      <c r="J47" s="82" t="inlineStr">
        <is>
          <t>$7,750</t>
        </is>
      </c>
      <c r="K47" s="83" t="inlineStr">
        <is>
          <t>$38–45k</t>
        </is>
      </c>
      <c r="L47" s="82" t="inlineStr">
        <is>
          <t>کارشناسی CS/مرتبط؛ بدون NC</t>
        </is>
      </c>
      <c r="M47" s="82" t="inlineStr">
        <is>
          <t>7.0 (C1)</t>
        </is>
      </c>
      <c r="N47" s="82" t="inlineStr">
        <is>
          <t>318</t>
        </is>
      </c>
      <c r="O47" s="84" t="inlineStr">
        <is>
          <t>Target</t>
        </is>
      </c>
      <c r="P47" s="82" t="inlineStr">
        <is>
          <t>4/5 — بیشترین حجم آگهی در هر ۶ کشور؛ ورود جونیور از ۲۰۲۳ سخت‌تر شده — سابقهٔ کار شما مزیت است</t>
        </is>
      </c>
      <c r="Q47" s="82" t="inlineStr">
        <is>
          <t>شهریهٔ بادن-وورتمبرگ برای غیر-EU</t>
        </is>
      </c>
      <c r="R47" s="85" t="inlineStr">
        <is>
          <t>https://www.uni-stuttgart.de/en/study/study-programs/</t>
        </is>
      </c>
    </row>
    <row r="48">
      <c r="A48" s="40" t="n">
        <v>47</v>
      </c>
      <c r="B48" s="89" t="inlineStr">
        <is>
          <t>آلمان</t>
        </is>
      </c>
      <c r="C48" s="37" t="inlineStr">
        <is>
          <t>Universität Stuttgart</t>
        </is>
      </c>
      <c r="D48" s="37" t="inlineStr">
        <is>
          <t>Stuttgart (اشتوتگارت) — Bosch، Mercedes، Porsche</t>
        </is>
      </c>
      <c r="E48" s="37" t="inlineStr">
        <is>
          <t>گران — $1,250–1,540</t>
        </is>
      </c>
      <c r="F48" s="37" t="inlineStr">
        <is>
          <t>M.Sc. Information Technology (INFOTECH)</t>
        </is>
      </c>
      <c r="G48" s="37" t="inlineStr">
        <is>
          <t>سیستم‌های نهفته / رباتیک / خودران</t>
        </is>
      </c>
      <c r="H48" s="37" t="inlineStr">
        <is>
          <t>۲ سال</t>
        </is>
      </c>
      <c r="I48" s="37" t="inlineStr">
        <is>
          <t>$1,710 در ترم + سهم ترم ≈ $3,880/سال</t>
        </is>
      </c>
      <c r="J48" s="37" t="inlineStr">
        <is>
          <t>$7,750</t>
        </is>
      </c>
      <c r="K48" s="74" t="inlineStr">
        <is>
          <t>$38–45k</t>
        </is>
      </c>
      <c r="L48" s="37" t="inlineStr">
        <is>
          <t>کارشناسی EE/CS/Computer Engineering؛ گزینش</t>
        </is>
      </c>
      <c r="M48" s="37" t="inlineStr">
        <is>
          <t>7.0 (C1)</t>
        </is>
      </c>
      <c r="N48" s="37" t="inlineStr">
        <is>
          <t>318</t>
        </is>
      </c>
      <c r="O48" s="30" t="inlineStr">
        <is>
          <t>Target</t>
        </is>
      </c>
      <c r="P48" s="37" t="inlineStr">
        <is>
          <t>4/5 — در آلمان و سوئد قوی (خودرو، Bosch، ABB، Ericsson)؛ ولی کارفرمایان صنعتی خارج از شهرهای بزرگ اغلب آلمانی/سوئدی می‌خواهند</t>
        </is>
      </c>
      <c r="Q48" s="37" t="inlineStr">
        <is>
          <t>گرایش‌های Embedded/Communication؛ Bosch و Daimler همان شهر</t>
        </is>
      </c>
      <c r="R48" s="75" t="inlineStr">
        <is>
          <t>https://www.mygermanuniversity.com/master/information-technology-infotech/678</t>
        </is>
      </c>
    </row>
    <row r="49">
      <c r="A49" s="76" t="n">
        <v>48</v>
      </c>
      <c r="B49" s="89" t="inlineStr">
        <is>
          <t>آلمان</t>
        </is>
      </c>
      <c r="C49" s="77" t="inlineStr">
        <is>
          <t>FAU Erlangen-Nürnberg</t>
        </is>
      </c>
      <c r="D49" s="77" t="inlineStr">
        <is>
          <t>Erlangen / Nürnberg (ارلانگن / نورنبرگ) — Siemens</t>
        </is>
      </c>
      <c r="E49" s="77" t="inlineStr">
        <is>
          <t>متوسط — $1,080–1,310</t>
        </is>
      </c>
      <c r="F49" s="77" t="inlineStr">
        <is>
          <t>M.Sc. Artificial Intelligence</t>
        </is>
      </c>
      <c r="G49" s="77" t="inlineStr">
        <is>
          <t>هوش مصنوعی / یادگیری ماشین</t>
        </is>
      </c>
      <c r="H49" s="77" t="inlineStr">
        <is>
          <t>۲ سال</t>
        </is>
      </c>
      <c r="I49" s="77" t="inlineStr">
        <is>
          <t>$4,560 در ترم برای غیر-EU از ترم تابستان ۲۰۲۷ ($9,120/سال) + $93 سهم ترم</t>
        </is>
      </c>
      <c r="J49" s="77" t="inlineStr">
        <is>
          <t>$18,600</t>
        </is>
      </c>
      <c r="K49" s="74" t="inlineStr">
        <is>
          <t>$45–50k</t>
        </is>
      </c>
      <c r="L49" s="77" t="inlineStr">
        <is>
          <t>کارشناسی CS/مرتبط؛ بررسی ریزنمرات</t>
        </is>
      </c>
      <c r="M49" s="77" t="inlineStr">
        <is>
          <t>B2 (IELTS 6.0)</t>
        </is>
      </c>
      <c r="N49" s="77" t="inlineStr">
        <is>
          <t>218</t>
        </is>
      </c>
      <c r="O49" s="30" t="inlineStr">
        <is>
          <t>Target</t>
        </is>
      </c>
      <c r="P49" s="77" t="inlineStr">
        <is>
          <t>5/5 — داغ‌ترین بازار؛ «AI Engineer» سریع‌ترین‌رشد (LinkedIn 2026)؛ ولی برنامه‌های ریاضی‌محور (Tübingen، UvA، KTH) بسیار رقابتی‌اند</t>
        </is>
      </c>
      <c r="Q49" s="87" t="inlineStr">
        <is>
          <t>⚠️ FAU طبق BayHIG §13 از تابستان ۲۰۲۷ برای ورودی‌های جدید غیر-EU شهریه می‌گیرد (AI و CS: $4,560/ترم) — ورودی اکتبر ۲۰۲۷ شما مشمول است؛ دیگر «رایگان» نیست. Siemens/adidas/Schaeffler در منطقه</t>
        </is>
      </c>
      <c r="R49" s="78" t="inlineStr">
        <is>
          <t>https://www.fau.eu/degree-program/artificial-intelligence-m-sc/</t>
        </is>
      </c>
    </row>
    <row r="50">
      <c r="A50" s="40" t="n">
        <v>49</v>
      </c>
      <c r="B50" s="89" t="inlineStr">
        <is>
          <t>آلمان</t>
        </is>
      </c>
      <c r="C50" s="37" t="inlineStr">
        <is>
          <t>FAU Erlangen-Nürnberg</t>
        </is>
      </c>
      <c r="D50" s="37" t="inlineStr">
        <is>
          <t>Erlangen / Nürnberg (ارلانگن / نورنبرگ) — Siemens</t>
        </is>
      </c>
      <c r="E50" s="37" t="inlineStr">
        <is>
          <t>متوسط — $1,080–1,310</t>
        </is>
      </c>
      <c r="F50" s="37" t="inlineStr">
        <is>
          <t>M.Sc. Autonomy Technologies</t>
        </is>
      </c>
      <c r="G50" s="37" t="inlineStr">
        <is>
          <t>سیستم‌های نهفته / رباتیک / خودران</t>
        </is>
      </c>
      <c r="H50" s="37" t="inlineStr">
        <is>
          <t>۲ سال</t>
        </is>
      </c>
      <c r="I50" s="37" t="inlineStr">
        <is>
          <t>$2,280 در ترم از تابستان ۲۰۲۷ ($4,560/سال) + $93 سهم ترم</t>
        </is>
      </c>
      <c r="J50" s="37" t="inlineStr">
        <is>
          <t>$9,490</t>
        </is>
      </c>
      <c r="K50" s="74" t="inlineStr">
        <is>
          <t>$35–41k</t>
        </is>
      </c>
      <c r="L50" s="37" t="inlineStr">
        <is>
          <t>کارشناسی مرتبط؛ آلمانی لازم نیست</t>
        </is>
      </c>
      <c r="M50" s="37" t="inlineStr">
        <is>
          <t>B2 (IELTS 6.0)</t>
        </is>
      </c>
      <c r="N50" s="37" t="inlineStr">
        <is>
          <t>218</t>
        </is>
      </c>
      <c r="O50" s="30" t="inlineStr">
        <is>
          <t>Target</t>
        </is>
      </c>
      <c r="P50" s="37" t="inlineStr">
        <is>
          <t>4/5 — در آلمان و سوئد قوی (خودرو، Bosch، ABB، Ericsson)؛ ولی کارفرمایان صنعتی خارج از شهرهای بزرگ اغلب آلمانی/سوئدی می‌خواهند</t>
        </is>
      </c>
      <c r="Q50" s="37" t="inlineStr">
        <is>
          <t>رباتیک/خودران؛ ⚠️ مشمول شهریهٔ جدید FAU از ۲۰۲۷ (صفحهٔ رسمی شهریه، ۲۰۲۶)</t>
        </is>
      </c>
      <c r="R50" s="75" t="inlineStr">
        <is>
          <t>https://www.fau.eu/degree-program/autonomy-technologies-m-sc/</t>
        </is>
      </c>
    </row>
    <row r="51">
      <c r="A51" s="76" t="n">
        <v>50</v>
      </c>
      <c r="B51" s="89" t="inlineStr">
        <is>
          <t>آلمان</t>
        </is>
      </c>
      <c r="C51" s="77" t="inlineStr">
        <is>
          <t>TU Darmstadt</t>
        </is>
      </c>
      <c r="D51" s="77" t="inlineStr">
        <is>
          <t>Darmstadt (دارمشتات) — ۲۵ دقیقه تا فرانکفورت</t>
        </is>
      </c>
      <c r="E51" s="77" t="inlineStr">
        <is>
          <t>گران — $1,200–1,480</t>
        </is>
      </c>
      <c r="F51" s="77" t="inlineStr">
        <is>
          <t>M.Sc. Distributed Software Systems (انگلیسی)</t>
        </is>
      </c>
      <c r="G51" s="77" t="inlineStr">
        <is>
          <t>ابری / سیستم‌های توزیع‌شده / DevOps</t>
        </is>
      </c>
      <c r="H51" s="77" t="inlineStr">
        <is>
          <t>۲ سال</t>
        </is>
      </c>
      <c r="I51" s="77" t="inlineStr">
        <is>
          <t>$0 + ≈ $340 سهم ترم (≈ $685/سال)</t>
        </is>
      </c>
      <c r="J51" s="77" t="inlineStr">
        <is>
          <t>$1,370</t>
        </is>
      </c>
      <c r="K51" s="74" t="inlineStr">
        <is>
          <t>$30–37k</t>
        </is>
      </c>
      <c r="L51" s="77" t="inlineStr">
        <is>
          <t>کارشناسی CS با پیش‌نیازهای مشخص</t>
        </is>
      </c>
      <c r="M51" s="77" t="inlineStr">
        <is>
          <t>≈ 7.0 (C1) — چک شود</t>
        </is>
      </c>
      <c r="N51" s="77" t="inlineStr">
        <is>
          <t>250</t>
        </is>
      </c>
      <c r="O51" s="42" t="inlineStr">
        <is>
          <t>Target/Reach</t>
        </is>
      </c>
      <c r="P51" s="77" t="inlineStr">
        <is>
          <t>4/5 — تقاضای پایدار و کمتر مدرک‌محور؛ گواهی AWS/Azure کنار مدرک وزن زیادی دارد</t>
        </is>
      </c>
      <c r="Q51" s="77" t="inlineStr">
        <is>
          <t>منطقهٔ Rhein-Main (SAP، Deutsche Bank، Software AG)</t>
        </is>
      </c>
      <c r="R51" s="78" t="inlineStr">
        <is>
          <t>https://www.tu-darmstadt.de/studieren/</t>
        </is>
      </c>
    </row>
    <row r="52">
      <c r="A52" s="40" t="n">
        <v>51</v>
      </c>
      <c r="B52" s="89" t="inlineStr">
        <is>
          <t>آلمان</t>
        </is>
      </c>
      <c r="C52" s="37" t="inlineStr">
        <is>
          <t>TU Dresden</t>
        </is>
      </c>
      <c r="D52" s="37" t="inlineStr">
        <is>
          <t>Dresden (درسدن) — «سیلیکون ساکسونی»</t>
        </is>
      </c>
      <c r="E52" s="37" t="inlineStr">
        <is>
          <t>ارزان — $970–1,200</t>
        </is>
      </c>
      <c r="F52" s="37" t="inlineStr">
        <is>
          <t>M.Sc. Computer Science (انگلیسی)</t>
        </is>
      </c>
      <c r="G52" s="37" t="inlineStr">
        <is>
          <t>مهندسی نرم‌افزار / علوم کامپیوتر</t>
        </is>
      </c>
      <c r="H52" s="37" t="inlineStr">
        <is>
          <t>۲ سال</t>
        </is>
      </c>
      <c r="I52" s="37" t="inlineStr">
        <is>
          <t>$0 + ≈ $340 سهم ترم</t>
        </is>
      </c>
      <c r="J52" s="37" t="inlineStr">
        <is>
          <t>$1,370</t>
        </is>
      </c>
      <c r="K52" s="74" t="inlineStr">
        <is>
          <t>$25–30k</t>
        </is>
      </c>
      <c r="L52" s="37" t="inlineStr">
        <is>
          <t>کارشناسی CS؛ ارزیابی استعداد</t>
        </is>
      </c>
      <c r="M52" s="37" t="inlineStr">
        <is>
          <t>7.0</t>
        </is>
      </c>
      <c r="N52" s="37" t="inlineStr">
        <is>
          <t>185</t>
        </is>
      </c>
      <c r="O52" s="79" t="inlineStr">
        <is>
          <t>Reach</t>
        </is>
      </c>
      <c r="P52" s="37" t="inlineStr">
        <is>
          <t>4/5 — بیشترین حجم آگهی در هر ۶ کشور؛ ورود جونیور از ۲۰۲۳ سخت‌تر شده — سابقهٔ کار شما مزیت است</t>
        </is>
      </c>
      <c r="Q52" s="37" t="inlineStr">
        <is>
          <t>Dresden ارزان‌ترین شهر جدول؛ GlobalFoundries/Infineon/Bosch</t>
        </is>
      </c>
      <c r="R52" s="75" t="inlineStr">
        <is>
          <t>https://tu-dresden.de/studium/vor-dem-studium/studienangebot</t>
        </is>
      </c>
    </row>
    <row r="53">
      <c r="A53" s="76" t="n">
        <v>52</v>
      </c>
      <c r="B53" s="89" t="inlineStr">
        <is>
          <t>آلمان</t>
        </is>
      </c>
      <c r="C53" s="77" t="inlineStr">
        <is>
          <t>Saarland University (UdS)</t>
        </is>
      </c>
      <c r="D53" s="77" t="inlineStr">
        <is>
          <t>Saarbrücken (زاربروکن) — مرز فرانسه؛ CISPA/DFKI</t>
        </is>
      </c>
      <c r="E53" s="77" t="inlineStr">
        <is>
          <t>متوسط — $1,030–1,250</t>
        </is>
      </c>
      <c r="F53" s="77" t="inlineStr">
        <is>
          <t>M.Sc. Cybersecurity</t>
        </is>
      </c>
      <c r="G53" s="77" t="inlineStr">
        <is>
          <t>امنیت سایبری</t>
        </is>
      </c>
      <c r="H53" s="77" t="inlineStr">
        <is>
          <t>۲ سال</t>
        </is>
      </c>
      <c r="I53" s="77" t="inlineStr">
        <is>
          <t>$0 + ≈ $450 سهم ترم (≈ $900/سال)</t>
        </is>
      </c>
      <c r="J53" s="77" t="inlineStr">
        <is>
          <t>$1,800</t>
        </is>
      </c>
      <c r="K53" s="74" t="inlineStr">
        <is>
          <t>$26–32k</t>
        </is>
      </c>
      <c r="L53" s="77" t="inlineStr">
        <is>
          <t>کارشناسی CS + اثبات دروس پایه + ۲ توصیه‌نامه؛ بدون NC</t>
        </is>
      </c>
      <c r="M53" s="77" t="inlineStr">
        <is>
          <t>7.0 (C1؛ MOI پذیرفته نمی‌شود)</t>
        </is>
      </c>
      <c r="N53" s="77">
        <f>588 (CS ≈ 251)</f>
        <v/>
      </c>
      <c r="O53" s="30" t="inlineStr">
        <is>
          <t>Target</t>
        </is>
      </c>
      <c r="P53" s="77" t="inlineStr">
        <is>
          <t>4/5 — کمبود ساختاری (Bitkom: جزو ۳ کمبود اصلی آلمان)؛ اما ۳۱٪ تیم‌ها هیچ نیروی جونیور ندارند → کارآموزی/گواهی لازم است</t>
        </is>
      </c>
      <c r="Q53" s="77" t="inlineStr">
        <is>
          <t>CISPA — بهترین مرکز امنیت آلمان؛ IELTS 7 شرط سخت شماست</t>
        </is>
      </c>
      <c r="R53" s="78" t="inlineStr">
        <is>
          <t>https://www.uni-saarland.de/en/study/programmes/master/cybersecurity.html</t>
        </is>
      </c>
    </row>
    <row r="54">
      <c r="A54" s="40" t="n">
        <v>53</v>
      </c>
      <c r="B54" s="89" t="inlineStr">
        <is>
          <t>آلمان</t>
        </is>
      </c>
      <c r="C54" s="37" t="inlineStr">
        <is>
          <t>Saarland University (UdS)</t>
        </is>
      </c>
      <c r="D54" s="37" t="inlineStr">
        <is>
          <t>Saarbrücken (زاربروکن) — مرز فرانسه؛ CISPA/DFKI</t>
        </is>
      </c>
      <c r="E54" s="37" t="inlineStr">
        <is>
          <t>متوسط — $1,030–1,250</t>
        </is>
      </c>
      <c r="F54" s="37" t="inlineStr">
        <is>
          <t>M.Sc. Data Science and Artificial Intelligence</t>
        </is>
      </c>
      <c r="G54" s="37" t="inlineStr">
        <is>
          <t>هوش مصنوعی / یادگیری ماشین</t>
        </is>
      </c>
      <c r="H54" s="37" t="inlineStr">
        <is>
          <t>۲ سال</t>
        </is>
      </c>
      <c r="I54" s="37" t="inlineStr">
        <is>
          <t>$0 + ≈ $450 سهم ترم</t>
        </is>
      </c>
      <c r="J54" s="37" t="inlineStr">
        <is>
          <t>$1,800</t>
        </is>
      </c>
      <c r="K54" s="74" t="inlineStr">
        <is>
          <t>$26–32k</t>
        </is>
      </c>
      <c r="L54" s="37" t="inlineStr">
        <is>
          <t>کارشناسی CS/مرتبط؛ بدون NC</t>
        </is>
      </c>
      <c r="M54" s="37" t="inlineStr">
        <is>
          <t>7.0 (C1)</t>
        </is>
      </c>
      <c r="N54" s="37">
        <f>588 (CS ≈ 251)</f>
        <v/>
      </c>
      <c r="O54" s="30" t="inlineStr">
        <is>
          <t>Target</t>
        </is>
      </c>
      <c r="P54" s="37" t="inlineStr">
        <is>
          <t>5/5 — داغ‌ترین بازار؛ «AI Engineer» سریع‌ترین‌رشد (LinkedIn 2026)؛ ولی برنامه‌های ریاضی‌محور (Tübingen، UvA، KTH) بسیار رقابتی‌اند</t>
        </is>
      </c>
      <c r="Q54" s="37" t="inlineStr">
        <is>
          <t>MPI Informatics و DFKI در همان کمپوس</t>
        </is>
      </c>
      <c r="R54" s="75" t="inlineStr">
        <is>
          <t>https://www.uni-saarland.de/en/study/programmes/master/data-science.html</t>
        </is>
      </c>
    </row>
    <row r="55">
      <c r="A55" s="76" t="n">
        <v>54</v>
      </c>
      <c r="B55" s="89" t="inlineStr">
        <is>
          <t>آلمان</t>
        </is>
      </c>
      <c r="C55" s="77" t="inlineStr">
        <is>
          <t>TU Chemnitz</t>
        </is>
      </c>
      <c r="D55" s="77" t="inlineStr">
        <is>
          <t>Chemnitz (کمنیتس) — ساکسونی</t>
        </is>
      </c>
      <c r="E55" s="77" t="inlineStr">
        <is>
          <t>ارزان — $910–1,140</t>
        </is>
      </c>
      <c r="F55" s="77" t="inlineStr">
        <is>
          <t>M.Sc. Automotive Software Engineering</t>
        </is>
      </c>
      <c r="G55" s="77" t="inlineStr">
        <is>
          <t>سیستم‌های نهفته / رباتیک / خودران</t>
        </is>
      </c>
      <c r="H55" s="77" t="inlineStr">
        <is>
          <t>۲ سال</t>
        </is>
      </c>
      <c r="I55" s="77" t="inlineStr">
        <is>
          <t>$0 + ≈ $365 سهم ترم (≈ $730/سال)</t>
        </is>
      </c>
      <c r="J55" s="77" t="inlineStr">
        <is>
          <t>$1,460</t>
        </is>
      </c>
      <c r="K55" s="74" t="inlineStr">
        <is>
          <t>$23–29k</t>
        </is>
      </c>
      <c r="L55" s="77" t="inlineStr">
        <is>
          <t>کارشناسی CS/مرتبط؛ بدون محدودیت پذیرش</t>
        </is>
      </c>
      <c r="M55" s="77" t="inlineStr">
        <is>
          <t>B2 (IELTS 5.5)</t>
        </is>
      </c>
      <c r="N55" s="77" t="inlineStr">
        <is>
          <t>—</t>
        </is>
      </c>
      <c r="O55" s="49" t="inlineStr">
        <is>
          <t>Safe</t>
        </is>
      </c>
      <c r="P55" s="77" t="inlineStr">
        <is>
          <t>4/5 — در آلمان و سوئد قوی (خودرو، Bosch، ABB، Ericsson)؛ ولی کارفرمایان صنعتی خارج از شهرهای بزرگ اغلب آلمانی/سوئدی می‌خواهند</t>
        </is>
      </c>
      <c r="Q55" s="77" t="inlineStr">
        <is>
          <t>آسان‌ترین ورود؛ شهر ارزان؛ ولی صنعت خودرو ۲۰۲۴–۲۵ ضعیف و آلمانی در کارفرمایان محلی</t>
        </is>
      </c>
      <c r="R55" s="78" t="inlineStr">
        <is>
          <t>https://www.mygermanuniversity.com/master/automotive-software-engineering/91</t>
        </is>
      </c>
    </row>
    <row r="56">
      <c r="A56" s="40" t="n">
        <v>55</v>
      </c>
      <c r="B56" s="89" t="inlineStr">
        <is>
          <t>آلمان</t>
        </is>
      </c>
      <c r="C56" s="37" t="inlineStr">
        <is>
          <t>Universität Passau</t>
        </is>
      </c>
      <c r="D56" s="37" t="inlineStr">
        <is>
          <t>Passau (پاساو) — شهر کوچک، مرز اتریش</t>
        </is>
      </c>
      <c r="E56" s="37" t="inlineStr">
        <is>
          <t>متوسط — $1,030–1,250</t>
        </is>
      </c>
      <c r="F56" s="37" t="inlineStr">
        <is>
          <t>M.Sc. Artificial Intelligence Engineering</t>
        </is>
      </c>
      <c r="G56" s="37" t="inlineStr">
        <is>
          <t>هوش مصنوعی / یادگیری ماشین</t>
        </is>
      </c>
      <c r="H56" s="37" t="inlineStr">
        <is>
          <t>۲ سال</t>
        </is>
      </c>
      <c r="I56" s="37" t="inlineStr">
        <is>
          <t>$0 + ≈ $115–230 سهم ترم</t>
        </is>
      </c>
      <c r="J56" s="37" t="inlineStr">
        <is>
          <t>$685</t>
        </is>
      </c>
      <c r="K56" s="74" t="inlineStr">
        <is>
          <t>$25–31k</t>
        </is>
      </c>
      <c r="L56" s="37" t="inlineStr">
        <is>
          <t>معدل آلمانی ≤ 2.7 (معدل شما ≈ 2.3 ✓)؛ ۳۵ ECTS ریاضی + ۴۰ ECTS CS</t>
        </is>
      </c>
      <c r="M56" s="37" t="inlineStr">
        <is>
          <t>B2؛ + آلمانی A1 تا پایان سال اول (کلاس رایگان)</t>
        </is>
      </c>
      <c r="N56" s="37" t="inlineStr">
        <is>
          <t>—</t>
        </is>
      </c>
      <c r="O56" s="49" t="inlineStr">
        <is>
          <t>Safe</t>
        </is>
      </c>
      <c r="P56" s="37" t="inlineStr">
        <is>
          <t>5/5 — داغ‌ترین بازار؛ «AI Engineer» سریع‌ترین‌رشد (LinkedIn 2026)؛ ولی برنامه‌های ریاضی‌محور (Tübingen، UvA، KTH) بسیار رقابتی‌اند</t>
        </is>
      </c>
      <c r="Q56" s="37" t="inlineStr">
        <is>
          <t>کاملاً انگلیسی؛ شهر کوچک و ارزان؛ Passau رسماً اعلام کرده «فعلاً» شهریهٔ غیر-EU نمی‌گیرد (برخلاف FAU/TUM) ولی طبق قانون باواریا می‌تواند — قبل از اپلای چک کنید</t>
        </is>
      </c>
      <c r="R56" s="75" t="inlineStr">
        <is>
          <t>https://www.uni-passau.de/en/msc-ai-eng</t>
        </is>
      </c>
    </row>
    <row r="57">
      <c r="A57" s="76" t="n">
        <v>56</v>
      </c>
      <c r="B57" s="89" t="inlineStr">
        <is>
          <t>آلمان</t>
        </is>
      </c>
      <c r="C57" s="77" t="inlineStr">
        <is>
          <t>Otto-von-Guericke-Universität (OVGU)</t>
        </is>
      </c>
      <c r="D57" s="77" t="inlineStr">
        <is>
          <t>Magdeburg (ماگدبورگ) — ساکسونی-آنهالت</t>
        </is>
      </c>
      <c r="E57" s="77" t="inlineStr">
        <is>
          <t>ارزان — $970–1,140</t>
        </is>
      </c>
      <c r="F57" s="77" t="inlineStr">
        <is>
          <t>M.Sc. Data and Knowledge Engineering</t>
        </is>
      </c>
      <c r="G57" s="77" t="inlineStr">
        <is>
          <t>علم داده / تحلیل داده</t>
        </is>
      </c>
      <c r="H57" s="77" t="inlineStr">
        <is>
          <t>۲ سال</t>
        </is>
      </c>
      <c r="I57" s="77" t="inlineStr">
        <is>
          <t>$0 + ≈ $355 سهم ترم</t>
        </is>
      </c>
      <c r="J57" s="77" t="inlineStr">
        <is>
          <t>$1,410</t>
        </is>
      </c>
      <c r="K57" s="74" t="inlineStr">
        <is>
          <t>$25–29k</t>
        </is>
      </c>
      <c r="L57" s="77" t="inlineStr">
        <is>
          <t>معدل آلمانی ≤ 2.3 (معدل شما ≈ 2.27 — دقیقاً مرزی)؛ کارشناسی CS</t>
        </is>
      </c>
      <c r="M57" s="77" t="inlineStr">
        <is>
          <t>6.0–7.0 (منابع متناقض؛ رسمی را چک کنید)</t>
        </is>
      </c>
      <c r="N57" s="77" t="inlineStr">
        <is>
          <t>—</t>
        </is>
      </c>
      <c r="O57" s="45" t="inlineStr">
        <is>
          <t>Safe/Target</t>
        </is>
      </c>
      <c r="P57" s="77" t="inlineStr">
        <is>
          <t>3/5 — بازار ارشد/سینیور خوب، ولی سطح جونیور اشباع (ده‌ها هزار فارغ‌التحصیل مشابه)؛ Data Engineer کم‌رقابت‌تر از Data Scientist</t>
        </is>
      </c>
      <c r="Q57" s="77" t="inlineStr"/>
      <c r="R57" s="78" t="inlineStr">
        <is>
          <t>https://www.dke.ovgu.de/</t>
        </is>
      </c>
    </row>
    <row r="58">
      <c r="A58" s="40" t="n">
        <v>57</v>
      </c>
      <c r="B58" s="89" t="inlineStr">
        <is>
          <t>آلمان</t>
        </is>
      </c>
      <c r="C58" s="37" t="inlineStr">
        <is>
          <t>TH Köln – Cologne Game Lab</t>
        </is>
      </c>
      <c r="D58" s="37" t="inlineStr">
        <is>
          <t>Köln / Cologne (کلن) — چهارمین شهر آلمان</t>
        </is>
      </c>
      <c r="E58" s="37" t="inlineStr">
        <is>
          <t>گران — $1,200–1,480</t>
        </is>
      </c>
      <c r="F58" s="37" t="inlineStr">
        <is>
          <t>M.A. Game Development and Research</t>
        </is>
      </c>
      <c r="G58" s="37" t="inlineStr">
        <is>
          <t>توسعه بازی</t>
        </is>
      </c>
      <c r="H58" s="37" t="inlineStr">
        <is>
          <t>۲ سال</t>
        </is>
      </c>
      <c r="I58" s="37" t="inlineStr">
        <is>
          <t>$2,850 در ترم (غیر-EU) + $315 سهم ترم ≈ $6,330/سال</t>
        </is>
      </c>
      <c r="J58" s="37" t="inlineStr">
        <is>
          <t>$12,700</t>
        </is>
      </c>
      <c r="K58" s="74" t="inlineStr">
        <is>
          <t>$41–48k</t>
        </is>
      </c>
      <c r="L58" s="37" t="inlineStr">
        <is>
          <t>هر کارشناسی + ≥ ۱۲ ماه سابقهٔ مرتبط + آزمون استعداد (مهلت ۳۱ مارس)</t>
        </is>
      </c>
      <c r="M58" s="37" t="inlineStr">
        <is>
          <t>B2</t>
        </is>
      </c>
      <c r="N58" s="37" t="inlineStr">
        <is>
          <t>— (UAS)</t>
        </is>
      </c>
      <c r="O58" s="30" t="inlineStr">
        <is>
          <t>Target</t>
        </is>
      </c>
      <c r="P58" s="37" t="inlineStr">
        <is>
          <t>2/5 — ≈۴۵ هزار اخراج ۲۰۲۲–۲۰۲۵؛ ۲۶٪ توسعه‌دهندگان اروپایی حداقل یک‌بار اخراج شده‌اند؛ حقوق برنامه‌نویس Unity تا ۵۰٪ افت — سابقهٔ Unity شما مزیت ورود است، نه تضمین</t>
        </is>
      </c>
      <c r="Q58" s="37" t="inlineStr">
        <is>
          <t>معتبرترین مدرسهٔ بازی آلمان؛ ۷ ماه Unity + ۲ سال IT شما احتمالاً شرط ۱۲ ماه را می‌پوشاند — بپرسید</t>
        </is>
      </c>
      <c r="R58" s="75" t="inlineStr">
        <is>
          <t>https://colognegamelab.de/study-programs/post-graduate-programs/game-development-research-ma/faqs/</t>
        </is>
      </c>
    </row>
    <row r="59">
      <c r="A59" s="76" t="n">
        <v>58</v>
      </c>
      <c r="B59" s="89" t="inlineStr">
        <is>
          <t>آلمان</t>
        </is>
      </c>
      <c r="C59" s="77" t="inlineStr">
        <is>
          <t>Universität Siegen</t>
        </is>
      </c>
      <c r="D59" s="77" t="inlineStr">
        <is>
          <t>Siegen (زیگن) — شهر کوچک، NRW</t>
        </is>
      </c>
      <c r="E59" s="77" t="inlineStr">
        <is>
          <t>متوسط — $1,030–1,250</t>
        </is>
      </c>
      <c r="F59" s="77" t="inlineStr">
        <is>
          <t>M.Sc. Human Computer Interaction</t>
        </is>
      </c>
      <c r="G59" s="77" t="inlineStr">
        <is>
          <t>HCI / طراحی تعامل / UX</t>
        </is>
      </c>
      <c r="H59" s="77" t="inlineStr">
        <is>
          <t>۲ سال</t>
        </is>
      </c>
      <c r="I59" s="77" t="inlineStr">
        <is>
          <t>$0 + ≈ $425 سهم ترم</t>
        </is>
      </c>
      <c r="J59" s="77" t="inlineStr">
        <is>
          <t>$1,700</t>
        </is>
      </c>
      <c r="K59" s="74" t="inlineStr">
        <is>
          <t>$26–32k</t>
        </is>
      </c>
      <c r="L59" s="77" t="inlineStr">
        <is>
          <t>معدل آلمانی ≤ 2.5؛ کارشناسی CS/IS/Design/Psychology</t>
        </is>
      </c>
      <c r="M59" s="77" t="inlineStr">
        <is>
          <t>6.5</t>
        </is>
      </c>
      <c r="N59" s="77" t="inlineStr">
        <is>
          <t>—</t>
        </is>
      </c>
      <c r="O59" s="49" t="inlineStr">
        <is>
          <t>Safe</t>
        </is>
      </c>
      <c r="P59" s="77" t="inlineStr">
        <is>
          <t>2/5 — آگهی‌های UX/UXR از ۲۰۲۲ حدود ۷۰٪ کم شده و از ۲۰۲۳ ثابت مانده؛ رقابت شدید، حقوق شروع کمتر از توسعه‌دهنده</t>
        </is>
      </c>
      <c r="Q59" s="77" t="inlineStr">
        <is>
          <t>شروع زمستان و تابستان؛ شهر کوچک</t>
        </is>
      </c>
      <c r="R59" s="78" t="inlineStr">
        <is>
          <t>https://www2.daad.de/deutschland/studienangebote/international-programmes/en/detail/4686/</t>
        </is>
      </c>
    </row>
    <row r="60">
      <c r="A60" s="40" t="n">
        <v>59</v>
      </c>
      <c r="B60" s="89" t="inlineStr">
        <is>
          <t>آلمان</t>
        </is>
      </c>
      <c r="C60" s="37" t="inlineStr">
        <is>
          <t>Hochschule Bonn-Rhein-Sieg (H-BRS)</t>
        </is>
      </c>
      <c r="D60" s="37" t="inlineStr">
        <is>
          <t>Sankt Augustin (زانکت آگوستین) — حومهٔ Bonn</t>
        </is>
      </c>
      <c r="E60" s="37" t="inlineStr">
        <is>
          <t>متوسط — $1,080–1,370</t>
        </is>
      </c>
      <c r="F60" s="37" t="inlineStr">
        <is>
          <t>M.Sc. Autonomous Systems</t>
        </is>
      </c>
      <c r="G60" s="37" t="inlineStr">
        <is>
          <t>سیستم‌های نهفته / رباتیک / خودران</t>
        </is>
      </c>
      <c r="H60" s="37" t="inlineStr">
        <is>
          <t>۲ سال</t>
        </is>
      </c>
      <c r="I60" s="37" t="inlineStr">
        <is>
          <t>$0 + $400 سهم ترم</t>
        </is>
      </c>
      <c r="J60" s="37" t="inlineStr">
        <is>
          <t>$1,600</t>
        </is>
      </c>
      <c r="K60" s="74" t="inlineStr">
        <is>
          <t>$28–34k</t>
        </is>
      </c>
      <c r="L60" s="37" t="inlineStr">
        <is>
          <t>معدل آلمانی ≤ 2.5؛ ۲۵ جای محدود؛ آزمون استعداد؛ uni-assist</t>
        </is>
      </c>
      <c r="M60" s="37" t="inlineStr">
        <is>
          <t>6.5 (B2+)</t>
        </is>
      </c>
      <c r="N60" s="37" t="inlineStr">
        <is>
          <t>— (UAS)</t>
        </is>
      </c>
      <c r="O60" s="30" t="inlineStr">
        <is>
          <t>Target</t>
        </is>
      </c>
      <c r="P60" s="37" t="inlineStr">
        <is>
          <t>4/5 — در آلمان و سوئد قوی (خودرو، Bosch، ABB، Ericsson)؛ ولی کارفرمایان صنعتی خارج از شهرهای بزرگ اغلب آلمانی/سوئدی می‌خواهند</t>
        </is>
      </c>
      <c r="Q60" s="37" t="inlineStr">
        <is>
          <t>رباتیک کاربردی با Fraunhofer؛ نزدیک Bonn/Köln</t>
        </is>
      </c>
      <c r="R60" s="75" t="inlineStr">
        <is>
          <t>https://www.h-brs.de/en/inf/admission-application-master-autonomous-systems</t>
        </is>
      </c>
    </row>
    <row r="61">
      <c r="A61" s="76" t="n">
        <v>60</v>
      </c>
      <c r="B61" s="89" t="inlineStr">
        <is>
          <t>آلمان</t>
        </is>
      </c>
      <c r="C61" s="77" t="inlineStr">
        <is>
          <t>RWTH Aachen</t>
        </is>
      </c>
      <c r="D61" s="77" t="inlineStr">
        <is>
          <t>Aachen (آخن) — مرز هلند/بلژیک</t>
        </is>
      </c>
      <c r="E61" s="77" t="inlineStr">
        <is>
          <t>متوسط — $1,080–1,370</t>
        </is>
      </c>
      <c r="F61" s="77" t="inlineStr">
        <is>
          <t>M.Sc. Software Systems Engineering</t>
        </is>
      </c>
      <c r="G61" s="77" t="inlineStr">
        <is>
          <t>مهندسی نرم‌افزار / علوم کامپیوتر</t>
        </is>
      </c>
      <c r="H61" s="77" t="inlineStr">
        <is>
          <t>۲ سال</t>
        </is>
      </c>
      <c r="I61" s="77" t="inlineStr">
        <is>
          <t>$0 + ≈ $375 سهم ترم</t>
        </is>
      </c>
      <c r="J61" s="77" t="inlineStr">
        <is>
          <t>$1,500</t>
        </is>
      </c>
      <c r="K61" s="74" t="inlineStr">
        <is>
          <t>$27–34k</t>
        </is>
      </c>
      <c r="L61" s="77" t="inlineStr">
        <is>
          <t>کارشناسی CS، معدل ≥ ۶۵٪ (شما ۷۹٪ ✓)؛ ۲ درس پیشرفتهٔ سیستم؛ مهلت ۱ مارس</t>
        </is>
      </c>
      <c r="M61" s="77" t="inlineStr">
        <is>
          <t>B2 (IELTS 5.5)</t>
        </is>
      </c>
      <c r="N61" s="77" t="inlineStr">
        <is>
          <t>104</t>
        </is>
      </c>
      <c r="O61" s="79" t="inlineStr">
        <is>
          <t>Reach</t>
        </is>
      </c>
      <c r="P61" s="77" t="inlineStr">
        <is>
          <t>4/5 — بیشترین حجم آگهی در هر ۶ کشور؛ ورود جونیور از ۲۰۲۳ سخت‌تر شده — سابقهٔ کار شما مزیت است</t>
        </is>
      </c>
      <c r="Q61" s="77" t="inlineStr">
        <is>
          <t>TU9؛ رقابتی — معدل شما حداقل را رد می‌کند ولی متقاضیان قوی‌ترند</t>
        </is>
      </c>
      <c r="R61" s="78" t="inlineStr">
        <is>
          <t>https://sc.informatik.rwth-aachen.de/en/studium/master/sse/</t>
        </is>
      </c>
    </row>
    <row r="62">
      <c r="A62" s="40" t="n">
        <v>61</v>
      </c>
      <c r="B62" s="89" t="inlineStr">
        <is>
          <t>آلمان</t>
        </is>
      </c>
      <c r="C62" s="37" t="inlineStr">
        <is>
          <t>Universität Tübingen</t>
        </is>
      </c>
      <c r="D62" s="37" t="inlineStr">
        <is>
          <t>Tübingen (توبینگن) — شهر دانشگاهی کوچک؛ Cyber Valley</t>
        </is>
      </c>
      <c r="E62" s="37" t="inlineStr">
        <is>
          <t>گران — $1,200–1,480</t>
        </is>
      </c>
      <c r="F62" s="37" t="inlineStr">
        <is>
          <t>M.Sc. Machine Learning</t>
        </is>
      </c>
      <c r="G62" s="37" t="inlineStr">
        <is>
          <t>هوش مصنوعی / یادگیری ماشین</t>
        </is>
      </c>
      <c r="H62" s="37" t="inlineStr">
        <is>
          <t>۲ سال</t>
        </is>
      </c>
      <c r="I62" s="37" t="inlineStr">
        <is>
          <t>$1,710 در ترم + ≈ $230 = ≈ $3,880/سال</t>
        </is>
      </c>
      <c r="J62" s="37" t="inlineStr">
        <is>
          <t>$7,750</t>
        </is>
      </c>
      <c r="K62" s="74" t="inlineStr">
        <is>
          <t>$36–43k</t>
        </is>
      </c>
      <c r="L62" s="37" t="inlineStr">
        <is>
          <t>کارشناسی CS/ریاضی؛ آزمون توانایی؛ مهلت ۳۰ آوریل</t>
        </is>
      </c>
      <c r="M62" s="37" t="inlineStr">
        <is>
          <t>7.0</t>
        </is>
      </c>
      <c r="N62" s="37">
        <f>230</f>
        <v/>
      </c>
      <c r="O62" s="79" t="inlineStr">
        <is>
          <t>Reach</t>
        </is>
      </c>
      <c r="P62" s="37" t="inlineStr">
        <is>
          <t>5/5 — داغ‌ترین بازار؛ «AI Engineer» سریع‌ترین‌رشد (LinkedIn 2026)؛ ولی برنامه‌های ریاضی‌محور (Tübingen، UvA، KTH) بسیار رقابتی‌اند</t>
        </is>
      </c>
      <c r="Q62" s="37" t="inlineStr">
        <is>
          <t>Cyber Valley — بهترین ML آلمان؛ پذیرش بسیار سخت</t>
        </is>
      </c>
      <c r="R62" s="75" t="inlineStr">
        <is>
          <t>https://uni-tuebingen.de/fakultaeten/mathematisch-naturwissenschaftliche-fakultaet/fachbereiche/informatik/studium/studierende/lehre-studienorganisation/studiengaenge/machine-learning/admission-and-application/</t>
        </is>
      </c>
    </row>
    <row r="63">
      <c r="A63" s="76" t="n">
        <v>62</v>
      </c>
      <c r="B63" s="89" t="inlineStr">
        <is>
          <t>آلمان</t>
        </is>
      </c>
      <c r="C63" s="77" t="inlineStr">
        <is>
          <t>TU München (TUM)</t>
        </is>
      </c>
      <c r="D63" s="77" t="inlineStr">
        <is>
          <t>München – Garching (مونیخ، کمپوس گارشینگ)</t>
        </is>
      </c>
      <c r="E63" s="77" t="inlineStr">
        <is>
          <t>خیلی گران — $1,480–1,820</t>
        </is>
      </c>
      <c r="F63" s="77" t="inlineStr">
        <is>
          <t>M.Sc. Informatics</t>
        </is>
      </c>
      <c r="G63" s="77" t="inlineStr">
        <is>
          <t>مهندسی نرم‌افزار / علوم کامپیوتر</t>
        </is>
      </c>
      <c r="H63" s="77" t="inlineStr">
        <is>
          <t>۲ سال</t>
        </is>
      </c>
      <c r="I63" s="77" t="inlineStr">
        <is>
          <t>$6,840 در ترم برای غیر-EU ($13,700/سال) + $110</t>
        </is>
      </c>
      <c r="J63" s="77" t="inlineStr">
        <is>
          <t>$27,800</t>
        </is>
      </c>
      <c r="K63" s="74" t="inlineStr">
        <is>
          <t>$63–72k</t>
        </is>
      </c>
      <c r="L63" s="77" t="inlineStr">
        <is>
          <t>کارشناسی CS؛ ارزیابی استعداد؛ بسیار رقابتی</t>
        </is>
      </c>
      <c r="M63" s="77" t="inlineStr">
        <is>
          <t>6.5</t>
        </is>
      </c>
      <c r="N63" s="77" t="inlineStr">
        <is>
          <t>≈ 25</t>
        </is>
      </c>
      <c r="O63" s="79" t="inlineStr">
        <is>
          <t>Reach</t>
        </is>
      </c>
      <c r="P63" s="77" t="inlineStr">
        <is>
          <t>4/5 — بیشترین حجم آگهی در هر ۶ کشور؛ ورود جونیور از ۲۰۲۳ سخت‌تر شده — سابقهٔ کار شما مزیت است</t>
        </is>
      </c>
      <c r="Q63" s="87" t="inlineStr">
        <is>
          <t>⚠️ TUM از ۲۰۲۴ شهریهٔ غیر-EU می‌گیرد — دیگر «رایگان» نیست؛ Munich گران‌ترین شهر آلمان</t>
        </is>
      </c>
      <c r="R63" s="78" t="inlineStr">
        <is>
          <t>https://www.tum.de/en/studies/degree-programs/detail/informatics-master-of-science-msc</t>
        </is>
      </c>
    </row>
    <row r="64">
      <c r="A64" s="90" t="n">
        <v>63</v>
      </c>
      <c r="B64" s="91" t="inlineStr">
        <is>
          <t>هلند</t>
        </is>
      </c>
      <c r="C64" s="92" t="inlineStr">
        <is>
          <t>University of Twente (UT)</t>
        </is>
      </c>
      <c r="D64" s="92" t="inlineStr">
        <is>
          <t>Enschede (انسخده) — شرق هلند، مرز آلمان</t>
        </is>
      </c>
      <c r="E64" s="92" t="inlineStr">
        <is>
          <t>متوسط — $1,140–1,480</t>
        </is>
      </c>
      <c r="F64" s="92" t="inlineStr">
        <is>
          <t>MSc Computer Science (گرایش‌ها: Cyber Security، Data Science، Software Tech، ...)</t>
        </is>
      </c>
      <c r="G64" s="92" t="inlineStr">
        <is>
          <t>مهندسی نرم‌افزار / علوم کامپیوتر</t>
        </is>
      </c>
      <c r="H64" s="92" t="inlineStr">
        <is>
          <t>۲ سال</t>
        </is>
      </c>
      <c r="I64" s="92" t="inlineStr">
        <is>
          <t>$24,700</t>
        </is>
      </c>
      <c r="J64" s="92" t="inlineStr">
        <is>
          <t>$49,500</t>
        </is>
      </c>
      <c r="K64" s="83" t="inlineStr">
        <is>
          <t>$77–85k</t>
        </is>
      </c>
      <c r="L64" s="92" t="inlineStr">
        <is>
          <t>حداقل رسمی برای مدرک ایرانی ۱۵/۲۰</t>
        </is>
      </c>
      <c r="M64" s="92" t="inlineStr">
        <is>
          <t>6.5</t>
        </is>
      </c>
      <c r="N64" s="92" t="inlineStr">
        <is>
          <t>223</t>
        </is>
      </c>
      <c r="O64" s="84" t="inlineStr">
        <is>
          <t>Target</t>
        </is>
      </c>
      <c r="P64" s="92" t="inlineStr">
        <is>
          <t>4/5 — بیشترین حجم آگهی در هر ۶ کشور؛ ورود جونیور از ۲۰۲۳ سخت‌تر شده — سابقهٔ کار شما مزیت است</t>
        </is>
      </c>
      <c r="Q64" s="92" t="inlineStr">
        <is>
          <t>گزینهٔ Target جدول اصلی</t>
        </is>
      </c>
      <c r="R64" s="93" t="inlineStr">
        <is>
          <t>https://www.utwente.nl/en/education/master/programmes/computer-science/</t>
        </is>
      </c>
    </row>
    <row r="65">
      <c r="A65" s="76" t="n">
        <v>64</v>
      </c>
      <c r="B65" s="94" t="inlineStr">
        <is>
          <t>هلند</t>
        </is>
      </c>
      <c r="C65" s="77" t="inlineStr">
        <is>
          <t>University of Twente (UT)</t>
        </is>
      </c>
      <c r="D65" s="77" t="inlineStr">
        <is>
          <t>Enschede (انسخده) — شرق هلند، مرز آلمان</t>
        </is>
      </c>
      <c r="E65" s="77" t="inlineStr">
        <is>
          <t>متوسط — $1,140–1,480</t>
        </is>
      </c>
      <c r="F65" s="77" t="inlineStr">
        <is>
          <t>MSc Embedded Systems</t>
        </is>
      </c>
      <c r="G65" s="77" t="inlineStr">
        <is>
          <t>سیستم‌های نهفته / رباتیک / خودران</t>
        </is>
      </c>
      <c r="H65" s="77" t="inlineStr">
        <is>
          <t>۲ سال</t>
        </is>
      </c>
      <c r="I65" s="77" t="inlineStr">
        <is>
          <t>$24,700</t>
        </is>
      </c>
      <c r="J65" s="77" t="inlineStr">
        <is>
          <t>$49,500</t>
        </is>
      </c>
      <c r="K65" s="74" t="inlineStr">
        <is>
          <t>$77–85k</t>
        </is>
      </c>
      <c r="L65" s="77" t="inlineStr">
        <is>
          <t>CGPA ≥ ۷۰–۷۵٪؛ کارشناسی CS/EE/Computer Eng</t>
        </is>
      </c>
      <c r="M65" s="77" t="inlineStr">
        <is>
          <t>6.5</t>
        </is>
      </c>
      <c r="N65" s="77" t="inlineStr">
        <is>
          <t>223</t>
        </is>
      </c>
      <c r="O65" s="30" t="inlineStr">
        <is>
          <t>Target</t>
        </is>
      </c>
      <c r="P65" s="77" t="inlineStr">
        <is>
          <t>4/5 — در آلمان و سوئد قوی (خودرو، Bosch، ABB، Ericsson)؛ ولی کارفرمایان صنعتی خارج از شهرهای بزرگ اغلب آلمانی/سوئدی می‌خواهند</t>
        </is>
      </c>
      <c r="Q65" s="77" t="inlineStr">
        <is>
          <t>شهریهٔ رسمی 2026/27؛ مهلت غیر-EU ۱ مه</t>
        </is>
      </c>
      <c r="R65" s="78" t="inlineStr">
        <is>
          <t>https://www.utwente.nl/en/education/master/programmes/embedded-systems/finance/</t>
        </is>
      </c>
    </row>
    <row r="66">
      <c r="A66" s="40" t="n">
        <v>65</v>
      </c>
      <c r="B66" s="94" t="inlineStr">
        <is>
          <t>هلند</t>
        </is>
      </c>
      <c r="C66" s="37" t="inlineStr">
        <is>
          <t>University of Twente (UT)</t>
        </is>
      </c>
      <c r="D66" s="37" t="inlineStr">
        <is>
          <t>Enschede (انسخده) — شرق هلند، مرز آلمان</t>
        </is>
      </c>
      <c r="E66" s="37" t="inlineStr">
        <is>
          <t>متوسط — $1,140–1,480</t>
        </is>
      </c>
      <c r="F66" s="37" t="inlineStr">
        <is>
          <t>MSc Interaction Technology</t>
        </is>
      </c>
      <c r="G66" s="37" t="inlineStr">
        <is>
          <t>HCI / طراحی تعامل / UX</t>
        </is>
      </c>
      <c r="H66" s="37" t="inlineStr">
        <is>
          <t>۲ سال</t>
        </is>
      </c>
      <c r="I66" s="37" t="inlineStr">
        <is>
          <t>$24,700</t>
        </is>
      </c>
      <c r="J66" s="37" t="inlineStr">
        <is>
          <t>$49,500</t>
        </is>
      </c>
      <c r="K66" s="74" t="inlineStr">
        <is>
          <t>$77–85k</t>
        </is>
      </c>
      <c r="L66" s="37" t="inlineStr">
        <is>
          <t>کارشناسی CS/مرتبط</t>
        </is>
      </c>
      <c r="M66" s="37" t="inlineStr">
        <is>
          <t>6.5</t>
        </is>
      </c>
      <c r="N66" s="37" t="inlineStr">
        <is>
          <t>223</t>
        </is>
      </c>
      <c r="O66" s="30" t="inlineStr">
        <is>
          <t>Target</t>
        </is>
      </c>
      <c r="P66" s="37" t="inlineStr">
        <is>
          <t>2/5 — آگهی‌های UX/UXR از ۲۰۲۲ حدود ۷۰٪ کم شده و از ۲۰۲۳ ثابت مانده؛ رقابت شدید، حقوق شروع کمتر از توسعه‌دهنده</t>
        </is>
      </c>
      <c r="Q66" s="37" t="inlineStr">
        <is>
          <t>HCI فنی (نه طراحی صرف)</t>
        </is>
      </c>
      <c r="R66" s="75" t="inlineStr">
        <is>
          <t>https://www.utwente.nl/en/education/master/programmes/interaction-technology/</t>
        </is>
      </c>
    </row>
    <row r="67">
      <c r="A67" s="76" t="n">
        <v>66</v>
      </c>
      <c r="B67" s="94" t="inlineStr">
        <is>
          <t>هلند</t>
        </is>
      </c>
      <c r="C67" s="77" t="inlineStr">
        <is>
          <t>Radboud University</t>
        </is>
      </c>
      <c r="D67" s="77" t="inlineStr">
        <is>
          <t>Nijmegen (نایمخن) — شرق هلند</t>
        </is>
      </c>
      <c r="E67" s="77" t="inlineStr">
        <is>
          <t>متوسط — $1,200–1,540</t>
        </is>
      </c>
      <c r="F67" s="77" t="inlineStr">
        <is>
          <t>MSc Computing Science (گرایش‌ها: Cyber Security، Data Science، Software Science)</t>
        </is>
      </c>
      <c r="G67" s="77" t="inlineStr">
        <is>
          <t>مهندسی نرم‌افزار / علوم کامپیوتر</t>
        </is>
      </c>
      <c r="H67" s="77" t="inlineStr">
        <is>
          <t>۲ سال</t>
        </is>
      </c>
      <c r="I67" s="77" t="inlineStr">
        <is>
          <t>$22,500 (2026/27 — نرخ رسمی دانشکدهٔ علوم)</t>
        </is>
      </c>
      <c r="J67" s="77" t="inlineStr">
        <is>
          <t>$44,900</t>
        </is>
      </c>
      <c r="K67" s="74" t="inlineStr">
        <is>
          <t>$74–82k</t>
        </is>
      </c>
      <c r="L67" s="77" t="inlineStr">
        <is>
          <t>کارشناسی CS با ریاضی/الگوریتم کافی</t>
        </is>
      </c>
      <c r="M67" s="77" t="inlineStr">
        <is>
          <t>6.5</t>
        </is>
      </c>
      <c r="N67" s="77" t="inlineStr">
        <is>
          <t>283</t>
        </is>
      </c>
      <c r="O67" s="30" t="inlineStr">
        <is>
          <t>Target</t>
        </is>
      </c>
      <c r="P67" s="77" t="inlineStr">
        <is>
          <t>4/5 — بیشترین حجم آگهی در هر ۶ کشور؛ ورود جونیور از ۲۰۲۳ سخت‌تر شده — سابقهٔ کار شما مزیت است</t>
        </is>
      </c>
      <c r="Q67" s="77" t="inlineStr">
        <is>
          <t>گزینهٔ Target جدول اصلی</t>
        </is>
      </c>
      <c r="R67" s="78" t="inlineStr">
        <is>
          <t>https://www.ru.nl/en/education/masters/computing-science</t>
        </is>
      </c>
    </row>
    <row r="68">
      <c r="A68" s="40" t="n">
        <v>67</v>
      </c>
      <c r="B68" s="94" t="inlineStr">
        <is>
          <t>هلند</t>
        </is>
      </c>
      <c r="C68" s="37" t="inlineStr">
        <is>
          <t>Radboud University</t>
        </is>
      </c>
      <c r="D68" s="37" t="inlineStr">
        <is>
          <t>Nijmegen (نایمخن) — شرق هلند</t>
        </is>
      </c>
      <c r="E68" s="37" t="inlineStr">
        <is>
          <t>متوسط — $1,200–1,540</t>
        </is>
      </c>
      <c r="F68" s="37" t="inlineStr">
        <is>
          <t>MSc Artificial Intelligence</t>
        </is>
      </c>
      <c r="G68" s="37" t="inlineStr">
        <is>
          <t>هوش مصنوعی / یادگیری ماشین</t>
        </is>
      </c>
      <c r="H68" s="37" t="inlineStr">
        <is>
          <t>۲ سال</t>
        </is>
      </c>
      <c r="I68" s="37" t="inlineStr">
        <is>
          <t>$22,500 (2026/27 — نرخ رسمی دانشکدهٔ علوم)</t>
        </is>
      </c>
      <c r="J68" s="37" t="inlineStr">
        <is>
          <t>$44,900</t>
        </is>
      </c>
      <c r="K68" s="74" t="inlineStr">
        <is>
          <t>$74–82k</t>
        </is>
      </c>
      <c r="L68" s="37" t="inlineStr">
        <is>
          <t>کارشناسی CS/AI/مرتبط</t>
        </is>
      </c>
      <c r="M68" s="37" t="inlineStr">
        <is>
          <t>6.5</t>
        </is>
      </c>
      <c r="N68" s="37" t="inlineStr">
        <is>
          <t>283</t>
        </is>
      </c>
      <c r="O68" s="30" t="inlineStr">
        <is>
          <t>Target</t>
        </is>
      </c>
      <c r="P68" s="37" t="inlineStr">
        <is>
          <t>5/5 — داغ‌ترین بازار؛ «AI Engineer» سریع‌ترین‌رشد (LinkedIn 2026)؛ ولی برنامه‌های ریاضی‌محور (Tübingen، UvA، KTH) بسیار رقابتی‌اند</t>
        </is>
      </c>
      <c r="Q68" s="37" t="inlineStr">
        <is>
          <t>AI شناختی (Donders Institute)</t>
        </is>
      </c>
      <c r="R68" s="75" t="inlineStr">
        <is>
          <t>https://www.ru.nl/en/education/masters/artificial-intelligence</t>
        </is>
      </c>
    </row>
    <row r="69">
      <c r="A69" s="76" t="n">
        <v>68</v>
      </c>
      <c r="B69" s="94" t="inlineStr">
        <is>
          <t>هلند</t>
        </is>
      </c>
      <c r="C69" s="77" t="inlineStr">
        <is>
          <t>Leiden University</t>
        </is>
      </c>
      <c r="D69" s="77" t="inlineStr">
        <is>
          <t>Leiden (لایدن) — بین Den Haag و Amsterdam</t>
        </is>
      </c>
      <c r="E69" s="77" t="inlineStr">
        <is>
          <t>گران — $1,370–1,710</t>
        </is>
      </c>
      <c r="F69" s="77" t="inlineStr">
        <is>
          <t>MSc Computer Science (گرایش‌ها: Artificial Intelligence، Data Science، ...)</t>
        </is>
      </c>
      <c r="G69" s="77" t="inlineStr">
        <is>
          <t>چندحوزه‌ای (انتخاب گرایش)</t>
        </is>
      </c>
      <c r="H69" s="77" t="inlineStr">
        <is>
          <t>۲ سال</t>
        </is>
      </c>
      <c r="I69" s="77" t="inlineStr">
        <is>
          <t>$25,600</t>
        </is>
      </c>
      <c r="J69" s="77" t="inlineStr">
        <is>
          <t>$51,300</t>
        </is>
      </c>
      <c r="K69" s="74" t="inlineStr">
        <is>
          <t>$84–92k</t>
        </is>
      </c>
      <c r="L69" s="77" t="inlineStr">
        <is>
          <t>کارشناسی CS</t>
        </is>
      </c>
      <c r="M69" s="77" t="inlineStr">
        <is>
          <t>6.5</t>
        </is>
      </c>
      <c r="N69" s="77" t="inlineStr">
        <is>
          <t>119</t>
        </is>
      </c>
      <c r="O69" s="42" t="inlineStr">
        <is>
          <t>Target/Reach</t>
        </is>
      </c>
      <c r="P69" s="77" t="inlineStr">
        <is>
          <t>4/5 — گرایش را بعد از ورود انتخاب می‌کنید؛ امتیاز بازار = گرایشی که برمی‌دارید</t>
        </is>
      </c>
      <c r="Q69" s="77" t="inlineStr">
        <is>
          <t>شهریهٔ رسمی 2026/27؛ نزدیک Den Haag/Amsterdam</t>
        </is>
      </c>
      <c r="R69" s="78" t="inlineStr">
        <is>
          <t>https://www.universiteitleiden.nl/en/education/study-programmes/master/computer-science/artificial-intelligence/admission-and-application/tuition-fees</t>
        </is>
      </c>
    </row>
    <row r="70">
      <c r="A70" s="40" t="n">
        <v>69</v>
      </c>
      <c r="B70" s="94" t="inlineStr">
        <is>
          <t>هلند</t>
        </is>
      </c>
      <c r="C70" s="37" t="inlineStr">
        <is>
          <t>University of Groningen (RUG)</t>
        </is>
      </c>
      <c r="D70" s="37" t="inlineStr">
        <is>
          <t>Groningen (خرونینگن) — شمال هلند</t>
        </is>
      </c>
      <c r="E70" s="37" t="inlineStr">
        <is>
          <t>متوسط — $1,200–1,540</t>
        </is>
      </c>
      <c r="F70" s="37" t="inlineStr">
        <is>
          <t>MSc Artificial Intelligence</t>
        </is>
      </c>
      <c r="G70" s="37" t="inlineStr">
        <is>
          <t>هوش مصنوعی / یادگیری ماشین</t>
        </is>
      </c>
      <c r="H70" s="37" t="inlineStr">
        <is>
          <t>۲ سال</t>
        </is>
      </c>
      <c r="I70" s="37" t="inlineStr">
        <is>
          <t>$28,400</t>
        </is>
      </c>
      <c r="J70" s="37" t="inlineStr">
        <is>
          <t>$56,800</t>
        </is>
      </c>
      <c r="K70" s="74" t="inlineStr">
        <is>
          <t>$86–94k</t>
        </is>
      </c>
      <c r="L70" s="37" t="inlineStr">
        <is>
          <t>کارشناسی AI/CS با ریاضی</t>
        </is>
      </c>
      <c r="M70" s="37" t="inlineStr">
        <is>
          <t>6.5</t>
        </is>
      </c>
      <c r="N70" s="37" t="inlineStr">
        <is>
          <t>157</t>
        </is>
      </c>
      <c r="O70" s="42" t="inlineStr">
        <is>
          <t>Target/Reach</t>
        </is>
      </c>
      <c r="P70" s="37" t="inlineStr">
        <is>
          <t>5/5 — داغ‌ترین بازار؛ «AI Engineer» سریع‌ترین‌رشد (LinkedIn 2026)؛ ولی برنامه‌های ریاضی‌محور (Tübingen، UvA، KTH) بسیار رقابتی‌اند</t>
        </is>
      </c>
      <c r="Q70" s="37" t="inlineStr">
        <is>
          <t>شهریهٔ رسمی 2026/27؛ بورس ASML $5.7k</t>
        </is>
      </c>
      <c r="R70" s="75" t="inlineStr">
        <is>
          <t>https://www.rug.nl/masters/artificial-intelligence/?lang=en</t>
        </is>
      </c>
    </row>
    <row r="71">
      <c r="A71" s="76" t="n">
        <v>70</v>
      </c>
      <c r="B71" s="94" t="inlineStr">
        <is>
          <t>هلند</t>
        </is>
      </c>
      <c r="C71" s="77" t="inlineStr">
        <is>
          <t>University of Groningen (RUG)</t>
        </is>
      </c>
      <c r="D71" s="77" t="inlineStr">
        <is>
          <t>Groningen (خرونینگن) — شمال هلند</t>
        </is>
      </c>
      <c r="E71" s="77" t="inlineStr">
        <is>
          <t>متوسط — $1,200–1,540</t>
        </is>
      </c>
      <c r="F71" s="77" t="inlineStr">
        <is>
          <t>MSc Computing Science</t>
        </is>
      </c>
      <c r="G71" s="77" t="inlineStr">
        <is>
          <t>مهندسی نرم‌افزار / علوم کامپیوتر</t>
        </is>
      </c>
      <c r="H71" s="77" t="inlineStr">
        <is>
          <t>۲ سال</t>
        </is>
      </c>
      <c r="I71" s="77" t="inlineStr">
        <is>
          <t>≈ $24,400 (2025) → ≈ $25,600</t>
        </is>
      </c>
      <c r="J71" s="77" t="inlineStr">
        <is>
          <t>$51,300</t>
        </is>
      </c>
      <c r="K71" s="74" t="inlineStr">
        <is>
          <t>$80–88k</t>
        </is>
      </c>
      <c r="L71" s="77" t="inlineStr">
        <is>
          <t>کارشناسی CS</t>
        </is>
      </c>
      <c r="M71" s="77" t="inlineStr">
        <is>
          <t>6.5</t>
        </is>
      </c>
      <c r="N71" s="77" t="inlineStr">
        <is>
          <t>157</t>
        </is>
      </c>
      <c r="O71" s="30" t="inlineStr">
        <is>
          <t>Target</t>
        </is>
      </c>
      <c r="P71" s="77" t="inlineStr">
        <is>
          <t>4/5 — بیشترین حجم آگهی در هر ۶ کشور؛ ورود جونیور از ۲۰۲۳ سخت‌تر شده — سابقهٔ کار شما مزیت است</t>
        </is>
      </c>
      <c r="Q71" s="77" t="inlineStr"/>
      <c r="R71" s="78" t="inlineStr">
        <is>
          <t>https://www.rug.nl/masters/computing-science/?lang=en</t>
        </is>
      </c>
    </row>
    <row r="72">
      <c r="A72" s="40" t="n">
        <v>71</v>
      </c>
      <c r="B72" s="94" t="inlineStr">
        <is>
          <t>هلند</t>
        </is>
      </c>
      <c r="C72" s="37" t="inlineStr">
        <is>
          <t>Utrecht University</t>
        </is>
      </c>
      <c r="D72" s="37" t="inlineStr">
        <is>
          <t>Utrecht (اوترخت) — مرکز هلند؛ قطب استودیوهای بازی</t>
        </is>
      </c>
      <c r="E72" s="37" t="inlineStr">
        <is>
          <t>گران — $1,370–1,710</t>
        </is>
      </c>
      <c r="F72" s="37" t="inlineStr">
        <is>
          <t>MSc Game and Media Technology</t>
        </is>
      </c>
      <c r="G72" s="37" t="inlineStr">
        <is>
          <t>توسعه بازی</t>
        </is>
      </c>
      <c r="H72" s="37" t="inlineStr">
        <is>
          <t>۲ سال</t>
        </is>
      </c>
      <c r="I72" s="37" t="inlineStr">
        <is>
          <t>$28,800</t>
        </is>
      </c>
      <c r="J72" s="37" t="inlineStr">
        <is>
          <t>$57,700</t>
        </is>
      </c>
      <c r="K72" s="74" t="inlineStr">
        <is>
          <t>$91–99k</t>
        </is>
      </c>
      <c r="L72" s="37" t="inlineStr">
        <is>
          <t>کارشناسی CS؛ ارشد پژوهشی گزینشی</t>
        </is>
      </c>
      <c r="M72" s="37" t="inlineStr">
        <is>
          <t>6.5</t>
        </is>
      </c>
      <c r="N72" s="37" t="inlineStr">
        <is>
          <t>113</t>
        </is>
      </c>
      <c r="O72" s="79" t="inlineStr">
        <is>
          <t>Reach</t>
        </is>
      </c>
      <c r="P72" s="37" t="inlineStr">
        <is>
          <t>2/5 — ≈۴۵ هزار اخراج ۲۰۲۲–۲۰۲۵؛ ۲۶٪ توسعه‌دهندگان اروپایی حداقل یک‌بار اخراج شده‌اند؛ حقوق برنامه‌نویس Unity تا ۵۰٪ افت — سابقهٔ Unity شما مزیت ورود است، نه تضمین</t>
        </is>
      </c>
      <c r="Q72" s="37" t="inlineStr">
        <is>
          <t>تنها ارشد پژوهشی بازی هلند؛ Utrecht قطب استودیوهای بازی</t>
        </is>
      </c>
      <c r="R72" s="75" t="inlineStr">
        <is>
          <t>https://www.uu.nl/en/masters/game-and-media-technology</t>
        </is>
      </c>
    </row>
    <row r="73">
      <c r="A73" s="76" t="n">
        <v>72</v>
      </c>
      <c r="B73" s="94" t="inlineStr">
        <is>
          <t>هلند</t>
        </is>
      </c>
      <c r="C73" s="77" t="inlineStr">
        <is>
          <t>Utrecht University</t>
        </is>
      </c>
      <c r="D73" s="77" t="inlineStr">
        <is>
          <t>Utrecht (اوترخت) — مرکز هلند؛ قطب استودیوهای بازی</t>
        </is>
      </c>
      <c r="E73" s="77" t="inlineStr">
        <is>
          <t>گران — $1,370–1,710</t>
        </is>
      </c>
      <c r="F73" s="77" t="inlineStr">
        <is>
          <t>MSc Artificial Intelligence</t>
        </is>
      </c>
      <c r="G73" s="77" t="inlineStr">
        <is>
          <t>هوش مصنوعی / یادگیری ماشین</t>
        </is>
      </c>
      <c r="H73" s="77" t="inlineStr">
        <is>
          <t>۲ سال</t>
        </is>
      </c>
      <c r="I73" s="77" t="inlineStr">
        <is>
          <t>$28,800</t>
        </is>
      </c>
      <c r="J73" s="77" t="inlineStr">
        <is>
          <t>$57,700</t>
        </is>
      </c>
      <c r="K73" s="74" t="inlineStr">
        <is>
          <t>$91–99k</t>
        </is>
      </c>
      <c r="L73" s="77" t="inlineStr">
        <is>
          <t>کارشناسی CS/AI؛ گزینشی</t>
        </is>
      </c>
      <c r="M73" s="77" t="inlineStr">
        <is>
          <t>6.5</t>
        </is>
      </c>
      <c r="N73" s="77" t="inlineStr">
        <is>
          <t>113</t>
        </is>
      </c>
      <c r="O73" s="79" t="inlineStr">
        <is>
          <t>Reach</t>
        </is>
      </c>
      <c r="P73" s="77" t="inlineStr">
        <is>
          <t>5/5 — داغ‌ترین بازار؛ «AI Engineer» سریع‌ترین‌رشد (LinkedIn 2026)؛ ولی برنامه‌های ریاضی‌محور (Tübingen، UvA، KTH) بسیار رقابتی‌اند</t>
        </is>
      </c>
      <c r="Q73" s="77" t="inlineStr">
        <is>
          <t>همان باند شهریهٔ Utrecht 2026/27</t>
        </is>
      </c>
      <c r="R73" s="78" t="inlineStr">
        <is>
          <t>https://www.uu.nl/en/masters/artificial-intelligence</t>
        </is>
      </c>
    </row>
    <row r="74">
      <c r="A74" s="40" t="n">
        <v>73</v>
      </c>
      <c r="B74" s="94" t="inlineStr">
        <is>
          <t>هلند</t>
        </is>
      </c>
      <c r="C74" s="37" t="inlineStr">
        <is>
          <t>University of Amsterdam (UvA)</t>
        </is>
      </c>
      <c r="D74" s="37" t="inlineStr">
        <is>
          <t>Amsterdam (آمستردام)</t>
        </is>
      </c>
      <c r="E74" s="37" t="inlineStr">
        <is>
          <t>خیلی گران — $1,480–1,940</t>
        </is>
      </c>
      <c r="F74" s="37" t="inlineStr">
        <is>
          <t>MSc Software Engineering (۱ ساله!)</t>
        </is>
      </c>
      <c r="G74" s="37" t="inlineStr">
        <is>
          <t>مهندسی نرم‌افزار / علوم کامپیوتر</t>
        </is>
      </c>
      <c r="H74" s="37" t="inlineStr">
        <is>
          <t>۱ سال</t>
        </is>
      </c>
      <c r="I74" s="37" t="inlineStr">
        <is>
          <t>$39,100 (2026/27 رسمی — ارشد یک‌سالهٔ دانشکدهٔ علوم برای غیر-EEA)</t>
        </is>
      </c>
      <c r="J74" s="37" t="inlineStr">
        <is>
          <t>$39,100</t>
        </is>
      </c>
      <c r="K74" s="74" t="inlineStr">
        <is>
          <t>$57–62k</t>
        </is>
      </c>
      <c r="L74" s="37" t="inlineStr">
        <is>
          <t>کارشناسی CS با پیش‌زمینهٔ برنامه‌نویسی/نرم‌افزار؛ بررسی موردی</t>
        </is>
      </c>
      <c r="M74" s="37" t="inlineStr">
        <is>
          <t>6.5</t>
        </is>
      </c>
      <c r="N74" s="37" t="inlineStr">
        <is>
          <t>60</t>
        </is>
      </c>
      <c r="O74" s="42" t="inlineStr">
        <is>
          <t>Target/Reach</t>
        </is>
      </c>
      <c r="P74" s="37" t="inlineStr">
        <is>
          <t>4/5 — بیشترین حجم آگهی در هر ۶ کشور؛ ورود جونیور از ۲۰۲۳ سخت‌تر شده — سابقهٔ کار شما مزیت است</t>
        </is>
      </c>
      <c r="Q74" s="37" t="inlineStr">
        <is>
          <t>تنها ارشد ۱ سالهٔ معتبر هلند؛ با وجود شهریهٔ بالاتر، کل هزینه‌اش (۱ سال زندگی) از دوساله‌ها کمتر است؛ Amsterdam = بهترین بازار انگلیسی‌زبان ولی بدترین مسکن (اتاق $1,030–1,480)؛ ⚠️ رقم قبلی ≈ $26,800 غلط بود</t>
        </is>
      </c>
      <c r="R74" s="75" t="inlineStr">
        <is>
          <t>https://www.uva.nl/en/programmes/masters/software-engineering/software-engineering.html</t>
        </is>
      </c>
    </row>
    <row r="75">
      <c r="A75" s="76" t="n">
        <v>74</v>
      </c>
      <c r="B75" s="94" t="inlineStr">
        <is>
          <t>هلند</t>
        </is>
      </c>
      <c r="C75" s="77" t="inlineStr">
        <is>
          <t>University of Amsterdam (UvA)</t>
        </is>
      </c>
      <c r="D75" s="77" t="inlineStr">
        <is>
          <t>Amsterdam (آمستردام)</t>
        </is>
      </c>
      <c r="E75" s="77" t="inlineStr">
        <is>
          <t>خیلی گران — $1,480–1,940</t>
        </is>
      </c>
      <c r="F75" s="77" t="inlineStr">
        <is>
          <t>MSc Artificial Intelligence</t>
        </is>
      </c>
      <c r="G75" s="77" t="inlineStr">
        <is>
          <t>هوش مصنوعی / یادگیری ماشین</t>
        </is>
      </c>
      <c r="H75" s="77" t="inlineStr">
        <is>
          <t>۲ سال</t>
        </is>
      </c>
      <c r="I75" s="77" t="inlineStr">
        <is>
          <t>$29,600 (2026/27 رسمی — ارشد دوسالهٔ دانشکدهٔ علوم)</t>
        </is>
      </c>
      <c r="J75" s="77" t="inlineStr">
        <is>
          <t>$59,300</t>
        </is>
      </c>
      <c r="K75" s="74" t="inlineStr">
        <is>
          <t>$95–106k</t>
        </is>
      </c>
      <c r="L75" s="77" t="inlineStr">
        <is>
          <t>کارشناسی AI/CS با ریاضی قوی؛ بسیار رقابتی</t>
        </is>
      </c>
      <c r="M75" s="77" t="inlineStr">
        <is>
          <t>6.5</t>
        </is>
      </c>
      <c r="N75" s="77" t="inlineStr">
        <is>
          <t>60</t>
        </is>
      </c>
      <c r="O75" s="79" t="inlineStr">
        <is>
          <t>Reach</t>
        </is>
      </c>
      <c r="P75" s="77" t="inlineStr">
        <is>
          <t>5/5 — داغ‌ترین بازار؛ «AI Engineer» سریع‌ترین‌رشد (LinkedIn 2026)؛ ولی برنامه‌های ریاضی‌محور (Tübingen، UvA، KTH) بسیار رقابتی‌اند</t>
        </is>
      </c>
      <c r="Q75" s="77" t="inlineStr"/>
      <c r="R75" s="78" t="inlineStr">
        <is>
          <t>https://www.uva.nl/en/programmes/masters/artificial-intelligence/artificial-intelligence.html</t>
        </is>
      </c>
    </row>
    <row r="76">
      <c r="A76" s="40" t="n">
        <v>75</v>
      </c>
      <c r="B76" s="94" t="inlineStr">
        <is>
          <t>هلند</t>
        </is>
      </c>
      <c r="C76" s="37" t="inlineStr">
        <is>
          <t>TU Eindhoven (TU/e)</t>
        </is>
      </c>
      <c r="D76" s="37" t="inlineStr">
        <is>
          <t>Eindhoven (آیندهوون) — Brainport: ASML، Philips، NXP</t>
        </is>
      </c>
      <c r="E76" s="37" t="inlineStr">
        <is>
          <t>گران — $1,250–1,600</t>
        </is>
      </c>
      <c r="F76" s="37" t="inlineStr">
        <is>
          <t>MSc Data Science and Artificial Intelligence</t>
        </is>
      </c>
      <c r="G76" s="37" t="inlineStr">
        <is>
          <t>علم داده / تحلیل داده</t>
        </is>
      </c>
      <c r="H76" s="37" t="inlineStr">
        <is>
          <t>۲ سال</t>
        </is>
      </c>
      <c r="I76" s="37" t="inlineStr">
        <is>
          <t>$25,500 (2027/28 رسمی؛ 2026/27: $24,700)</t>
        </is>
      </c>
      <c r="J76" s="37" t="inlineStr">
        <is>
          <t>$51,100</t>
        </is>
      </c>
      <c r="K76" s="74" t="inlineStr">
        <is>
          <t>$81–89k</t>
        </is>
      </c>
      <c r="L76" s="37" t="inlineStr">
        <is>
          <t>کارشناسی CS/ریاضی؛ گزینش بر اساس معدل</t>
        </is>
      </c>
      <c r="M76" s="37" t="inlineStr">
        <is>
          <t>6.5</t>
        </is>
      </c>
      <c r="N76" s="37" t="inlineStr">
        <is>
          <t>152</t>
        </is>
      </c>
      <c r="O76" s="79" t="inlineStr">
        <is>
          <t>Reach</t>
        </is>
      </c>
      <c r="P76" s="37" t="inlineStr">
        <is>
          <t>3/5 — بازار ارشد/سینیور خوب، ولی سطح جونیور اشباع (ده‌ها هزار فارغ‌التحصیل مشابه)؛ Data Engineer کم‌رقابت‌تر از Data Scientist</t>
        </is>
      </c>
      <c r="Q76" s="37" t="inlineStr">
        <is>
          <t>Brainport (ASML، Philips، NXP)</t>
        </is>
      </c>
      <c r="R76" s="75" t="inlineStr">
        <is>
          <t>https://www.tue.nl/en/education/graduate-school/master-data-science-and-artificial-intelligence</t>
        </is>
      </c>
    </row>
    <row r="77">
      <c r="A77" s="76" t="n">
        <v>76</v>
      </c>
      <c r="B77" s="94" t="inlineStr">
        <is>
          <t>هلند</t>
        </is>
      </c>
      <c r="C77" s="77" t="inlineStr">
        <is>
          <t>TU Eindhoven (TU/e)</t>
        </is>
      </c>
      <c r="D77" s="77" t="inlineStr">
        <is>
          <t>Eindhoven (آیندهوون) — Brainport: ASML، Philips، NXP</t>
        </is>
      </c>
      <c r="E77" s="77" t="inlineStr">
        <is>
          <t>گران — $1,250–1,600</t>
        </is>
      </c>
      <c r="F77" s="77" t="inlineStr">
        <is>
          <t>MSc Embedded Systems</t>
        </is>
      </c>
      <c r="G77" s="77" t="inlineStr">
        <is>
          <t>سیستم‌های نهفته / رباتیک / خودران</t>
        </is>
      </c>
      <c r="H77" s="77" t="inlineStr">
        <is>
          <t>۲ سال</t>
        </is>
      </c>
      <c r="I77" s="77" t="inlineStr">
        <is>
          <t>$25,500 (2027/28 رسمی؛ 2026/27: $24,700)</t>
        </is>
      </c>
      <c r="J77" s="77" t="inlineStr">
        <is>
          <t>$51,100</t>
        </is>
      </c>
      <c r="K77" s="74" t="inlineStr">
        <is>
          <t>$81–89k</t>
        </is>
      </c>
      <c r="L77" s="77" t="inlineStr">
        <is>
          <t>کارشناسی CS/EE؛ گزینش</t>
        </is>
      </c>
      <c r="M77" s="77" t="inlineStr">
        <is>
          <t>6.5</t>
        </is>
      </c>
      <c r="N77" s="77" t="inlineStr">
        <is>
          <t>152</t>
        </is>
      </c>
      <c r="O77" s="79" t="inlineStr">
        <is>
          <t>Reach</t>
        </is>
      </c>
      <c r="P77" s="77" t="inlineStr">
        <is>
          <t>4/5 — در آلمان و سوئد قوی (خودرو، Bosch، ABB، Ericsson)؛ ولی کارفرمایان صنعتی خارج از شهرهای بزرگ اغلب آلمانی/سوئدی می‌خواهند</t>
        </is>
      </c>
      <c r="Q77" s="77" t="inlineStr">
        <is>
          <t>ASML/NXP بزرگ‌ترین کارفرمایان Embedded اروپا</t>
        </is>
      </c>
      <c r="R77" s="78" t="inlineStr">
        <is>
          <t>https://www.tue.nl/en/education/graduate-school/master-embedded-systems</t>
        </is>
      </c>
    </row>
    <row r="78">
      <c r="A78" s="40" t="n">
        <v>77</v>
      </c>
      <c r="B78" s="94" t="inlineStr">
        <is>
          <t>هلند</t>
        </is>
      </c>
      <c r="C78" s="37" t="inlineStr">
        <is>
          <t>TU Delft</t>
        </is>
      </c>
      <c r="D78" s="37" t="inlineStr">
        <is>
          <t>Delft (دلفت) — کنار Den Haag/Rotterdam</t>
        </is>
      </c>
      <c r="E78" s="37" t="inlineStr">
        <is>
          <t>گران — $1,370–1,710</t>
        </is>
      </c>
      <c r="F78" s="37" t="inlineStr">
        <is>
          <t>MSc Computer Science / MSc Computer &amp; Embedded Systems Engineering</t>
        </is>
      </c>
      <c r="G78" s="37" t="inlineStr">
        <is>
          <t>مهندسی نرم‌افزار / علوم کامپیوتر</t>
        </is>
      </c>
      <c r="H78" s="37" t="inlineStr">
        <is>
          <t>۲ سال</t>
        </is>
      </c>
      <c r="I78" s="37" t="inlineStr">
        <is>
          <t>$25,400 (2025/26) → ≈ $26,200</t>
        </is>
      </c>
      <c r="J78" s="37" t="inlineStr">
        <is>
          <t>$52,400</t>
        </is>
      </c>
      <c r="K78" s="74" t="inlineStr">
        <is>
          <t>$85–93k</t>
        </is>
      </c>
      <c r="L78" s="37" t="inlineStr">
        <is>
          <t>معدل ≥ ۷۵٪ / ۲۰٪ برتر</t>
        </is>
      </c>
      <c r="M78" s="37" t="inlineStr">
        <is>
          <t>7.0</t>
        </is>
      </c>
      <c r="N78" s="37" t="inlineStr">
        <is>
          <t>48</t>
        </is>
      </c>
      <c r="O78" s="79" t="inlineStr">
        <is>
          <t>Reach</t>
        </is>
      </c>
      <c r="P78" s="37" t="inlineStr">
        <is>
          <t>4/5 — بیشترین حجم آگهی در هر ۶ کشور؛ ورود جونیور از ۲۰۲۳ سخت‌تر شده — سابقهٔ کار شما مزیت است</t>
        </is>
      </c>
      <c r="Q78" s="37" t="inlineStr">
        <is>
          <t>معتبرترین، ولی برای معدل ۱۵.۷۷ دور از دسترس</t>
        </is>
      </c>
      <c r="R78" s="75" t="inlineStr">
        <is>
          <t>https://www.tudelft.nl/onderwijs/opleidingen/masters/cs/msc-computer-science</t>
        </is>
      </c>
    </row>
    <row r="79">
      <c r="A79" s="76" t="n">
        <v>78</v>
      </c>
      <c r="B79" s="94" t="inlineStr">
        <is>
          <t>هلند</t>
        </is>
      </c>
      <c r="C79" s="77" t="inlineStr">
        <is>
          <t>Breda University of Applied Sciences (BUas)</t>
        </is>
      </c>
      <c r="D79" s="77" t="inlineStr">
        <is>
          <t>Breda (بردا) — جنوب هلند</t>
        </is>
      </c>
      <c r="E79" s="77" t="inlineStr">
        <is>
          <t>متوسط — $1,140–1,480</t>
        </is>
      </c>
      <c r="F79" s="77" t="inlineStr">
        <is>
          <t>Master Game Technology (۱ ساله)</t>
        </is>
      </c>
      <c r="G79" s="77" t="inlineStr">
        <is>
          <t>توسعه بازی</t>
        </is>
      </c>
      <c r="H79" s="77" t="inlineStr">
        <is>
          <t>۱ سال</t>
        </is>
      </c>
      <c r="I79" s="77" t="inlineStr">
        <is>
          <t>≈ $17,300</t>
        </is>
      </c>
      <c r="J79" s="77" t="inlineStr">
        <is>
          <t>$17,300</t>
        </is>
      </c>
      <c r="K79" s="74" t="inlineStr">
        <is>
          <t>$31–35k</t>
        </is>
      </c>
      <c r="L79" s="77" t="inlineStr">
        <is>
          <t>کارشناسی IT/برنامه‌نویسی/بازی + پیشنهاد پروژه</t>
        </is>
      </c>
      <c r="M79" s="77" t="inlineStr">
        <is>
          <t>6.0</t>
        </is>
      </c>
      <c r="N79" s="77" t="inlineStr">
        <is>
          <t>— (UAS)</t>
        </is>
      </c>
      <c r="O79" s="45" t="inlineStr">
        <is>
          <t>Safe/Target</t>
        </is>
      </c>
      <c r="P79" s="77" t="inlineStr">
        <is>
          <t>2/5 — ≈۴۵ هزار اخراج ۲۰۲۲–۲۰۲۵؛ ۲۶٪ توسعه‌دهندگان اروپایی حداقل یک‌بار اخراج شده‌اند؛ حقوق برنامه‌نویس Unity تا ۵۰٪ افت — سابقهٔ Unity شما مزیت ورود است، نه تضمین</t>
        </is>
      </c>
      <c r="Q79" s="77" t="inlineStr">
        <is>
          <t>برنامهٔ بازی BUas در اروپا شناخته‌شده است؛ مدرک UAS (نه پژوهشی)</t>
        </is>
      </c>
      <c r="R79" s="78" t="inlineStr">
        <is>
          <t>https://www.topuniversities.com/universities/breda-university-applied-sciences/postgrad/master-game-technology</t>
        </is>
      </c>
    </row>
    <row r="80">
      <c r="A80" s="90" t="n">
        <v>79</v>
      </c>
      <c r="B80" s="95" t="inlineStr">
        <is>
          <t>سوئد</t>
        </is>
      </c>
      <c r="C80" s="92" t="inlineStr">
        <is>
          <t>Linköping University (LiU)</t>
        </is>
      </c>
      <c r="D80" s="92" t="inlineStr">
        <is>
          <t>Linköping (لینشوپینگ) — Saab، Ericsson</t>
        </is>
      </c>
      <c r="E80" s="92" t="inlineStr">
        <is>
          <t>متوسط — $1,060–1,260</t>
        </is>
      </c>
      <c r="F80" s="92" t="inlineStr">
        <is>
          <t>MSc Computer Science</t>
        </is>
      </c>
      <c r="G80" s="92" t="inlineStr">
        <is>
          <t>مهندسی نرم‌افزار / علوم کامپیوتر</t>
        </is>
      </c>
      <c r="H80" s="92" t="inlineStr">
        <is>
          <t>۲ سال</t>
        </is>
      </c>
      <c r="I80" s="92" t="inlineStr">
        <is>
          <t>$16,800</t>
        </is>
      </c>
      <c r="J80" s="92" t="inlineStr">
        <is>
          <t>$33,500</t>
        </is>
      </c>
      <c r="K80" s="83" t="inlineStr">
        <is>
          <t>$59–64k</t>
        </is>
      </c>
      <c r="L80" s="92" t="inlineStr">
        <is>
          <t>گزینش بر اساس گروه معدل</t>
        </is>
      </c>
      <c r="M80" s="92" t="inlineStr">
        <is>
          <t>6.5</t>
        </is>
      </c>
      <c r="N80" s="92" t="inlineStr">
        <is>
          <t>308</t>
        </is>
      </c>
      <c r="O80" s="84" t="inlineStr">
        <is>
          <t>Target</t>
        </is>
      </c>
      <c r="P80" s="92" t="inlineStr">
        <is>
          <t>4/5 — بیشترین حجم آگهی در هر ۶ کشور؛ ورود جونیور از ۲۰۲۳ سخت‌تر شده — سابقهٔ کار شما مزیت است</t>
        </is>
      </c>
      <c r="Q80" s="92" t="inlineStr">
        <is>
          <t>گزینهٔ Target جدول اصلی</t>
        </is>
      </c>
      <c r="R80" s="93" t="inlineStr">
        <is>
          <t>https://liu.se/en/education/program/6mics</t>
        </is>
      </c>
    </row>
    <row r="81">
      <c r="A81" s="76" t="n">
        <v>80</v>
      </c>
      <c r="B81" s="96" t="inlineStr">
        <is>
          <t>سوئد</t>
        </is>
      </c>
      <c r="C81" s="77" t="inlineStr">
        <is>
          <t>Linköping University (LiU)</t>
        </is>
      </c>
      <c r="D81" s="77" t="inlineStr">
        <is>
          <t>Linköping (لینشوپینگ) — Saab، Ericsson</t>
        </is>
      </c>
      <c r="E81" s="77" t="inlineStr">
        <is>
          <t>متوسط — $1,060–1,260</t>
        </is>
      </c>
      <c r="F81" s="77" t="inlineStr">
        <is>
          <t>MSc Statistics and Machine Learning</t>
        </is>
      </c>
      <c r="G81" s="77" t="inlineStr">
        <is>
          <t>هوش مصنوعی / یادگیری ماشین</t>
        </is>
      </c>
      <c r="H81" s="77" t="inlineStr">
        <is>
          <t>۲ سال</t>
        </is>
      </c>
      <c r="I81" s="77" t="inlineStr">
        <is>
          <t>≈ $16,800 (همان باند)</t>
        </is>
      </c>
      <c r="J81" s="77" t="inlineStr">
        <is>
          <t>$33,500</t>
        </is>
      </c>
      <c r="K81" s="74" t="inlineStr">
        <is>
          <t>$59–64k</t>
        </is>
      </c>
      <c r="L81" s="77" t="inlineStr">
        <is>
          <t>کارشناسی با ≥ ۳۰ واحد ریاضی/آمار + برنامه‌نویسی</t>
        </is>
      </c>
      <c r="M81" s="77" t="inlineStr">
        <is>
          <t>6.5</t>
        </is>
      </c>
      <c r="N81" s="77" t="inlineStr">
        <is>
          <t>308</t>
        </is>
      </c>
      <c r="O81" s="30" t="inlineStr">
        <is>
          <t>Target</t>
        </is>
      </c>
      <c r="P81" s="77" t="inlineStr">
        <is>
          <t>5/5 — داغ‌ترین بازار؛ «AI Engineer» سریع‌ترین‌رشد (LinkedIn 2026)؛ ولی برنامه‌های ریاضی‌محور (Tübingen، UvA، KTH) بسیار رقابتی‌اند</t>
        </is>
      </c>
      <c r="Q81" s="77" t="inlineStr"/>
      <c r="R81" s="78" t="inlineStr">
        <is>
          <t>https://liu.se/en/education/program/f7msl</t>
        </is>
      </c>
    </row>
    <row r="82">
      <c r="A82" s="40" t="n">
        <v>81</v>
      </c>
      <c r="B82" s="96" t="inlineStr">
        <is>
          <t>سوئد</t>
        </is>
      </c>
      <c r="C82" s="37" t="inlineStr">
        <is>
          <t>Halmstad University</t>
        </is>
      </c>
      <c r="D82" s="37" t="inlineStr">
        <is>
          <t>Halmstad (هالمستاد) — غرب سوئد</t>
        </is>
      </c>
      <c r="E82" s="37" t="inlineStr">
        <is>
          <t>متوسط — $1,010–1,210</t>
        </is>
      </c>
      <c r="F82" s="37" t="inlineStr">
        <is>
          <t>MSc Embedded and Intelligent Systems (120 cr)</t>
        </is>
      </c>
      <c r="G82" s="37" t="inlineStr">
        <is>
          <t>سیستم‌های نهفته / رباتیک / خودران</t>
        </is>
      </c>
      <c r="H82" s="37" t="inlineStr">
        <is>
          <t>۲ سال</t>
        </is>
      </c>
      <c r="I82" s="37" t="inlineStr">
        <is>
          <t>≈ $15,300</t>
        </is>
      </c>
      <c r="J82" s="37" t="inlineStr">
        <is>
          <t>$30,500</t>
        </is>
      </c>
      <c r="K82" s="74" t="inlineStr">
        <is>
          <t>$55–60k</t>
        </is>
      </c>
      <c r="L82" s="37" t="inlineStr">
        <is>
          <t>کارشناسی CS/EE</t>
        </is>
      </c>
      <c r="M82" s="37" t="inlineStr">
        <is>
          <t>6.5</t>
        </is>
      </c>
      <c r="N82" s="37" t="inlineStr">
        <is>
          <t>—</t>
        </is>
      </c>
      <c r="O82" s="49" t="inlineStr">
        <is>
          <t>Safe</t>
        </is>
      </c>
      <c r="P82" s="37" t="inlineStr">
        <is>
          <t>4/5 — در آلمان و سوئد قوی (خودرو، Bosch، ABB، Ericsson)؛ ولی کارفرمایان صنعتی خارج از شهرهای بزرگ اغلب آلمانی/سوئدی می‌خواهند</t>
        </is>
      </c>
      <c r="Q82" s="37" t="inlineStr">
        <is>
          <t>Volvo/HMS در منطقه؛ بدون رتبهٔ QS</t>
        </is>
      </c>
      <c r="R82" s="75" t="inlineStr">
        <is>
          <t>https://www.hh.se/english/education/programmes.html</t>
        </is>
      </c>
    </row>
    <row r="83">
      <c r="A83" s="76" t="n">
        <v>82</v>
      </c>
      <c r="B83" s="96" t="inlineStr">
        <is>
          <t>سوئد</t>
        </is>
      </c>
      <c r="C83" s="77" t="inlineStr">
        <is>
          <t>Blekinge Institute of Technology (BTH)</t>
        </is>
      </c>
      <c r="D83" s="77" t="inlineStr">
        <is>
          <t>Karlskrona (کارلسکرونا) — Ericsson، Telenor</t>
        </is>
      </c>
      <c r="E83" s="77" t="inlineStr">
        <is>
          <t>ارزان — $960–1,160</t>
        </is>
      </c>
      <c r="F83" s="77" t="inlineStr">
        <is>
          <t>MSc Software Engineering (120 cr)</t>
        </is>
      </c>
      <c r="G83" s="77" t="inlineStr">
        <is>
          <t>مهندسی نرم‌افزار / علوم کامپیوتر</t>
        </is>
      </c>
      <c r="H83" s="77" t="inlineStr">
        <is>
          <t>۲ سال</t>
        </is>
      </c>
      <c r="I83" s="77" t="inlineStr">
        <is>
          <t>$14,100</t>
        </is>
      </c>
      <c r="J83" s="77" t="inlineStr">
        <is>
          <t>$28,300</t>
        </is>
      </c>
      <c r="K83" s="74" t="inlineStr">
        <is>
          <t>$51–56k</t>
        </is>
      </c>
      <c r="L83" s="77" t="inlineStr">
        <is>
          <t>≥ ۹۰ واحد CS/SE</t>
        </is>
      </c>
      <c r="M83" s="77" t="inlineStr">
        <is>
          <t>6.5</t>
        </is>
      </c>
      <c r="N83" s="77" t="inlineStr">
        <is>
          <t>—</t>
        </is>
      </c>
      <c r="O83" s="45" t="inlineStr">
        <is>
          <t>Safe/Target</t>
        </is>
      </c>
      <c r="P83" s="77" t="inlineStr">
        <is>
          <t>4/5 — بیشترین حجم آگهی در هر ۶ کشور؛ ورود جونیور از ۲۰۲۳ سخت‌تر شده — سابقهٔ کار شما مزیت است</t>
        </is>
      </c>
      <c r="Q83" s="77" t="inlineStr">
        <is>
          <t>Ericsson و Telenor در Karlskrona؛ ⚠️ نسخهٔ ۶۰ واحدی از راه دور است</t>
        </is>
      </c>
      <c r="R83" s="78" t="inlineStr">
        <is>
          <t>https://www.bth.se/eng/programmes/</t>
        </is>
      </c>
    </row>
    <row r="84">
      <c r="A84" s="40" t="n">
        <v>83</v>
      </c>
      <c r="B84" s="96" t="inlineStr">
        <is>
          <t>سوئد</t>
        </is>
      </c>
      <c r="C84" s="37" t="inlineStr">
        <is>
          <t>KTH Royal Institute of Technology</t>
        </is>
      </c>
      <c r="D84" s="37" t="inlineStr">
        <is>
          <t>Stockholm (استکهلم)</t>
        </is>
      </c>
      <c r="E84" s="37" t="inlineStr">
        <is>
          <t>گران — $1,260–1,520</t>
        </is>
      </c>
      <c r="F84" s="37" t="inlineStr">
        <is>
          <t>MSc Machine Learning</t>
        </is>
      </c>
      <c r="G84" s="37" t="inlineStr">
        <is>
          <t>هوش مصنوعی / یادگیری ماشین</t>
        </is>
      </c>
      <c r="H84" s="37" t="inlineStr">
        <is>
          <t>۲ سال</t>
        </is>
      </c>
      <c r="I84" s="37" t="inlineStr">
        <is>
          <t>≈ $18,200–19,200 (کل دوره ≈ $36–38k)</t>
        </is>
      </c>
      <c r="J84" s="37" t="inlineStr">
        <is>
          <t>$36,400–38,400</t>
        </is>
      </c>
      <c r="K84" s="74" t="inlineStr">
        <is>
          <t>$67–75k</t>
        </is>
      </c>
      <c r="L84" s="37" t="inlineStr">
        <is>
          <t>کارشناسی CS/ریاضی قوی؛ بسیار رقابتی</t>
        </is>
      </c>
      <c r="M84" s="37" t="inlineStr">
        <is>
          <t>6.5</t>
        </is>
      </c>
      <c r="N84" s="37" t="inlineStr">
        <is>
          <t>82</t>
        </is>
      </c>
      <c r="O84" s="79" t="inlineStr">
        <is>
          <t>Reach</t>
        </is>
      </c>
      <c r="P84" s="37" t="inlineStr">
        <is>
          <t>5/5 — داغ‌ترین بازار؛ «AI Engineer» سریع‌ترین‌رشد (LinkedIn 2026)؛ ولی برنامه‌های ریاضی‌محور (Tübingen، UvA، KTH) بسیار رقابتی‌اند</t>
        </is>
      </c>
      <c r="Q84" s="37" t="inlineStr">
        <is>
          <t>Stockholm گران (اتاق $0.7–1k)؛ رقم دقیق روی kth.se فقط در سامانهٔ اپلای نمایش داده می‌شود</t>
        </is>
      </c>
      <c r="R84" s="75" t="inlineStr">
        <is>
          <t>https://www.kth.se/en/studies/master/machine-learning</t>
        </is>
      </c>
    </row>
    <row r="85">
      <c r="A85" s="76" t="n">
        <v>84</v>
      </c>
      <c r="B85" s="96" t="inlineStr">
        <is>
          <t>سوئد</t>
        </is>
      </c>
      <c r="C85" s="77" t="inlineStr">
        <is>
          <t>KTH Royal Institute of Technology</t>
        </is>
      </c>
      <c r="D85" s="77" t="inlineStr">
        <is>
          <t>Stockholm (استکهلم)</t>
        </is>
      </c>
      <c r="E85" s="77" t="inlineStr">
        <is>
          <t>گران — $1,260–1,520</t>
        </is>
      </c>
      <c r="F85" s="77" t="inlineStr">
        <is>
          <t>MSc Cybersecurity</t>
        </is>
      </c>
      <c r="G85" s="77" t="inlineStr">
        <is>
          <t>امنیت سایبری</t>
        </is>
      </c>
      <c r="H85" s="77" t="inlineStr">
        <is>
          <t>۲ سال</t>
        </is>
      </c>
      <c r="I85" s="77" t="inlineStr">
        <is>
          <t>≈ $18,200–19,200</t>
        </is>
      </c>
      <c r="J85" s="77" t="inlineStr">
        <is>
          <t>$36,400–38,400</t>
        </is>
      </c>
      <c r="K85" s="74" t="inlineStr">
        <is>
          <t>$67–75k</t>
        </is>
      </c>
      <c r="L85" s="77" t="inlineStr">
        <is>
          <t>کارشناسی CS</t>
        </is>
      </c>
      <c r="M85" s="77" t="inlineStr">
        <is>
          <t>6.5</t>
        </is>
      </c>
      <c r="N85" s="77" t="inlineStr">
        <is>
          <t>82</t>
        </is>
      </c>
      <c r="O85" s="79" t="inlineStr">
        <is>
          <t>Reach</t>
        </is>
      </c>
      <c r="P85" s="77" t="inlineStr">
        <is>
          <t>4/5 — کمبود ساختاری (Bitkom: جزو ۳ کمبود اصلی آلمان)؛ اما ۳۱٪ تیم‌ها هیچ نیروی جونیور ندارند → کارآموزی/گواهی لازم است</t>
        </is>
      </c>
      <c r="Q85" s="77" t="inlineStr"/>
      <c r="R85" s="78" t="inlineStr">
        <is>
          <t>https://www.kth.se/en/studies/master/cybersecurity</t>
        </is>
      </c>
    </row>
    <row r="86">
      <c r="A86" s="40" t="n">
        <v>85</v>
      </c>
      <c r="B86" s="96" t="inlineStr">
        <is>
          <t>سوئد</t>
        </is>
      </c>
      <c r="C86" s="37" t="inlineStr">
        <is>
          <t>KTH Royal Institute of Technology</t>
        </is>
      </c>
      <c r="D86" s="37" t="inlineStr">
        <is>
          <t>Stockholm – Kista (استکهلم، شیستا؛ قطب ICT)</t>
        </is>
      </c>
      <c r="E86" s="37" t="inlineStr">
        <is>
          <t>گران — $1,260–1,520</t>
        </is>
      </c>
      <c r="F86" s="37" t="inlineStr">
        <is>
          <t>MSc Software Engineering of Distributed Systems</t>
        </is>
      </c>
      <c r="G86" s="37" t="inlineStr">
        <is>
          <t>ابری / سیستم‌های توزیع‌شده / DevOps</t>
        </is>
      </c>
      <c r="H86" s="37" t="inlineStr">
        <is>
          <t>۲ سال</t>
        </is>
      </c>
      <c r="I86" s="37" t="inlineStr">
        <is>
          <t>$18,200–19,200</t>
        </is>
      </c>
      <c r="J86" s="37" t="inlineStr">
        <is>
          <t>$36,400–38,400</t>
        </is>
      </c>
      <c r="K86" s="74" t="inlineStr">
        <is>
          <t>$67–75k</t>
        </is>
      </c>
      <c r="L86" s="37" t="inlineStr">
        <is>
          <t>کارشناسی CS</t>
        </is>
      </c>
      <c r="M86" s="37" t="inlineStr">
        <is>
          <t>6.5</t>
        </is>
      </c>
      <c r="N86" s="37" t="inlineStr">
        <is>
          <t>82</t>
        </is>
      </c>
      <c r="O86" s="42" t="inlineStr">
        <is>
          <t>Target/Reach</t>
        </is>
      </c>
      <c r="P86" s="37" t="inlineStr">
        <is>
          <t>4/5 — تقاضای پایدار و کمتر مدرک‌محور؛ گواهی AWS/Azure کنار مدرک وزن زیادی دارد</t>
        </is>
      </c>
      <c r="Q86" s="37" t="inlineStr">
        <is>
          <t>Kista = قطب ICT سوئد (Ericsson)</t>
        </is>
      </c>
      <c r="R86" s="75" t="inlineStr">
        <is>
          <t>https://www.kth.se/en/studies/master/software-engineering-of-distributed-systems</t>
        </is>
      </c>
    </row>
    <row r="87">
      <c r="A87" s="76" t="n">
        <v>86</v>
      </c>
      <c r="B87" s="96" t="inlineStr">
        <is>
          <t>سوئد</t>
        </is>
      </c>
      <c r="C87" s="77" t="inlineStr">
        <is>
          <t>Chalmers University of Technology</t>
        </is>
      </c>
      <c r="D87" s="77" t="inlineStr">
        <is>
          <t>Gothenburg / Göteborg (گوتنبرگ) — Volvo، Ericsson</t>
        </is>
      </c>
      <c r="E87" s="77" t="inlineStr">
        <is>
          <t>متوسط تا گران — $1,160–1,360</t>
        </is>
      </c>
      <c r="F87" s="77" t="inlineStr">
        <is>
          <t>MSc Data Science and AI</t>
        </is>
      </c>
      <c r="G87" s="77" t="inlineStr">
        <is>
          <t>علم داده / تحلیل داده</t>
        </is>
      </c>
      <c r="H87" s="77" t="inlineStr">
        <is>
          <t>۲ سال</t>
        </is>
      </c>
      <c r="I87" s="77" t="inlineStr">
        <is>
          <t>≈ $17,700 (2026/27؛ 2025/26: $16,200)</t>
        </is>
      </c>
      <c r="J87" s="77" t="inlineStr">
        <is>
          <t>$35,400</t>
        </is>
      </c>
      <c r="K87" s="74" t="inlineStr">
        <is>
          <t>$63–68k</t>
        </is>
      </c>
      <c r="L87" s="77" t="inlineStr">
        <is>
          <t>کارشناسی CS/ریاضی</t>
        </is>
      </c>
      <c r="M87" s="77" t="inlineStr">
        <is>
          <t>6.5</t>
        </is>
      </c>
      <c r="N87" s="77" t="inlineStr">
        <is>
          <t>174</t>
        </is>
      </c>
      <c r="O87" s="42" t="inlineStr">
        <is>
          <t>Target/Reach</t>
        </is>
      </c>
      <c r="P87" s="77" t="inlineStr">
        <is>
          <t>3/5 — بازار ارشد/سینیور خوب، ولی سطح جونیور اشباع (ده‌ها هزار فارغ‌التحصیل مشابه)؛ Data Engineer کم‌رقابت‌تر از Data Scientist</t>
        </is>
      </c>
      <c r="Q87" s="77" t="inlineStr">
        <is>
          <t>Volvo، Ericsson، Zenseact؛ مهلت ۱۵ ژانویه؛ ⚠️ طبق صفحهٔ شهریهٔ Chalmers دانشگاه‌های سوئد فعلاً نمی‌توانند از ایران پول دریافت کنند (تحریم بانکی) — پرداخت از کشور ثالث</t>
        </is>
      </c>
      <c r="R87" s="78" t="inlineStr">
        <is>
          <t>https://www.chalmers.se/en/education/find-masters-programme/data-science-and-ai-msc/</t>
        </is>
      </c>
    </row>
    <row r="88">
      <c r="A88" s="40" t="n">
        <v>87</v>
      </c>
      <c r="B88" s="96" t="inlineStr">
        <is>
          <t>سوئد</t>
        </is>
      </c>
      <c r="C88" s="37" t="inlineStr">
        <is>
          <t>Chalmers University of Technology</t>
        </is>
      </c>
      <c r="D88" s="37" t="inlineStr">
        <is>
          <t>Gothenburg / Göteborg (گوتنبرگ) — Volvo، Ericsson</t>
        </is>
      </c>
      <c r="E88" s="37" t="inlineStr">
        <is>
          <t>متوسط تا گران — $1,160–1,360</t>
        </is>
      </c>
      <c r="F88" s="37" t="inlineStr">
        <is>
          <t>MSc Software Engineering and Technology</t>
        </is>
      </c>
      <c r="G88" s="37" t="inlineStr">
        <is>
          <t>مهندسی نرم‌افزار / علوم کامپیوتر</t>
        </is>
      </c>
      <c r="H88" s="37" t="inlineStr">
        <is>
          <t>۲ سال</t>
        </is>
      </c>
      <c r="I88" s="37" t="inlineStr">
        <is>
          <t>≈ $17,700 (2026/27)</t>
        </is>
      </c>
      <c r="J88" s="37" t="inlineStr">
        <is>
          <t>$35,400</t>
        </is>
      </c>
      <c r="K88" s="74" t="inlineStr">
        <is>
          <t>$63–68k</t>
        </is>
      </c>
      <c r="L88" s="37" t="inlineStr">
        <is>
          <t>کارشناسی CS/SE</t>
        </is>
      </c>
      <c r="M88" s="37" t="inlineStr">
        <is>
          <t>6.5</t>
        </is>
      </c>
      <c r="N88" s="37" t="inlineStr">
        <is>
          <t>174</t>
        </is>
      </c>
      <c r="O88" s="30" t="inlineStr">
        <is>
          <t>Target</t>
        </is>
      </c>
      <c r="P88" s="37" t="inlineStr">
        <is>
          <t>4/5 — بیشترین حجم آگهی در هر ۶ کشور؛ ورود جونیور از ۲۰۲۳ سخت‌تر شده — سابقهٔ کار شما مزیت است</t>
        </is>
      </c>
      <c r="Q88" s="37" t="inlineStr"/>
      <c r="R88" s="75" t="inlineStr">
        <is>
          <t>https://www.chalmers.se/en/education/find-masters-programme/software-engineering-and-technology-msc/</t>
        </is>
      </c>
    </row>
    <row r="89">
      <c r="A89" s="76" t="n">
        <v>88</v>
      </c>
      <c r="B89" s="96" t="inlineStr">
        <is>
          <t>سوئد</t>
        </is>
      </c>
      <c r="C89" s="77" t="inlineStr">
        <is>
          <t>Chalmers University of Technology</t>
        </is>
      </c>
      <c r="D89" s="77" t="inlineStr">
        <is>
          <t>Gothenburg / Göteborg (گوتنبرگ) — Volvo، Ericsson</t>
        </is>
      </c>
      <c r="E89" s="77" t="inlineStr">
        <is>
          <t>متوسط تا گران — $1,160–1,360</t>
        </is>
      </c>
      <c r="F89" s="77" t="inlineStr">
        <is>
          <t>MSc Interaction Design and Technologies</t>
        </is>
      </c>
      <c r="G89" s="77" t="inlineStr">
        <is>
          <t>HCI / طراحی تعامل / UX</t>
        </is>
      </c>
      <c r="H89" s="77" t="inlineStr">
        <is>
          <t>۲ سال</t>
        </is>
      </c>
      <c r="I89" s="77" t="inlineStr">
        <is>
          <t>≈ $17,700 (2026/27)</t>
        </is>
      </c>
      <c r="J89" s="77" t="inlineStr">
        <is>
          <t>$35,400</t>
        </is>
      </c>
      <c r="K89" s="74" t="inlineStr">
        <is>
          <t>$63–68k</t>
        </is>
      </c>
      <c r="L89" s="77" t="inlineStr">
        <is>
          <t>کارشناسی CS/Design</t>
        </is>
      </c>
      <c r="M89" s="77" t="inlineStr">
        <is>
          <t>6.5</t>
        </is>
      </c>
      <c r="N89" s="77" t="inlineStr">
        <is>
          <t>174</t>
        </is>
      </c>
      <c r="O89" s="30" t="inlineStr">
        <is>
          <t>Target</t>
        </is>
      </c>
      <c r="P89" s="77" t="inlineStr">
        <is>
          <t>2/5 — آگهی‌های UX/UXR از ۲۰۲۲ حدود ۷۰٪ کم شده و از ۲۰۲۳ ثابت مانده؛ رقابت شدید، حقوق شروع کمتر از توسعه‌دهنده</t>
        </is>
      </c>
      <c r="Q89" s="77" t="inlineStr"/>
      <c r="R89" s="78" t="inlineStr">
        <is>
          <t>https://www.chalmers.se/en/education/find-masters-programme/interaction-design-and-technologies-msc/</t>
        </is>
      </c>
    </row>
    <row r="90">
      <c r="A90" s="40" t="n">
        <v>89</v>
      </c>
      <c r="B90" s="96" t="inlineStr">
        <is>
          <t>سوئد</t>
        </is>
      </c>
      <c r="C90" s="37" t="inlineStr">
        <is>
          <t>University of Gothenburg (مشترک با Chalmers)</t>
        </is>
      </c>
      <c r="D90" s="37" t="inlineStr">
        <is>
          <t>Gothenburg / Göteborg (گوتنبرگ) — Volvo، Ericsson</t>
        </is>
      </c>
      <c r="E90" s="37" t="inlineStr">
        <is>
          <t>متوسط تا گران — $1,160–1,360</t>
        </is>
      </c>
      <c r="F90" s="37" t="inlineStr">
        <is>
          <t>MSc Game Design &amp; Technology</t>
        </is>
      </c>
      <c r="G90" s="37" t="inlineStr">
        <is>
          <t>توسعه بازی</t>
        </is>
      </c>
      <c r="H90" s="37" t="inlineStr">
        <is>
          <t>۲ سال</t>
        </is>
      </c>
      <c r="I90" s="37" t="inlineStr">
        <is>
          <t>$14,800 (ورودی ۲۰۲۷: کل دوره $29,700 رسمی)</t>
        </is>
      </c>
      <c r="J90" s="37" t="inlineStr">
        <is>
          <t>$29,700</t>
        </is>
      </c>
      <c r="K90" s="74" t="inlineStr">
        <is>
          <t>$58–62k</t>
        </is>
      </c>
      <c r="L90" s="37" t="inlineStr">
        <is>
          <t>کارشناسی CS/Design/Media</t>
        </is>
      </c>
      <c r="M90" s="37" t="inlineStr">
        <is>
          <t>6.5</t>
        </is>
      </c>
      <c r="N90" s="37" t="inlineStr">
        <is>
          <t>225</t>
        </is>
      </c>
      <c r="O90" s="30" t="inlineStr">
        <is>
          <t>Target</t>
        </is>
      </c>
      <c r="P90" s="37" t="inlineStr">
        <is>
          <t>2/5 — ≈۴۵ هزار اخراج ۲۰۲۲–۲۰۲۵؛ ۲۶٪ توسعه‌دهندگان اروپایی حداقل یک‌بار اخراج شده‌اند؛ حقوق برنامه‌نویس Unity تا ۵۰٪ افت — سابقهٔ Unity شما مزیت ورود است، نه تضمین</t>
        </is>
      </c>
      <c r="Q90" s="37" t="inlineStr">
        <is>
          <t>Gothenburg: استودیوهای EA DICE/Ghost؛ بازار بازی ضعیف</t>
        </is>
      </c>
      <c r="R90" s="75" t="inlineStr">
        <is>
          <t>https://www.gu.se/en/study-gothenburg/game-design-technology-masters-programme-n2gdt</t>
        </is>
      </c>
    </row>
    <row r="91">
      <c r="A91" s="76" t="n">
        <v>90</v>
      </c>
      <c r="B91" s="96" t="inlineStr">
        <is>
          <t>سوئد</t>
        </is>
      </c>
      <c r="C91" s="77" t="inlineStr">
        <is>
          <t>Uppsala University</t>
        </is>
      </c>
      <c r="D91" s="77" t="inlineStr">
        <is>
          <t>Uppsala (اوپسالا) — ۴۰ دقیقه تا استکهلم</t>
        </is>
      </c>
      <c r="E91" s="77" t="inlineStr">
        <is>
          <t>متوسط تا گران — $1,110–1,310</t>
        </is>
      </c>
      <c r="F91" s="77" t="inlineStr">
        <is>
          <t>MSc Computer Science</t>
        </is>
      </c>
      <c r="G91" s="77" t="inlineStr">
        <is>
          <t>مهندسی نرم‌افزار / علوم کامپیوتر</t>
        </is>
      </c>
      <c r="H91" s="77" t="inlineStr">
        <is>
          <t>۲ سال</t>
        </is>
      </c>
      <c r="I91" s="77" t="inlineStr">
        <is>
          <t>≈ $14,600–15,200</t>
        </is>
      </c>
      <c r="J91" s="77" t="inlineStr">
        <is>
          <t>$29,300–30,300</t>
        </is>
      </c>
      <c r="K91" s="74" t="inlineStr">
        <is>
          <t>$56–62k</t>
        </is>
      </c>
      <c r="L91" s="77" t="inlineStr">
        <is>
          <t>کارشناسی CS</t>
        </is>
      </c>
      <c r="M91" s="77" t="inlineStr">
        <is>
          <t>6.5</t>
        </is>
      </c>
      <c r="N91" s="77" t="inlineStr">
        <is>
          <t>87</t>
        </is>
      </c>
      <c r="O91" s="42" t="inlineStr">
        <is>
          <t>Target/Reach</t>
        </is>
      </c>
      <c r="P91" s="77" t="inlineStr">
        <is>
          <t>4/5 — بیشترین حجم آگهی در هر ۶ کشور؛ ورود جونیور از ۲۰۲۳ سخت‌تر شده — سابقهٔ کار شما مزیت است</t>
        </is>
      </c>
      <c r="Q91" s="77" t="inlineStr">
        <is>
          <t>رتبهٔ بالا با شهریهٔ پایین‌تر از KTH</t>
        </is>
      </c>
      <c r="R91" s="78" t="inlineStr">
        <is>
          <t>https://www.uu.se/en/study/programme/masters-programme-in-computer-science</t>
        </is>
      </c>
    </row>
    <row r="92">
      <c r="A92" s="40" t="n">
        <v>91</v>
      </c>
      <c r="B92" s="96" t="inlineStr">
        <is>
          <t>سوئد</t>
        </is>
      </c>
      <c r="C92" s="37" t="inlineStr">
        <is>
          <t>Umeå University</t>
        </is>
      </c>
      <c r="D92" s="37" t="inlineStr">
        <is>
          <t>Umeå (اومئو) — شمال سوئد</t>
        </is>
      </c>
      <c r="E92" s="37" t="inlineStr">
        <is>
          <t>ارزان تا متوسط — $1,010–1,210</t>
        </is>
      </c>
      <c r="F92" s="37" t="inlineStr">
        <is>
          <t>MSc Artificial Intelligence</t>
        </is>
      </c>
      <c r="G92" s="37" t="inlineStr">
        <is>
          <t>هوش مصنوعی / یادگیری ماشین</t>
        </is>
      </c>
      <c r="H92" s="37" t="inlineStr">
        <is>
          <t>۲ سال</t>
        </is>
      </c>
      <c r="I92" s="37" t="inlineStr">
        <is>
          <t>$15,400</t>
        </is>
      </c>
      <c r="J92" s="37" t="inlineStr">
        <is>
          <t>$30,800</t>
        </is>
      </c>
      <c r="K92" s="74" t="inlineStr">
        <is>
          <t>$55–60k</t>
        </is>
      </c>
      <c r="L92" s="37" t="inlineStr">
        <is>
          <t>کارشناسی CS/ریاضی</t>
        </is>
      </c>
      <c r="M92" s="37" t="inlineStr">
        <is>
          <t>6.5</t>
        </is>
      </c>
      <c r="N92" s="37" t="inlineStr">
        <is>
          <t>438</t>
        </is>
      </c>
      <c r="O92" s="30" t="inlineStr">
        <is>
          <t>Target</t>
        </is>
      </c>
      <c r="P92" s="37" t="inlineStr">
        <is>
          <t>5/5 — داغ‌ترین بازار؛ «AI Engineer» سریع‌ترین‌رشد (LinkedIn 2026)؛ ولی برنامه‌های ریاضی‌محور (Tübingen، UvA، KTH) بسیار رقابتی‌اند</t>
        </is>
      </c>
      <c r="Q92" s="37" t="inlineStr">
        <is>
          <t>شمال سوئد، شهر دانشجویی ارزان؛ کل دوره $30,800</t>
        </is>
      </c>
      <c r="R92" s="75" t="inlineStr">
        <is>
          <t>https://www.umu.se/en/education/master/masters-programme-in-artificial-intelligence/</t>
        </is>
      </c>
    </row>
    <row r="93">
      <c r="A93" s="76" t="n">
        <v>92</v>
      </c>
      <c r="B93" s="96" t="inlineStr">
        <is>
          <t>سوئد</t>
        </is>
      </c>
      <c r="C93" s="77" t="inlineStr">
        <is>
          <t>University of Skövde</t>
        </is>
      </c>
      <c r="D93" s="77" t="inlineStr">
        <is>
          <t>Skövde (شوده) — Sweden Game Arena</t>
        </is>
      </c>
      <c r="E93" s="77" t="inlineStr">
        <is>
          <t>ارزان — $960–1,160</t>
        </is>
      </c>
      <c r="F93" s="77" t="inlineStr">
        <is>
          <t>MSc Data Science (120 cr)</t>
        </is>
      </c>
      <c r="G93" s="77" t="inlineStr">
        <is>
          <t>علم داده / تحلیل داده</t>
        </is>
      </c>
      <c r="H93" s="77" t="inlineStr">
        <is>
          <t>۲ سال</t>
        </is>
      </c>
      <c r="I93" s="77" t="inlineStr">
        <is>
          <t>$13,600</t>
        </is>
      </c>
      <c r="J93" s="77" t="inlineStr">
        <is>
          <t>$27,300</t>
        </is>
      </c>
      <c r="K93" s="74" t="inlineStr">
        <is>
          <t>$50–55k</t>
        </is>
      </c>
      <c r="L93" s="77" t="inlineStr">
        <is>
          <t>کارشناسی CS/مرتبط</t>
        </is>
      </c>
      <c r="M93" s="77" t="inlineStr">
        <is>
          <t>6.5</t>
        </is>
      </c>
      <c r="N93" s="77" t="inlineStr">
        <is>
          <t>—</t>
        </is>
      </c>
      <c r="O93" s="49" t="inlineStr">
        <is>
          <t>Safe</t>
        </is>
      </c>
      <c r="P93" s="77" t="inlineStr">
        <is>
          <t>3/5 — بازار ارشد/سینیور خوب، ولی سطح جونیور اشباع (ده‌ها هزار فارغ‌التحصیل مشابه)؛ Data Engineer کم‌رقابت‌تر از Data Scientist</t>
        </is>
      </c>
      <c r="Q93" s="77" t="inlineStr">
        <is>
          <t>ارزان؛ Skövde قطب بازی سوئد (Sweden Game Arena)</t>
        </is>
      </c>
      <c r="R93" s="78" t="inlineStr">
        <is>
          <t>https://www.his.se/en/education/</t>
        </is>
      </c>
    </row>
    <row r="94">
      <c r="A94" s="40" t="n">
        <v>93</v>
      </c>
      <c r="B94" s="96" t="inlineStr">
        <is>
          <t>سوئد</t>
        </is>
      </c>
      <c r="C94" s="37" t="inlineStr">
        <is>
          <t>Mälardalen University (MDU)</t>
        </is>
      </c>
      <c r="D94" s="37" t="inlineStr">
        <is>
          <t>Västerås (وسترئوس) — ABB، Westinghouse؛ ۱ ساعت تا استکهلم</t>
        </is>
      </c>
      <c r="E94" s="37" t="inlineStr">
        <is>
          <t>متوسط — $1,010–1,210</t>
        </is>
      </c>
      <c r="F94" s="37" t="inlineStr">
        <is>
          <t>MSc Intelligent Embedded Systems</t>
        </is>
      </c>
      <c r="G94" s="37" t="inlineStr">
        <is>
          <t>سیستم‌های نهفته / رباتیک / خودران</t>
        </is>
      </c>
      <c r="H94" s="37" t="inlineStr">
        <is>
          <t>۲ سال</t>
        </is>
      </c>
      <c r="I94" s="37" t="inlineStr">
        <is>
          <t>≈ $13,600</t>
        </is>
      </c>
      <c r="J94" s="37" t="inlineStr">
        <is>
          <t>$27,300</t>
        </is>
      </c>
      <c r="K94" s="74" t="inlineStr">
        <is>
          <t>$52–56k</t>
        </is>
      </c>
      <c r="L94" s="37" t="inlineStr">
        <is>
          <t>کارشناسی CS/EE</t>
        </is>
      </c>
      <c r="M94" s="37" t="inlineStr">
        <is>
          <t>6.5</t>
        </is>
      </c>
      <c r="N94" s="37" t="inlineStr">
        <is>
          <t>—</t>
        </is>
      </c>
      <c r="O94" s="49" t="inlineStr">
        <is>
          <t>Safe</t>
        </is>
      </c>
      <c r="P94" s="37" t="inlineStr">
        <is>
          <t>4/5 — در آلمان و سوئد قوی (خودرو، Bosch، ABB، Ericsson)؛ ولی کارفرمایان صنعتی خارج از شهرهای بزرگ اغلب آلمانی/سوئدی می‌خواهند</t>
        </is>
      </c>
      <c r="Q94" s="37" t="inlineStr">
        <is>
          <t>ABB و Westinghouse در Västerås؛ رقم 2024/25</t>
        </is>
      </c>
      <c r="R94" s="75" t="inlineStr">
        <is>
          <t>https://www.mdu.se/en/malardalen-university/education</t>
        </is>
      </c>
    </row>
    <row r="95">
      <c r="A95" s="76" t="n">
        <v>94</v>
      </c>
      <c r="B95" s="96" t="inlineStr">
        <is>
          <t>سوئد</t>
        </is>
      </c>
      <c r="C95" s="77" t="inlineStr">
        <is>
          <t>Mälardalen University (MDU)</t>
        </is>
      </c>
      <c r="D95" s="77" t="inlineStr">
        <is>
          <t>Västerås (وسترئوس) — ABB، Westinghouse؛ ۱ ساعت تا استکهلم</t>
        </is>
      </c>
      <c r="E95" s="77" t="inlineStr">
        <is>
          <t>متوسط — $1,010–1,210</t>
        </is>
      </c>
      <c r="F95" s="77" t="inlineStr">
        <is>
          <t>MSc Software Engineering</t>
        </is>
      </c>
      <c r="G95" s="77" t="inlineStr">
        <is>
          <t>مهندسی نرم‌افزار / علوم کامپیوتر</t>
        </is>
      </c>
      <c r="H95" s="77" t="inlineStr">
        <is>
          <t>۲ سال</t>
        </is>
      </c>
      <c r="I95" s="77" t="inlineStr">
        <is>
          <t>≈ $13,600</t>
        </is>
      </c>
      <c r="J95" s="77" t="inlineStr">
        <is>
          <t>$27,300</t>
        </is>
      </c>
      <c r="K95" s="74" t="inlineStr">
        <is>
          <t>$52–56k</t>
        </is>
      </c>
      <c r="L95" s="77" t="inlineStr">
        <is>
          <t>کارشناسی CS/SE</t>
        </is>
      </c>
      <c r="M95" s="77" t="inlineStr">
        <is>
          <t>6.5</t>
        </is>
      </c>
      <c r="N95" s="77" t="inlineStr">
        <is>
          <t>—</t>
        </is>
      </c>
      <c r="O95" s="49" t="inlineStr">
        <is>
          <t>Safe</t>
        </is>
      </c>
      <c r="P95" s="77" t="inlineStr">
        <is>
          <t>4/5 — بیشترین حجم آگهی در هر ۶ کشور؛ ورود جونیور از ۲۰۲۳ سخت‌تر شده — سابقهٔ کار شما مزیت است</t>
        </is>
      </c>
      <c r="Q95" s="77" t="inlineStr"/>
      <c r="R95" s="78" t="inlineStr">
        <is>
          <t>https://www.mdu.se/en/malardalen-university/education</t>
        </is>
      </c>
    </row>
    <row r="96">
      <c r="A96" s="90" t="n">
        <v>95</v>
      </c>
      <c r="B96" s="97" t="inlineStr">
        <is>
          <t>دانمارک</t>
        </is>
      </c>
      <c r="C96" s="92" t="inlineStr">
        <is>
          <t>Aalborg University (AAU)</t>
        </is>
      </c>
      <c r="D96" s="92" t="inlineStr">
        <is>
          <t>Aalborg (آلبورگ) — شمال یوتلند</t>
        </is>
      </c>
      <c r="E96" s="92" t="inlineStr">
        <is>
          <t>متوسط — $1,220–1,450</t>
        </is>
      </c>
      <c r="F96" s="92" t="inlineStr">
        <is>
          <t>MSc Computer Science (IT)</t>
        </is>
      </c>
      <c r="G96" s="92" t="inlineStr">
        <is>
          <t>مهندسی نرم‌افزار / علوم کامپیوتر</t>
        </is>
      </c>
      <c r="H96" s="92" t="inlineStr">
        <is>
          <t>۲ سال</t>
        </is>
      </c>
      <c r="I96" s="92" t="inlineStr">
        <is>
          <t>≈ $17,000 (2025/26: $8,500 در ترم؛ نرخ ۲۰۲۶ روی سایت AAU منتشر نشده — mastersportal: $17,500)</t>
        </is>
      </c>
      <c r="J96" s="92" t="inlineStr">
        <is>
          <t>$34,000–35,000</t>
        </is>
      </c>
      <c r="K96" s="83" t="inlineStr">
        <is>
          <t>$63–70k</t>
        </is>
      </c>
      <c r="L96" s="92" t="inlineStr">
        <is>
          <t>رسمی: حداقل ۱۵۰ ECTS دروس مرتبط با CS (برنامه‌نویسی ۱۵، مهندسی نرم‌افزار ۵، الگوریتم ۵، پایگاه داده ۵، ریاضیات گسسته ۵)؛ از ورودی ۲۰۲۷ سابقهٔ کار و انگیزه‌نامه هم در رتبه‌بندی حساب می‌شود</t>
        </is>
      </c>
      <c r="M96" s="92" t="inlineStr">
        <is>
          <t>6.5 (هر بخش ≥ 6.0)</t>
        </is>
      </c>
      <c r="N96" s="92">
        <f>329</f>
        <v/>
      </c>
      <c r="O96" s="84" t="inlineStr">
        <is>
          <t>Target</t>
        </is>
      </c>
      <c r="P96" s="92" t="inlineStr">
        <is>
          <t>4/5 — بیشترین حجم آگهی در هر ۶ کشور؛ ورود جونیور از ۲۰۲۳ سخت‌تر شده — سابقهٔ کار شما مزیت است</t>
        </is>
      </c>
      <c r="Q96" s="92" t="inlineStr">
        <is>
          <t>گزینهٔ Target جدول اصلی؛ PBL (پروژه‌محور)؛ ظرفیت محدود</t>
        </is>
      </c>
      <c r="R96" s="93" t="inlineStr">
        <is>
          <t>https://www.en.aau.dk/education/master/computer-science-it</t>
        </is>
      </c>
    </row>
    <row r="97">
      <c r="A97" s="76" t="n">
        <v>96</v>
      </c>
      <c r="B97" s="98" t="inlineStr">
        <is>
          <t>دانمارک</t>
        </is>
      </c>
      <c r="C97" s="77" t="inlineStr">
        <is>
          <t>Aalborg University (AAU)</t>
        </is>
      </c>
      <c r="D97" s="77" t="inlineStr">
        <is>
          <t>Aalborg (آلبورگ) — شمال یوتلند</t>
        </is>
      </c>
      <c r="E97" s="77" t="inlineStr">
        <is>
          <t>متوسط — $1,220–1,450</t>
        </is>
      </c>
      <c r="F97" s="77" t="inlineStr">
        <is>
          <t>MSc Software</t>
        </is>
      </c>
      <c r="G97" s="77" t="inlineStr">
        <is>
          <t>مهندسی نرم‌افزار / علوم کامپیوتر</t>
        </is>
      </c>
      <c r="H97" s="77" t="inlineStr">
        <is>
          <t>۲ سال</t>
        </is>
      </c>
      <c r="I97" s="77" t="inlineStr">
        <is>
          <t>≈ $17,000–17,500</t>
        </is>
      </c>
      <c r="J97" s="77" t="inlineStr">
        <is>
          <t>$34,000–35,000</t>
        </is>
      </c>
      <c r="K97" s="74" t="inlineStr">
        <is>
          <t>$63–70k</t>
        </is>
      </c>
      <c r="L97" s="77" t="inlineStr">
        <is>
          <t>کارشناسی SE/CS</t>
        </is>
      </c>
      <c r="M97" s="77" t="inlineStr">
        <is>
          <t>6.5</t>
        </is>
      </c>
      <c r="N97" s="77">
        <f>329</f>
        <v/>
      </c>
      <c r="O97" s="30" t="inlineStr">
        <is>
          <t>Target</t>
        </is>
      </c>
      <c r="P97" s="77" t="inlineStr">
        <is>
          <t>4/5 — بیشترین حجم آگهی در هر ۶ کشور؛ ورود جونیور از ۲۰۲۳ سخت‌تر شده — سابقهٔ کار شما مزیت است</t>
        </is>
      </c>
      <c r="Q97" s="77" t="inlineStr"/>
      <c r="R97" s="78" t="inlineStr">
        <is>
          <t>https://www.en.aau.dk/education/master/software</t>
        </is>
      </c>
    </row>
    <row r="98">
      <c r="A98" s="40" t="n">
        <v>97</v>
      </c>
      <c r="B98" s="98" t="inlineStr">
        <is>
          <t>دانمارک</t>
        </is>
      </c>
      <c r="C98" s="37" t="inlineStr">
        <is>
          <t>Aalborg University (AAU)</t>
        </is>
      </c>
      <c r="D98" s="37" t="inlineStr">
        <is>
          <t>Copenhagen – Sydhavn (کپنهاگ؛ کمپوس AAU)</t>
        </is>
      </c>
      <c r="E98" s="37" t="inlineStr">
        <is>
          <t>خیلی گران — $1,530–1,910</t>
        </is>
      </c>
      <c r="F98" s="37" t="inlineStr">
        <is>
          <t>MSc Eng Cyber Security</t>
        </is>
      </c>
      <c r="G98" s="37" t="inlineStr">
        <is>
          <t>امنیت سایبری</t>
        </is>
      </c>
      <c r="H98" s="37" t="inlineStr">
        <is>
          <t>۲ سال</t>
        </is>
      </c>
      <c r="I98" s="37" t="inlineStr">
        <is>
          <t>≈ $17,000–17,500</t>
        </is>
      </c>
      <c r="J98" s="37" t="inlineStr">
        <is>
          <t>$34,000–35,000</t>
        </is>
      </c>
      <c r="K98" s="74" t="inlineStr">
        <is>
          <t>$71–81k</t>
        </is>
      </c>
      <c r="L98" s="37" t="inlineStr">
        <is>
          <t>کارشناسی CS/EE مرتبط؛ مهلت ۱ مارس</t>
        </is>
      </c>
      <c r="M98" s="37" t="inlineStr">
        <is>
          <t>6.5</t>
        </is>
      </c>
      <c r="N98" s="37">
        <f>329</f>
        <v/>
      </c>
      <c r="O98" s="30" t="inlineStr">
        <is>
          <t>Target</t>
        </is>
      </c>
      <c r="P98" s="37" t="inlineStr">
        <is>
          <t>4/5 — کمبود ساختاری (Bitkom: جزو ۳ کمبود اصلی آلمان)؛ اما ۳۱٪ تیم‌ها هیچ نیروی جونیور ندارند → کارآموزی/گواهی لازم است</t>
        </is>
      </c>
      <c r="Q98" s="37" t="inlineStr">
        <is>
          <t>کمپوس کپنهاگ: اجاره بالاتر ولی بازار کار بزرگ</t>
        </is>
      </c>
      <c r="R98" s="75" t="inlineStr">
        <is>
          <t>https://www.en.aau.dk/education/master/cyber-security/</t>
        </is>
      </c>
    </row>
    <row r="99">
      <c r="A99" s="76" t="n">
        <v>98</v>
      </c>
      <c r="B99" s="98" t="inlineStr">
        <is>
          <t>دانمارک</t>
        </is>
      </c>
      <c r="C99" s="77" t="inlineStr">
        <is>
          <t>Aalborg University (AAU)</t>
        </is>
      </c>
      <c r="D99" s="77" t="inlineStr">
        <is>
          <t>Aalborg یا Copenhagen (هر دو کمپوس)</t>
        </is>
      </c>
      <c r="E99" s="77" t="inlineStr">
        <is>
          <t>متوسط (Aalborg) تا خیلی گران (Copenhagen)</t>
        </is>
      </c>
      <c r="F99" s="77" t="inlineStr">
        <is>
          <t>MSc Medialogy</t>
        </is>
      </c>
      <c r="G99" s="77" t="inlineStr">
        <is>
          <t>HCI / طراحی تعامل / UX</t>
        </is>
      </c>
      <c r="H99" s="77" t="inlineStr">
        <is>
          <t>۲ سال</t>
        </is>
      </c>
      <c r="I99" s="77" t="inlineStr">
        <is>
          <t>≈ $17,000–17,500</t>
        </is>
      </c>
      <c r="J99" s="77" t="inlineStr">
        <is>
          <t>$34,000–35,000</t>
        </is>
      </c>
      <c r="K99" s="74" t="inlineStr">
        <is>
          <t>$34–35k</t>
        </is>
      </c>
      <c r="L99" s="77" t="inlineStr">
        <is>
          <t>کارشناسی مرتبط (Medialogy، CS، Media Tech)</t>
        </is>
      </c>
      <c r="M99" s="77" t="inlineStr">
        <is>
          <t>6.5</t>
        </is>
      </c>
      <c r="N99" s="77">
        <f>329</f>
        <v/>
      </c>
      <c r="O99" s="30" t="inlineStr">
        <is>
          <t>Target</t>
        </is>
      </c>
      <c r="P99" s="77" t="inlineStr">
        <is>
          <t>2/5 — آگهی‌های UX/UXR از ۲۰۲۲ حدود ۷۰٪ کم شده و از ۲۰۲۳ ثابت مانده؛ رقابت شدید، حقوق شروع کمتر از توسعه‌دهنده</t>
        </is>
      </c>
      <c r="Q99" s="77" t="inlineStr">
        <is>
          <t>تعامل، AR/VR، بازی؛ بین HCI و Game</t>
        </is>
      </c>
      <c r="R99" s="78" t="inlineStr">
        <is>
          <t>https://www.en.aau.dk/education/master/medialogy-aal</t>
        </is>
      </c>
    </row>
    <row r="100">
      <c r="A100" s="40" t="n">
        <v>99</v>
      </c>
      <c r="B100" s="98" t="inlineStr">
        <is>
          <t>دانمارک</t>
        </is>
      </c>
      <c r="C100" s="37" t="inlineStr">
        <is>
          <t>University of Southern Denmark (SDU)</t>
        </is>
      </c>
      <c r="D100" s="37" t="inlineStr">
        <is>
          <t>Odense (اودنسه) — سومین شهر؛ خوشهٔ رباتیک</t>
        </is>
      </c>
      <c r="E100" s="37" t="inlineStr">
        <is>
          <t>متوسط — $1,220–1,530</t>
        </is>
      </c>
      <c r="F100" s="37" t="inlineStr">
        <is>
          <t>MSc Computer Science</t>
        </is>
      </c>
      <c r="G100" s="37" t="inlineStr">
        <is>
          <t>مهندسی نرم‌افزار / علوم کامپیوتر</t>
        </is>
      </c>
      <c r="H100" s="37" t="inlineStr">
        <is>
          <t>۲ سال</t>
        </is>
      </c>
      <c r="I100" s="37" t="inlineStr">
        <is>
          <t>$19,700 (از ورودی سپتامبر ۲۰۲۶؛ قبلاً $15,800)</t>
        </is>
      </c>
      <c r="J100" s="37" t="inlineStr">
        <is>
          <t>$39,400</t>
        </is>
      </c>
      <c r="K100" s="74" t="inlineStr">
        <is>
          <t>$69–76k</t>
        </is>
      </c>
      <c r="L100" s="37" t="inlineStr">
        <is>
          <t>≥ ۱۰۰ ECTS دروس CS؛ ظرفیت محدود + آزمون</t>
        </is>
      </c>
      <c r="M100" s="37" t="inlineStr">
        <is>
          <t>6.5</t>
        </is>
      </c>
      <c r="N100" s="37">
        <f>283</f>
        <v/>
      </c>
      <c r="O100" s="30" t="inlineStr">
        <is>
          <t>Target</t>
        </is>
      </c>
      <c r="P100" s="37" t="inlineStr">
        <is>
          <t>4/5 — بیشترین حجم آگهی در هر ۶ کشور؛ ورود جونیور از ۲۰۲۳ سخت‌تر شده — سابقهٔ کار شما مزیت است</t>
        </is>
      </c>
      <c r="Q100" s="87" t="inlineStr">
        <is>
          <t>⚠️ افزایش شهریهٔ ۲۰۲۶ — جدول اصلی اصلاح شد</t>
        </is>
      </c>
      <c r="R100" s="75" t="inlineStr">
        <is>
          <t>https://www.sdu.dk/en/uddannelse/fees_and_funding/tuition</t>
        </is>
      </c>
    </row>
    <row r="101">
      <c r="A101" s="76" t="n">
        <v>100</v>
      </c>
      <c r="B101" s="98" t="inlineStr">
        <is>
          <t>دانمارک</t>
        </is>
      </c>
      <c r="C101" s="77" t="inlineStr">
        <is>
          <t>University of Southern Denmark (SDU)</t>
        </is>
      </c>
      <c r="D101" s="77" t="inlineStr">
        <is>
          <t>Odense (اودنسه) — سومین شهر؛ خوشهٔ رباتیک</t>
        </is>
      </c>
      <c r="E101" s="77" t="inlineStr">
        <is>
          <t>متوسط — $1,220–1,530</t>
        </is>
      </c>
      <c r="F101" s="77" t="inlineStr">
        <is>
          <t>MSc Eng Software Engineering</t>
        </is>
      </c>
      <c r="G101" s="77" t="inlineStr">
        <is>
          <t>مهندسی نرم‌افزار / علوم کامپیوتر</t>
        </is>
      </c>
      <c r="H101" s="77" t="inlineStr">
        <is>
          <t>۲ سال</t>
        </is>
      </c>
      <c r="I101" s="77" t="inlineStr">
        <is>
          <t>$19,700</t>
        </is>
      </c>
      <c r="J101" s="77" t="inlineStr">
        <is>
          <t>$39,400</t>
        </is>
      </c>
      <c r="K101" s="74" t="inlineStr">
        <is>
          <t>$69–76k</t>
        </is>
      </c>
      <c r="L101" s="77" t="inlineStr">
        <is>
          <t>کارشناسی SE/CS</t>
        </is>
      </c>
      <c r="M101" s="77" t="inlineStr">
        <is>
          <t>6.5</t>
        </is>
      </c>
      <c r="N101" s="77">
        <f>283</f>
        <v/>
      </c>
      <c r="O101" s="30" t="inlineStr">
        <is>
          <t>Target</t>
        </is>
      </c>
      <c r="P101" s="77" t="inlineStr">
        <is>
          <t>4/5 — بیشترین حجم آگهی در هر ۶ کشور؛ ورود جونیور از ۲۰۲۳ سخت‌تر شده — سابقهٔ کار شما مزیت است</t>
        </is>
      </c>
      <c r="Q101" s="77" t="inlineStr">
        <is>
          <t>گرایش‌های Interactive Tech &amp; Games، Cyber-security &amp; Data Intelligence</t>
        </is>
      </c>
      <c r="R101" s="78" t="inlineStr">
        <is>
          <t>https://www.sdu.dk/en/uddannelse/kandidat/softwareengineering</t>
        </is>
      </c>
    </row>
    <row r="102">
      <c r="A102" s="40" t="n">
        <v>101</v>
      </c>
      <c r="B102" s="98" t="inlineStr">
        <is>
          <t>دانمارک</t>
        </is>
      </c>
      <c r="C102" s="37" t="inlineStr">
        <is>
          <t>University of Southern Denmark (SDU)</t>
        </is>
      </c>
      <c r="D102" s="37" t="inlineStr">
        <is>
          <t>Odense (اودنسه) — سومین شهر؛ خوشهٔ رباتیک</t>
        </is>
      </c>
      <c r="E102" s="37" t="inlineStr">
        <is>
          <t>متوسط — $1,220–1,530</t>
        </is>
      </c>
      <c r="F102" s="37" t="inlineStr">
        <is>
          <t>MSc Artificial Intelligence</t>
        </is>
      </c>
      <c r="G102" s="37" t="inlineStr">
        <is>
          <t>هوش مصنوعی / یادگیری ماشین</t>
        </is>
      </c>
      <c r="H102" s="37" t="inlineStr">
        <is>
          <t>۲ سال</t>
        </is>
      </c>
      <c r="I102" s="37" t="inlineStr">
        <is>
          <t>$19,700</t>
        </is>
      </c>
      <c r="J102" s="37" t="inlineStr">
        <is>
          <t>$39,400</t>
        </is>
      </c>
      <c r="K102" s="74" t="inlineStr">
        <is>
          <t>$69–76k</t>
        </is>
      </c>
      <c r="L102" s="37" t="inlineStr">
        <is>
          <t>کارشناسی CS/AI</t>
        </is>
      </c>
      <c r="M102" s="37" t="inlineStr">
        <is>
          <t>6.5</t>
        </is>
      </c>
      <c r="N102" s="37">
        <f>283</f>
        <v/>
      </c>
      <c r="O102" s="30" t="inlineStr">
        <is>
          <t>Target</t>
        </is>
      </c>
      <c r="P102" s="37" t="inlineStr">
        <is>
          <t>5/5 — داغ‌ترین بازار؛ «AI Engineer» سریع‌ترین‌رشد (LinkedIn 2026)؛ ولی برنامه‌های ریاضی‌محور (Tübingen، UvA، KTH) بسیار رقابتی‌اند</t>
        </is>
      </c>
      <c r="Q102" s="37" t="inlineStr">
        <is>
          <t>شروع سپتامبر و فوریه</t>
        </is>
      </c>
      <c r="R102" s="75" t="inlineStr">
        <is>
          <t>https://www.sdu.dk/en/studyscience</t>
        </is>
      </c>
    </row>
    <row r="103">
      <c r="A103" s="76" t="n">
        <v>102</v>
      </c>
      <c r="B103" s="98" t="inlineStr">
        <is>
          <t>دانمارک</t>
        </is>
      </c>
      <c r="C103" s="77" t="inlineStr">
        <is>
          <t>University of Southern Denmark (SDU)</t>
        </is>
      </c>
      <c r="D103" s="77" t="inlineStr">
        <is>
          <t>Odense (اودنسه) — سومین شهر؛ خوشهٔ رباتیک</t>
        </is>
      </c>
      <c r="E103" s="77" t="inlineStr">
        <is>
          <t>متوسط — $1,220–1,530</t>
        </is>
      </c>
      <c r="F103" s="77" t="inlineStr">
        <is>
          <t>MSc Eng Robot Systems</t>
        </is>
      </c>
      <c r="G103" s="77" t="inlineStr">
        <is>
          <t>سیستم‌های نهفته / رباتیک / خودران</t>
        </is>
      </c>
      <c r="H103" s="77" t="inlineStr">
        <is>
          <t>۲ سال</t>
        </is>
      </c>
      <c r="I103" s="77" t="inlineStr">
        <is>
          <t>$19,700</t>
        </is>
      </c>
      <c r="J103" s="77" t="inlineStr">
        <is>
          <t>$39,400</t>
        </is>
      </c>
      <c r="K103" s="74" t="inlineStr">
        <is>
          <t>$69–76k</t>
        </is>
      </c>
      <c r="L103" s="77" t="inlineStr">
        <is>
          <t>کارشناسی مرتبط (CS/EE/Mechatronics)</t>
        </is>
      </c>
      <c r="M103" s="77" t="inlineStr">
        <is>
          <t>6.5</t>
        </is>
      </c>
      <c r="N103" s="77">
        <f>283</f>
        <v/>
      </c>
      <c r="O103" s="30" t="inlineStr">
        <is>
          <t>Target</t>
        </is>
      </c>
      <c r="P103" s="77" t="inlineStr">
        <is>
          <t>4/5 — در آلمان و سوئد قوی (خودرو، Bosch، ABB، Ericsson)؛ ولی کارفرمایان صنعتی خارج از شهرهای بزرگ اغلب آلمانی/سوئدی می‌خواهند</t>
        </is>
      </c>
      <c r="Q103" s="77" t="inlineStr">
        <is>
          <t>Odense Robotics cluster (Universal Robots، MiR)</t>
        </is>
      </c>
      <c r="R103" s="78" t="inlineStr">
        <is>
          <t>https://www.sdu.dk/en/uddannelse/kandidat/alle-kandidatuddannelser</t>
        </is>
      </c>
    </row>
    <row r="104">
      <c r="A104" s="40" t="n">
        <v>103</v>
      </c>
      <c r="B104" s="98" t="inlineStr">
        <is>
          <t>دانمارک</t>
        </is>
      </c>
      <c r="C104" s="37" t="inlineStr">
        <is>
          <t>University of Southern Denmark (SDU)</t>
        </is>
      </c>
      <c r="D104" s="37" t="inlineStr">
        <is>
          <t>Kolding (کولدینگ) — جنوب یوتلند</t>
        </is>
      </c>
      <c r="E104" s="37" t="inlineStr">
        <is>
          <t>ارزان تا متوسط — $1,150–1,370</t>
        </is>
      </c>
      <c r="F104" s="37" t="inlineStr">
        <is>
          <t>MSc Data Science</t>
        </is>
      </c>
      <c r="G104" s="37" t="inlineStr">
        <is>
          <t>علم داده / تحلیل داده</t>
        </is>
      </c>
      <c r="H104" s="37" t="inlineStr">
        <is>
          <t>۲ سال</t>
        </is>
      </c>
      <c r="I104" s="37" t="inlineStr">
        <is>
          <t>$19,700</t>
        </is>
      </c>
      <c r="J104" s="37" t="inlineStr">
        <is>
          <t>$39,400</t>
        </is>
      </c>
      <c r="K104" s="74" t="inlineStr">
        <is>
          <t>$67–72k</t>
        </is>
      </c>
      <c r="L104" s="37" t="inlineStr">
        <is>
          <t>کارشناسی با محتوای کمی/برنامه‌نویسی</t>
        </is>
      </c>
      <c r="M104" s="37" t="inlineStr">
        <is>
          <t>6.5</t>
        </is>
      </c>
      <c r="N104" s="37">
        <f>283</f>
        <v/>
      </c>
      <c r="O104" s="30" t="inlineStr">
        <is>
          <t>Target</t>
        </is>
      </c>
      <c r="P104" s="37" t="inlineStr">
        <is>
          <t>3/5 — بازار ارشد/سینیور خوب، ولی سطح جونیور اشباع (ده‌ها هزار فارغ‌التحصیل مشابه)؛ Data Engineer کم‌رقابت‌تر از Data Scientist</t>
        </is>
      </c>
      <c r="Q104" s="37" t="inlineStr"/>
      <c r="R104" s="75" t="inlineStr">
        <is>
          <t>https://www.sdu.dk/en/uddannelse/kandidat/alle-kandidatuddannelser</t>
        </is>
      </c>
    </row>
    <row r="105">
      <c r="A105" s="76" t="n">
        <v>104</v>
      </c>
      <c r="B105" s="98" t="inlineStr">
        <is>
          <t>دانمارک</t>
        </is>
      </c>
      <c r="C105" s="77" t="inlineStr">
        <is>
          <t>IT University of Copenhagen (ITU)</t>
        </is>
      </c>
      <c r="D105" s="77" t="inlineStr">
        <is>
          <t>Copenhagen (کپنهاگ)</t>
        </is>
      </c>
      <c r="E105" s="77" t="inlineStr">
        <is>
          <t>خیلی گران — $1,530–1,910</t>
        </is>
      </c>
      <c r="F105" s="77" t="inlineStr">
        <is>
          <t>MSc Games — track Game Technology</t>
        </is>
      </c>
      <c r="G105" s="77" t="inlineStr">
        <is>
          <t>توسعه بازی</t>
        </is>
      </c>
      <c r="H105" s="77" t="inlineStr">
        <is>
          <t>۲ سال</t>
        </is>
      </c>
      <c r="I105" s="77" t="inlineStr">
        <is>
          <t>$18,800 ($9,410 در ترم؛ ورودی ۲۰۲۶ — رسمی)</t>
        </is>
      </c>
      <c r="J105" s="77" t="inlineStr">
        <is>
          <t>$37,600</t>
        </is>
      </c>
      <c r="K105" s="74" t="inlineStr">
        <is>
          <t>$74–83k</t>
        </is>
      </c>
      <c r="L105" s="77" t="inlineStr">
        <is>
          <t>برای track فنی: کارشناسی CS</t>
        </is>
      </c>
      <c r="M105" s="77" t="inlineStr">
        <is>
          <t>6.5</t>
        </is>
      </c>
      <c r="N105" s="77" t="inlineStr">
        <is>
          <t>— (تخصصی)</t>
        </is>
      </c>
      <c r="O105" s="30" t="inlineStr">
        <is>
          <t>Target</t>
        </is>
      </c>
      <c r="P105" s="77" t="inlineStr">
        <is>
          <t>2/5 — ≈۴۵ هزار اخراج ۲۰۲۲–۲۰۲۵؛ ۲۶٪ توسعه‌دهندگان اروپایی حداقل یک‌بار اخراج شده‌اند؛ حقوق برنامه‌نویس Unity تا ۵۰٪ افت — سابقهٔ Unity شما مزیت ورود است، نه تضمین</t>
        </is>
      </c>
      <c r="Q105" s="77" t="inlineStr">
        <is>
          <t>شناخته‌شده‌ترین ارشد بازی اسکاندیناوی؛ Copenhagen (IO Interactive، Unity Copenhagen)</t>
        </is>
      </c>
      <c r="R105" s="78" t="inlineStr">
        <is>
          <t>https://en.itu.dk/Programmes/MSc-Programmes/Applying-to-a-MSc-programme/Non-EU-EOES</t>
        </is>
      </c>
    </row>
    <row r="106">
      <c r="A106" s="40" t="n">
        <v>105</v>
      </c>
      <c r="B106" s="98" t="inlineStr">
        <is>
          <t>دانمارک</t>
        </is>
      </c>
      <c r="C106" s="37" t="inlineStr">
        <is>
          <t>IT University of Copenhagen (ITU)</t>
        </is>
      </c>
      <c r="D106" s="37" t="inlineStr">
        <is>
          <t>Copenhagen (کپنهاگ)</t>
        </is>
      </c>
      <c r="E106" s="37" t="inlineStr">
        <is>
          <t>خیلی گران — $1,530–1,910</t>
        </is>
      </c>
      <c r="F106" s="37" t="inlineStr">
        <is>
          <t>MSc Computer Science</t>
        </is>
      </c>
      <c r="G106" s="37" t="inlineStr">
        <is>
          <t>مهندسی نرم‌افزار / علوم کامپیوتر</t>
        </is>
      </c>
      <c r="H106" s="37" t="inlineStr">
        <is>
          <t>۲ سال</t>
        </is>
      </c>
      <c r="I106" s="37" t="inlineStr">
        <is>
          <t>$18,800 ($9,410 در ترم)</t>
        </is>
      </c>
      <c r="J106" s="37" t="inlineStr">
        <is>
          <t>$37,600</t>
        </is>
      </c>
      <c r="K106" s="74" t="inlineStr">
        <is>
          <t>$74–83k</t>
        </is>
      </c>
      <c r="L106" s="37" t="inlineStr">
        <is>
          <t>کارشناسی CS/SE با برنامه‌نویسی قابل توجه</t>
        </is>
      </c>
      <c r="M106" s="37" t="inlineStr">
        <is>
          <t>6.5</t>
        </is>
      </c>
      <c r="N106" s="37" t="inlineStr">
        <is>
          <t>— (تخصصی)</t>
        </is>
      </c>
      <c r="O106" s="30" t="inlineStr">
        <is>
          <t>Target</t>
        </is>
      </c>
      <c r="P106" s="37" t="inlineStr">
        <is>
          <t>4/5 — بیشترین حجم آگهی در هر ۶ کشور؛ ورود جونیور از ۲۰۲۳ سخت‌تر شده — سابقهٔ کار شما مزیت است</t>
        </is>
      </c>
      <c r="Q106" s="37" t="inlineStr">
        <is>
          <t>ارزان‌تر از DTU/KU در کپنهاگ؛ رقم قدیمی $15,300 (پورتال studyindenmark) منسوخ است</t>
        </is>
      </c>
      <c r="R106" s="75" t="inlineStr">
        <is>
          <t>https://en.itu.dk/Programmes/MSc-Programmes/Applying-to-a-MSc-programme/Non-EU-EOES</t>
        </is>
      </c>
    </row>
    <row r="107">
      <c r="A107" s="76" t="n">
        <v>106</v>
      </c>
      <c r="B107" s="98" t="inlineStr">
        <is>
          <t>دانمارک</t>
        </is>
      </c>
      <c r="C107" s="77" t="inlineStr">
        <is>
          <t>IT University of Copenhagen (ITU)</t>
        </is>
      </c>
      <c r="D107" s="77" t="inlineStr">
        <is>
          <t>Copenhagen (کپنهاگ)</t>
        </is>
      </c>
      <c r="E107" s="77" t="inlineStr">
        <is>
          <t>خیلی گران — $1,530–1,910</t>
        </is>
      </c>
      <c r="F107" s="77" t="inlineStr">
        <is>
          <t>MSc Data Science</t>
        </is>
      </c>
      <c r="G107" s="77" t="inlineStr">
        <is>
          <t>علم داده / تحلیل داده</t>
        </is>
      </c>
      <c r="H107" s="77" t="inlineStr">
        <is>
          <t>۲ سال</t>
        </is>
      </c>
      <c r="I107" s="77" t="inlineStr">
        <is>
          <t>$18,800 ($9,410 در ترم)</t>
        </is>
      </c>
      <c r="J107" s="77" t="inlineStr">
        <is>
          <t>$37,600</t>
        </is>
      </c>
      <c r="K107" s="74" t="inlineStr">
        <is>
          <t>$74–83k</t>
        </is>
      </c>
      <c r="L107" s="77" t="inlineStr">
        <is>
          <t>کارشناسی مرتبط با داده/CS</t>
        </is>
      </c>
      <c r="M107" s="77" t="inlineStr">
        <is>
          <t>6.5</t>
        </is>
      </c>
      <c r="N107" s="77" t="inlineStr">
        <is>
          <t>— (تخصصی)</t>
        </is>
      </c>
      <c r="O107" s="30" t="inlineStr">
        <is>
          <t>Target</t>
        </is>
      </c>
      <c r="P107" s="77" t="inlineStr">
        <is>
          <t>3/5 — بازار ارشد/سینیور خوب، ولی سطح جونیور اشباع (ده‌ها هزار فارغ‌التحصیل مشابه)؛ Data Engineer کم‌رقابت‌تر از Data Scientist</t>
        </is>
      </c>
      <c r="Q107" s="77" t="inlineStr"/>
      <c r="R107" s="78" t="inlineStr">
        <is>
          <t>https://en.itu.dk/Programmes/MSc-Programmes/Applying-to-a-MSc-programme/Non-EU-EOES</t>
        </is>
      </c>
    </row>
    <row r="108">
      <c r="A108" s="40" t="n">
        <v>107</v>
      </c>
      <c r="B108" s="98" t="inlineStr">
        <is>
          <t>دانمارک</t>
        </is>
      </c>
      <c r="C108" s="37" t="inlineStr">
        <is>
          <t>Technical University of Denmark (DTU)</t>
        </is>
      </c>
      <c r="D108" s="37" t="inlineStr">
        <is>
          <t>Kgs. Lyngby (لینگبی) — ۱۵ کیلومتری کپنهاگ</t>
        </is>
      </c>
      <c r="E108" s="37" t="inlineStr">
        <is>
          <t>خیلی گران — $1,450–1,830</t>
        </is>
      </c>
      <c r="F108" s="37" t="inlineStr">
        <is>
          <t>MSc Eng Human-Centered Artificial Intelligence</t>
        </is>
      </c>
      <c r="G108" s="37" t="inlineStr">
        <is>
          <t>هوش مصنوعی / یادگیری ماشین</t>
        </is>
      </c>
      <c r="H108" s="37" t="inlineStr">
        <is>
          <t>۲ سال</t>
        </is>
      </c>
      <c r="I108" s="37" t="inlineStr">
        <is>
          <t>$17,100</t>
        </is>
      </c>
      <c r="J108" s="37" t="inlineStr">
        <is>
          <t>$34,200</t>
        </is>
      </c>
      <c r="K108" s="74" t="inlineStr">
        <is>
          <t>$69–78k</t>
        </is>
      </c>
      <c r="L108" s="37" t="inlineStr">
        <is>
          <t>ظرفیت محدود؛ امتیازدهی: معدل ۶۰٪ + سابقهٔ کار ۱۰٪</t>
        </is>
      </c>
      <c r="M108" s="37" t="inlineStr">
        <is>
          <t>6.5</t>
        </is>
      </c>
      <c r="N108" s="37" t="inlineStr">
        <is>
          <t>105</t>
        </is>
      </c>
      <c r="O108" s="79" t="inlineStr">
        <is>
          <t>Reach</t>
        </is>
      </c>
      <c r="P108" s="37" t="inlineStr">
        <is>
          <t>5/5 — داغ‌ترین بازار؛ «AI Engineer» سریع‌ترین‌رشد (LinkedIn 2026)؛ ولی برنامه‌های ریاضی‌محور (Tübingen، UvA، KTH) بسیار رقابتی‌اند</t>
        </is>
      </c>
      <c r="Q108" s="37" t="inlineStr">
        <is>
          <t>معدل ۱۵.۷۷ در رقابت DTU ضعیف است</t>
        </is>
      </c>
      <c r="R108" s="75" t="inlineStr">
        <is>
          <t>https://www.dtu.dk/english/education/graduate/msc-programmes/human-centered-artificial-intelligence</t>
        </is>
      </c>
    </row>
    <row r="109">
      <c r="A109" s="76" t="n">
        <v>108</v>
      </c>
      <c r="B109" s="98" t="inlineStr">
        <is>
          <t>دانمارک</t>
        </is>
      </c>
      <c r="C109" s="77" t="inlineStr">
        <is>
          <t>Technical University of Denmark (DTU)</t>
        </is>
      </c>
      <c r="D109" s="77" t="inlineStr">
        <is>
          <t>Kgs. Lyngby (لینگبی) — ۱۵ کیلومتری کپنهاگ</t>
        </is>
      </c>
      <c r="E109" s="77" t="inlineStr">
        <is>
          <t>خیلی گران — $1,450–1,830</t>
        </is>
      </c>
      <c r="F109" s="77" t="inlineStr">
        <is>
          <t>MSc Eng Autonomous Systems</t>
        </is>
      </c>
      <c r="G109" s="77" t="inlineStr">
        <is>
          <t>سیستم‌های نهفته / رباتیک / خودران</t>
        </is>
      </c>
      <c r="H109" s="77" t="inlineStr">
        <is>
          <t>۲ سال</t>
        </is>
      </c>
      <c r="I109" s="77" t="inlineStr">
        <is>
          <t>$17,100</t>
        </is>
      </c>
      <c r="J109" s="77" t="inlineStr">
        <is>
          <t>$34,200</t>
        </is>
      </c>
      <c r="K109" s="74" t="inlineStr">
        <is>
          <t>$69–78k</t>
        </is>
      </c>
      <c r="L109" s="77" t="inlineStr">
        <is>
          <t>۸۰–۹۰ ECTS دروس مرتبط؛ ظرفیت محدود</t>
        </is>
      </c>
      <c r="M109" s="77" t="inlineStr">
        <is>
          <t>6.5</t>
        </is>
      </c>
      <c r="N109" s="77" t="inlineStr">
        <is>
          <t>105</t>
        </is>
      </c>
      <c r="O109" s="79" t="inlineStr">
        <is>
          <t>Reach</t>
        </is>
      </c>
      <c r="P109" s="77" t="inlineStr">
        <is>
          <t>4/5 — در آلمان و سوئد قوی (خودرو، Bosch، ABB، Ericsson)؛ ولی کارفرمایان صنعتی خارج از شهرهای بزرگ اغلب آلمانی/سوئدی می‌خواهند</t>
        </is>
      </c>
      <c r="Q109" s="77" t="inlineStr"/>
      <c r="R109" s="78" t="inlineStr">
        <is>
          <t>https://www.dtu.dk/english/education/graduate/msc-programmes/autonomous-systems/prerequisites</t>
        </is>
      </c>
    </row>
    <row r="110">
      <c r="A110" s="40" t="n">
        <v>109</v>
      </c>
      <c r="B110" s="98" t="inlineStr">
        <is>
          <t>دانمارک</t>
        </is>
      </c>
      <c r="C110" s="37" t="inlineStr">
        <is>
          <t>Technical University of Denmark (DTU)</t>
        </is>
      </c>
      <c r="D110" s="37" t="inlineStr">
        <is>
          <t>Kgs. Lyngby (لینگبی) — ۱۵ کیلومتری کپنهاگ</t>
        </is>
      </c>
      <c r="E110" s="37" t="inlineStr">
        <is>
          <t>خیلی گران — $1,450–1,830</t>
        </is>
      </c>
      <c r="F110" s="37" t="inlineStr">
        <is>
          <t>MSc Eng Computer Science and Engineering</t>
        </is>
      </c>
      <c r="G110" s="37" t="inlineStr">
        <is>
          <t>مهندسی نرم‌افزار / علوم کامپیوتر</t>
        </is>
      </c>
      <c r="H110" s="37" t="inlineStr">
        <is>
          <t>۲ سال</t>
        </is>
      </c>
      <c r="I110" s="37" t="inlineStr">
        <is>
          <t>$17,100</t>
        </is>
      </c>
      <c r="J110" s="37" t="inlineStr">
        <is>
          <t>$34,200</t>
        </is>
      </c>
      <c r="K110" s="74" t="inlineStr">
        <is>
          <t>$69–78k</t>
        </is>
      </c>
      <c r="L110" s="37" t="inlineStr">
        <is>
          <t>ظرفیت محدود؛ گزینش با معدل</t>
        </is>
      </c>
      <c r="M110" s="37" t="inlineStr">
        <is>
          <t>6.5</t>
        </is>
      </c>
      <c r="N110" s="37" t="inlineStr">
        <is>
          <t>105</t>
        </is>
      </c>
      <c r="O110" s="79" t="inlineStr">
        <is>
          <t>Reach</t>
        </is>
      </c>
      <c r="P110" s="37" t="inlineStr">
        <is>
          <t>4/5 — بیشترین حجم آگهی در هر ۶ کشور؛ ورود جونیور از ۲۰۲۳ سخت‌تر شده — سابقهٔ کار شما مزیت است</t>
        </is>
      </c>
      <c r="Q110" s="37" t="inlineStr"/>
      <c r="R110" s="75" t="inlineStr">
        <is>
          <t>https://www.dtu.dk/english/education/graduate/msc-programmes/computer-science-and-engineering</t>
        </is>
      </c>
    </row>
    <row r="111">
      <c r="A111" s="76" t="n">
        <v>110</v>
      </c>
      <c r="B111" s="98" t="inlineStr">
        <is>
          <t>دانمارک</t>
        </is>
      </c>
      <c r="C111" s="77" t="inlineStr">
        <is>
          <t>Aarhus University (AU)</t>
        </is>
      </c>
      <c r="D111" s="77" t="inlineStr">
        <is>
          <t>Aarhus (آرهوس) — دومین شهر دانمارک</t>
        </is>
      </c>
      <c r="E111" s="77" t="inlineStr">
        <is>
          <t>گران — $1,370–1,680</t>
        </is>
      </c>
      <c r="F111" s="77" t="inlineStr">
        <is>
          <t>MSc Computer Science</t>
        </is>
      </c>
      <c r="G111" s="77" t="inlineStr">
        <is>
          <t>مهندسی نرم‌افزار / علوم کامپیوتر</t>
        </is>
      </c>
      <c r="H111" s="77" t="inlineStr">
        <is>
          <t>۲ سال</t>
        </is>
      </c>
      <c r="I111" s="77" t="inlineStr">
        <is>
          <t>$19,700</t>
        </is>
      </c>
      <c r="J111" s="77" t="inlineStr">
        <is>
          <t>$39,400</t>
        </is>
      </c>
      <c r="K111" s="74" t="inlineStr">
        <is>
          <t>$72–80k</t>
        </is>
      </c>
      <c r="L111" s="77" t="inlineStr">
        <is>
          <t>کارشناسی CS با واحدهای مشخص</t>
        </is>
      </c>
      <c r="M111" s="77" t="inlineStr">
        <is>
          <t>6.5</t>
        </is>
      </c>
      <c r="N111" s="77" t="inlineStr">
        <is>
          <t>128</t>
        </is>
      </c>
      <c r="O111" s="42" t="inlineStr">
        <is>
          <t>Target/Reach</t>
        </is>
      </c>
      <c r="P111" s="77" t="inlineStr">
        <is>
          <t>4/5 — بیشترین حجم آگهی در هر ۶ کشور؛ ورود جونیور از ۲۰۲۳ سخت‌تر شده — سابقهٔ کار شما مزیت است</t>
        </is>
      </c>
      <c r="Q111" s="77" t="inlineStr">
        <is>
          <t>Aarhus: دومین شهر، ارزان‌تر از کپنهاگ</t>
        </is>
      </c>
      <c r="R111" s="78" t="inlineStr">
        <is>
          <t>https://masters.au.dk/computerscience</t>
        </is>
      </c>
    </row>
    <row r="112"/>
    <row r="113" ht="34" customHeight="1">
      <c r="B113" s="99" t="inlineStr">
        <is>
          <t>راهنما: هر ردیف یک برنامهٔ انگلیسی‌زبان است. Safe/Target/Reach نسبت به معدل ۱۵.۷۷/۲۰ (≈ 2:2 بریتانیا / ≈ 2.3 آلمانی / ≈ ۷۹٪) و IELTS ≈ 7 سنجیده شده و پیش‌بینی پذیرش نیست. «≈» یعنی رقم از منبع ثانویه یا سال قبل است — قبل از اقدام صفحهٔ رسمی را چک کنید.</t>
        </is>
      </c>
    </row>
    <row r="114" ht="64" customHeight="1">
      <c r="B114" s="99" t="inlineStr">
        <is>
          <t>شهریه‌ها به دلار و گرد شده‌اند (همهٔ مبالغ این فایل به دلار آمریکا تبدیل شده‌اند تا لازم نباشد چیزی را خودتان تبدیل کنید. نرخ‌های ۲۸ سپتامبر ۲۰۲۶: ۱ یورو = ۱.۱۴ دلار · ۱ پوند = ۱.۳۲۵ دلار · ۱ فرانک سوئیس = ۱.۲۱ دلار · ۱ کرون سوئد = ۰.۱۰ دلار · ۱ کرون دانمارک = ۰.۱۵ دلار. اعداد گرد شده‌اند (زیر ۱۰ هزار به ۱۰ دلار، بالاتر به ۱۰۰ دلار)؛ رقم رسمی به ارز محلی فقط در شیت «راستی‌آزمایی» داخل پرانتز آمده است. شهریه‌ها سطح 2026/27 هستند (Bristol 2027/28)؛ نرخ سال ورود شما (2027/28) بین اکتبر ۲۰۲۶ تا بهار ۲۰۲۷ منتشر می‌شود — ۳ تا ۵ درصد بالاتر بگیرید؛ ⚠️ ETH/EPFL ممکن است با بستهٔ EP27 از ۲۰۲۷ دوباره گران شوند.). ستون «شهریهٔ کل دوره» = شهریهٔ سالانه × طول دوره؛ ستون «کل هزینهٔ دوره» = شهریهٔ کل + هزینهٔ زندگی شهر × ماه‌های دوره (بدون بورس، بدون بلیت/ویزا). برای ورودی سپتامبر ۲۰۲۷ نرخ 2027/28 ملاک است (تا بهار ۲۰۲۷ منتشر می‌شود؛ فعلاً +۳–۵٪؛ TU/e و Surrey و Gothenburg همین حالا رسمی‌اند). آلمان: عدد فقط سهم ترم (Semesterbeitrag) است که بلیت حمل‌ونقل را هم شامل می‌شود.</t>
        </is>
      </c>
    </row>
    <row r="115" ht="34" customHeight="1">
      <c r="B115" s="99" t="inlineStr">
        <is>
          <t>امتیاز بازار کار (۱–۵) ارزیابی من بر پایهٔ منابع شیت «حوزه‌ها و بازار کار» است، نه آمار رسمی؛ برای هر برنامه فقط حوزه را نشان می‌دهد، نه کیفیت آن دانشگاه.</t>
        </is>
      </c>
    </row>
    <row r="116" ht="34" customHeight="1">
      <c r="B116" s="99" t="inlineStr">
        <is>
          <t>ستون «هزینهٔ زندگی شهر» برآورد تقریبی هزینهٔ ماهانهٔ دانشجو با اجارهٔ اتاق در همان شهر است (سازگار با ردیف ۶ جدول اصلی)؛ برچسب‌ها: ارزان / متوسط / گران / خیلی گران. برای مقایسهٔ کشورها همچنان ردیف‌های ۶–۸ جدول اصلی معیار است.</t>
        </is>
      </c>
    </row>
    <row r="117" ht="36" customHeight="1">
      <c r="B117" s="99" t="inlineStr">
        <is>
          <t>بازبینی صحت اعداد (۲۷ سپتامبر ۲۰۲۶): ≈۷۰٪ شهریه‌ها مستقیماً از صفحهٔ رسمی 2026/27 است؛ ردیف‌های «≈» از منبع ثانویه یا سال قبل‌اند. اصلاح‌های این بازبینی: FAU از تابستان ۲۰۲۷ شهریه می‌گیرد (AI/CS $4,560/ترم)؛ ITU $18,800 (نه $15,300)؛ Radboud $22,500 رسمی؛ Chalmers ≈ $18k (نه $16k)؛ KTH ≈ $18–19k؛ AAU شرط ≥ ۱۵۰ ECTS؛ Surrey Cyber ورودی ۲۰۲۷؛ Newcastle Games 2:2؛ Sheffield AI ≈ $43.6–45.4k. رتبه‌بندی Safe/Target/Reach، امتیاز بازار و ردهٔ هزینهٔ شهر ارزیابی‌اند، نه دادهٔ رسمی.</t>
        </is>
      </c>
    </row>
    <row r="118" ht="36" customHeight="1">
      <c r="B118" s="99" t="inlineStr">
        <is>
          <t>حذف‌شده‌ها: Essex MSc Computer Games (برای 2025/26 و 2026/27 تعلیق شده)، Hull AI &amp; Data Science (سه رقم متناقض شهریه)، UCD/TCD (2:1 و ≈ $34k → Reach، بررسی نشد)، KU Copenhagen (شهریه تأیید نشد)؛ ایرلند (۱۲ برنامه) به خواست شما در سپتامبر ۲۰۲۶ کامل حذف و ۱۳ برنامهٔ سوئیس جایگزین شد. سوئیس: شهریه‌های ETH، EPFL، UZH، USI، ZHAW و HSLU از صفحات رسمی 2026/27؛ Bern، Fribourg و Basel از مراجع ثانویه (≈) — و یادتان باشد در سوئیس شهریه عدد کوچک است، هزینهٔ زندگی ($1,690–3,030/ماه) و تمکن $25,400 عدد اصلی‌اند.</t>
        </is>
      </c>
    </row>
  </sheetData>
  <autoFilter ref="A1:R111"/>
  <mergeCells count="6">
    <mergeCell ref="B115:Q115"/>
    <mergeCell ref="B114:Q114"/>
    <mergeCell ref="B118:Q118"/>
    <mergeCell ref="B113:Q113"/>
    <mergeCell ref="B116:Q116"/>
    <mergeCell ref="B117:Q117"/>
  </mergeCells>
  <hyperlinks>
    <hyperlink xmlns:r="http://schemas.openxmlformats.org/officeDocument/2006/relationships" ref="R2" r:id="rId1"/>
    <hyperlink xmlns:r="http://schemas.openxmlformats.org/officeDocument/2006/relationships" ref="R3" r:id="rId2"/>
    <hyperlink xmlns:r="http://schemas.openxmlformats.org/officeDocument/2006/relationships" ref="R4" r:id="rId3"/>
    <hyperlink xmlns:r="http://schemas.openxmlformats.org/officeDocument/2006/relationships" ref="R5" r:id="rId4"/>
    <hyperlink xmlns:r="http://schemas.openxmlformats.org/officeDocument/2006/relationships" ref="R6" r:id="rId5"/>
    <hyperlink xmlns:r="http://schemas.openxmlformats.org/officeDocument/2006/relationships" ref="R7" r:id="rId6"/>
    <hyperlink xmlns:r="http://schemas.openxmlformats.org/officeDocument/2006/relationships" ref="R8" r:id="rId7"/>
    <hyperlink xmlns:r="http://schemas.openxmlformats.org/officeDocument/2006/relationships" ref="R9" r:id="rId8"/>
    <hyperlink xmlns:r="http://schemas.openxmlformats.org/officeDocument/2006/relationships" ref="R10" r:id="rId9"/>
    <hyperlink xmlns:r="http://schemas.openxmlformats.org/officeDocument/2006/relationships" ref="R11" r:id="rId10"/>
    <hyperlink xmlns:r="http://schemas.openxmlformats.org/officeDocument/2006/relationships" ref="R12" r:id="rId11"/>
    <hyperlink xmlns:r="http://schemas.openxmlformats.org/officeDocument/2006/relationships" ref="R13" r:id="rId12"/>
    <hyperlink xmlns:r="http://schemas.openxmlformats.org/officeDocument/2006/relationships" ref="R14" r:id="rId13"/>
    <hyperlink xmlns:r="http://schemas.openxmlformats.org/officeDocument/2006/relationships" ref="R15" r:id="rId14"/>
    <hyperlink xmlns:r="http://schemas.openxmlformats.org/officeDocument/2006/relationships" ref="R16" r:id="rId15"/>
    <hyperlink xmlns:r="http://schemas.openxmlformats.org/officeDocument/2006/relationships" ref="R17" r:id="rId16"/>
    <hyperlink xmlns:r="http://schemas.openxmlformats.org/officeDocument/2006/relationships" ref="R18" r:id="rId17"/>
    <hyperlink xmlns:r="http://schemas.openxmlformats.org/officeDocument/2006/relationships" ref="R19" r:id="rId18"/>
    <hyperlink xmlns:r="http://schemas.openxmlformats.org/officeDocument/2006/relationships" ref="R20" r:id="rId19"/>
    <hyperlink xmlns:r="http://schemas.openxmlformats.org/officeDocument/2006/relationships" ref="R21" r:id="rId20"/>
    <hyperlink xmlns:r="http://schemas.openxmlformats.org/officeDocument/2006/relationships" ref="R22" r:id="rId21"/>
    <hyperlink xmlns:r="http://schemas.openxmlformats.org/officeDocument/2006/relationships" ref="R23" r:id="rId22"/>
    <hyperlink xmlns:r="http://schemas.openxmlformats.org/officeDocument/2006/relationships" ref="R24" r:id="rId23"/>
    <hyperlink xmlns:r="http://schemas.openxmlformats.org/officeDocument/2006/relationships" ref="R25" r:id="rId24"/>
    <hyperlink xmlns:r="http://schemas.openxmlformats.org/officeDocument/2006/relationships" ref="R26" r:id="rId25"/>
    <hyperlink xmlns:r="http://schemas.openxmlformats.org/officeDocument/2006/relationships" ref="R27" r:id="rId26"/>
    <hyperlink xmlns:r="http://schemas.openxmlformats.org/officeDocument/2006/relationships" ref="R28" r:id="rId27"/>
    <hyperlink xmlns:r="http://schemas.openxmlformats.org/officeDocument/2006/relationships" ref="R29" r:id="rId28"/>
    <hyperlink xmlns:r="http://schemas.openxmlformats.org/officeDocument/2006/relationships" ref="R30" r:id="rId29"/>
    <hyperlink xmlns:r="http://schemas.openxmlformats.org/officeDocument/2006/relationships" ref="R31" r:id="rId30"/>
    <hyperlink xmlns:r="http://schemas.openxmlformats.org/officeDocument/2006/relationships" ref="R32" r:id="rId31"/>
    <hyperlink xmlns:r="http://schemas.openxmlformats.org/officeDocument/2006/relationships" ref="R33" r:id="rId32"/>
    <hyperlink xmlns:r="http://schemas.openxmlformats.org/officeDocument/2006/relationships" ref="R34" r:id="rId33"/>
    <hyperlink xmlns:r="http://schemas.openxmlformats.org/officeDocument/2006/relationships" ref="R35" r:id="rId34"/>
    <hyperlink xmlns:r="http://schemas.openxmlformats.org/officeDocument/2006/relationships" ref="R36" r:id="rId35"/>
    <hyperlink xmlns:r="http://schemas.openxmlformats.org/officeDocument/2006/relationships" ref="R37" r:id="rId36"/>
    <hyperlink xmlns:r="http://schemas.openxmlformats.org/officeDocument/2006/relationships" ref="R38" r:id="rId37"/>
    <hyperlink xmlns:r="http://schemas.openxmlformats.org/officeDocument/2006/relationships" ref="R39" r:id="rId38"/>
    <hyperlink xmlns:r="http://schemas.openxmlformats.org/officeDocument/2006/relationships" ref="R40" r:id="rId39"/>
    <hyperlink xmlns:r="http://schemas.openxmlformats.org/officeDocument/2006/relationships" ref="R41" r:id="rId40"/>
    <hyperlink xmlns:r="http://schemas.openxmlformats.org/officeDocument/2006/relationships" ref="R42" r:id="rId41"/>
    <hyperlink xmlns:r="http://schemas.openxmlformats.org/officeDocument/2006/relationships" ref="R43" r:id="rId42"/>
    <hyperlink xmlns:r="http://schemas.openxmlformats.org/officeDocument/2006/relationships" ref="R44" r:id="rId43"/>
    <hyperlink xmlns:r="http://schemas.openxmlformats.org/officeDocument/2006/relationships" ref="R45" r:id="rId44"/>
    <hyperlink xmlns:r="http://schemas.openxmlformats.org/officeDocument/2006/relationships" ref="R46" r:id="rId45"/>
    <hyperlink xmlns:r="http://schemas.openxmlformats.org/officeDocument/2006/relationships" ref="R47" r:id="rId46"/>
    <hyperlink xmlns:r="http://schemas.openxmlformats.org/officeDocument/2006/relationships" ref="R48" r:id="rId47"/>
    <hyperlink xmlns:r="http://schemas.openxmlformats.org/officeDocument/2006/relationships" ref="R49" r:id="rId48"/>
    <hyperlink xmlns:r="http://schemas.openxmlformats.org/officeDocument/2006/relationships" ref="R50" r:id="rId49"/>
    <hyperlink xmlns:r="http://schemas.openxmlformats.org/officeDocument/2006/relationships" ref="R51" r:id="rId50"/>
    <hyperlink xmlns:r="http://schemas.openxmlformats.org/officeDocument/2006/relationships" ref="R52" r:id="rId51"/>
    <hyperlink xmlns:r="http://schemas.openxmlformats.org/officeDocument/2006/relationships" ref="R53" r:id="rId52"/>
    <hyperlink xmlns:r="http://schemas.openxmlformats.org/officeDocument/2006/relationships" ref="R54" r:id="rId53"/>
    <hyperlink xmlns:r="http://schemas.openxmlformats.org/officeDocument/2006/relationships" ref="R55" r:id="rId54"/>
    <hyperlink xmlns:r="http://schemas.openxmlformats.org/officeDocument/2006/relationships" ref="R56" r:id="rId55"/>
    <hyperlink xmlns:r="http://schemas.openxmlformats.org/officeDocument/2006/relationships" ref="R57" r:id="rId56"/>
    <hyperlink xmlns:r="http://schemas.openxmlformats.org/officeDocument/2006/relationships" ref="R58" r:id="rId57"/>
    <hyperlink xmlns:r="http://schemas.openxmlformats.org/officeDocument/2006/relationships" ref="R59" r:id="rId58"/>
    <hyperlink xmlns:r="http://schemas.openxmlformats.org/officeDocument/2006/relationships" ref="R60" r:id="rId59"/>
    <hyperlink xmlns:r="http://schemas.openxmlformats.org/officeDocument/2006/relationships" ref="R61" r:id="rId60"/>
    <hyperlink xmlns:r="http://schemas.openxmlformats.org/officeDocument/2006/relationships" ref="R62" r:id="rId61"/>
    <hyperlink xmlns:r="http://schemas.openxmlformats.org/officeDocument/2006/relationships" ref="R63" r:id="rId62"/>
    <hyperlink xmlns:r="http://schemas.openxmlformats.org/officeDocument/2006/relationships" ref="R64" r:id="rId63"/>
    <hyperlink xmlns:r="http://schemas.openxmlformats.org/officeDocument/2006/relationships" ref="R65" r:id="rId64"/>
    <hyperlink xmlns:r="http://schemas.openxmlformats.org/officeDocument/2006/relationships" ref="R66" r:id="rId65"/>
    <hyperlink xmlns:r="http://schemas.openxmlformats.org/officeDocument/2006/relationships" ref="R67" r:id="rId66"/>
    <hyperlink xmlns:r="http://schemas.openxmlformats.org/officeDocument/2006/relationships" ref="R68" r:id="rId67"/>
    <hyperlink xmlns:r="http://schemas.openxmlformats.org/officeDocument/2006/relationships" ref="R69" r:id="rId68"/>
    <hyperlink xmlns:r="http://schemas.openxmlformats.org/officeDocument/2006/relationships" ref="R70" r:id="rId69"/>
    <hyperlink xmlns:r="http://schemas.openxmlformats.org/officeDocument/2006/relationships" ref="R71" r:id="rId70"/>
    <hyperlink xmlns:r="http://schemas.openxmlformats.org/officeDocument/2006/relationships" ref="R72" r:id="rId71"/>
    <hyperlink xmlns:r="http://schemas.openxmlformats.org/officeDocument/2006/relationships" ref="R73" r:id="rId72"/>
    <hyperlink xmlns:r="http://schemas.openxmlformats.org/officeDocument/2006/relationships" ref="R74" r:id="rId73"/>
    <hyperlink xmlns:r="http://schemas.openxmlformats.org/officeDocument/2006/relationships" ref="R75" r:id="rId74"/>
    <hyperlink xmlns:r="http://schemas.openxmlformats.org/officeDocument/2006/relationships" ref="R76" r:id="rId75"/>
    <hyperlink xmlns:r="http://schemas.openxmlformats.org/officeDocument/2006/relationships" ref="R77" r:id="rId76"/>
    <hyperlink xmlns:r="http://schemas.openxmlformats.org/officeDocument/2006/relationships" ref="R78" r:id="rId77"/>
    <hyperlink xmlns:r="http://schemas.openxmlformats.org/officeDocument/2006/relationships" ref="R79" r:id="rId78"/>
    <hyperlink xmlns:r="http://schemas.openxmlformats.org/officeDocument/2006/relationships" ref="R80" r:id="rId79"/>
    <hyperlink xmlns:r="http://schemas.openxmlformats.org/officeDocument/2006/relationships" ref="R81" r:id="rId80"/>
    <hyperlink xmlns:r="http://schemas.openxmlformats.org/officeDocument/2006/relationships" ref="R82" r:id="rId81"/>
    <hyperlink xmlns:r="http://schemas.openxmlformats.org/officeDocument/2006/relationships" ref="R83" r:id="rId82"/>
    <hyperlink xmlns:r="http://schemas.openxmlformats.org/officeDocument/2006/relationships" ref="R84" r:id="rId83"/>
    <hyperlink xmlns:r="http://schemas.openxmlformats.org/officeDocument/2006/relationships" ref="R85" r:id="rId84"/>
    <hyperlink xmlns:r="http://schemas.openxmlformats.org/officeDocument/2006/relationships" ref="R86" r:id="rId85"/>
    <hyperlink xmlns:r="http://schemas.openxmlformats.org/officeDocument/2006/relationships" ref="R87" r:id="rId86"/>
    <hyperlink xmlns:r="http://schemas.openxmlformats.org/officeDocument/2006/relationships" ref="R88" r:id="rId87"/>
    <hyperlink xmlns:r="http://schemas.openxmlformats.org/officeDocument/2006/relationships" ref="R89" r:id="rId88"/>
    <hyperlink xmlns:r="http://schemas.openxmlformats.org/officeDocument/2006/relationships" ref="R90" r:id="rId89"/>
    <hyperlink xmlns:r="http://schemas.openxmlformats.org/officeDocument/2006/relationships" ref="R91" r:id="rId90"/>
    <hyperlink xmlns:r="http://schemas.openxmlformats.org/officeDocument/2006/relationships" ref="R92" r:id="rId91"/>
    <hyperlink xmlns:r="http://schemas.openxmlformats.org/officeDocument/2006/relationships" ref="R93" r:id="rId92"/>
    <hyperlink xmlns:r="http://schemas.openxmlformats.org/officeDocument/2006/relationships" ref="R94" r:id="rId93"/>
    <hyperlink xmlns:r="http://schemas.openxmlformats.org/officeDocument/2006/relationships" ref="R95" r:id="rId94"/>
    <hyperlink xmlns:r="http://schemas.openxmlformats.org/officeDocument/2006/relationships" ref="R96" r:id="rId95"/>
    <hyperlink xmlns:r="http://schemas.openxmlformats.org/officeDocument/2006/relationships" ref="R97" r:id="rId96"/>
    <hyperlink xmlns:r="http://schemas.openxmlformats.org/officeDocument/2006/relationships" ref="R98" r:id="rId97"/>
    <hyperlink xmlns:r="http://schemas.openxmlformats.org/officeDocument/2006/relationships" ref="R99" r:id="rId98"/>
    <hyperlink xmlns:r="http://schemas.openxmlformats.org/officeDocument/2006/relationships" ref="R100" r:id="rId99"/>
    <hyperlink xmlns:r="http://schemas.openxmlformats.org/officeDocument/2006/relationships" ref="R101" r:id="rId100"/>
    <hyperlink xmlns:r="http://schemas.openxmlformats.org/officeDocument/2006/relationships" ref="R102" r:id="rId101"/>
    <hyperlink xmlns:r="http://schemas.openxmlformats.org/officeDocument/2006/relationships" ref="R103" r:id="rId102"/>
    <hyperlink xmlns:r="http://schemas.openxmlformats.org/officeDocument/2006/relationships" ref="R104" r:id="rId103"/>
    <hyperlink xmlns:r="http://schemas.openxmlformats.org/officeDocument/2006/relationships" ref="R105" r:id="rId104"/>
    <hyperlink xmlns:r="http://schemas.openxmlformats.org/officeDocument/2006/relationships" ref="R106" r:id="rId105"/>
    <hyperlink xmlns:r="http://schemas.openxmlformats.org/officeDocument/2006/relationships" ref="R107" r:id="rId106"/>
    <hyperlink xmlns:r="http://schemas.openxmlformats.org/officeDocument/2006/relationships" ref="R108" r:id="rId107"/>
    <hyperlink xmlns:r="http://schemas.openxmlformats.org/officeDocument/2006/relationships" ref="R109" r:id="rId108"/>
    <hyperlink xmlns:r="http://schemas.openxmlformats.org/officeDocument/2006/relationships" ref="R110" r:id="rId109"/>
    <hyperlink xmlns:r="http://schemas.openxmlformats.org/officeDocument/2006/relationships" ref="R111" r:id="rId110"/>
  </hyperlinks>
  <pageMargins left="0.75" right="0.75" top="1" bottom="1" header="0.5" footer="0.5"/>
  <pageSetup orientation="landscape" fitToHeight="0" fitToWidth="1"/>
</worksheet>
</file>

<file path=xl/worksheets/sheet4.xml><?xml version="1.0" encoding="utf-8"?>
<worksheet xmlns="http://schemas.openxmlformats.org/spreadsheetml/2006/main">
  <sheetPr>
    <tabColor rgb="002E75B6"/>
    <outlinePr summaryBelow="1" summaryRight="1"/>
    <pageSetUpPr fitToPage="1"/>
  </sheetPr>
  <dimension ref="A1:G11"/>
  <sheetViews>
    <sheetView showGridLines="0" rightToLeft="1" tabSelected="0" workbookViewId="0">
      <pane xSplit="1" ySplit="1" topLeftCell="B2" activePane="bottomRight" state="frozen"/>
      <selection pane="topRight"/>
      <selection pane="bottomLeft"/>
      <selection pane="bottomRight" activeCell="A1" sqref="A1"/>
    </sheetView>
  </sheetViews>
  <sheetFormatPr baseColWidth="8" defaultRowHeight="15"/>
  <cols>
    <col width="26" customWidth="1" min="1" max="1"/>
    <col width="18" customWidth="1" min="2" max="2"/>
    <col width="40" customWidth="1" min="3" max="3"/>
    <col width="34" customWidth="1" min="4" max="4"/>
    <col width="56" customWidth="1" min="5" max="5"/>
    <col width="56" customWidth="1" min="6" max="6"/>
    <col width="40" customWidth="1" min="7" max="7"/>
  </cols>
  <sheetData>
    <row r="1" ht="40" customHeight="1">
      <c r="A1" s="15" t="inlineStr">
        <is>
          <t>حوزه</t>
        </is>
      </c>
      <c r="B1" s="15" t="inlineStr">
        <is>
          <t>تقاضای بازار ۲۰۲۶ (۱–۵)</t>
        </is>
      </c>
      <c r="C1" s="15" t="inlineStr">
        <is>
          <t>حقوق شروع نسبت به CS عمومی</t>
        </is>
      </c>
      <c r="D1" s="15" t="inlineStr">
        <is>
          <t>سازگاری با «فقط انگلیسی»</t>
        </is>
      </c>
      <c r="E1" s="15" t="inlineStr">
        <is>
          <t>تناسب با پروفایل شایان (Computer Eng، معدل ۱۵.۷۷، ۲ سال IT + ۷ ماه Unity/C#)</t>
        </is>
      </c>
      <c r="F1" s="15" t="inlineStr">
        <is>
          <t>ریسک‌ها / واقعیت بازار</t>
        </is>
      </c>
      <c r="G1" s="15" t="inlineStr">
        <is>
          <t>منابع</t>
        </is>
      </c>
    </row>
    <row r="2">
      <c r="A2" s="22" t="inlineStr">
        <is>
          <t>هوش مصنوعی / یادگیری ماشین</t>
        </is>
      </c>
      <c r="B2" s="40" t="inlineStr">
        <is>
          <t>۵ — قوی‌ترین رشد</t>
        </is>
      </c>
      <c r="C2" s="37" t="inlineStr">
        <is>
          <t>بالاتر (+۱۰ تا +۲۵٪؛ آلمان $59–68k، انگلستان $46–60k خارج لندن، سوئیس ≈ $115–145k در زوریخ)</t>
        </is>
      </c>
      <c r="D2" s="37" t="inlineStr">
        <is>
          <t>بسیار خوب — تیم‌های AI/ML در همهٔ ۶ کشور انگلیسی‌زبان‌اند؛ زوریخ (Google، ETH AI Center، آزمایشگاه‌های AI) یکی از قطب‌های اروپاست و کاملاً انگلیسی</t>
        </is>
      </c>
      <c r="E2" s="37" t="inlineStr">
        <is>
          <t>خوب: پیش‌زمینهٔ Computer Engineering + Python؛ ولی برای برنامه‌های Reach (Tübingen، UvA، KTH، Sheffield) معدل ۱۵.۷۷ کافی نیست — برنامه‌های کاربردی (Passau AI Eng، FAU، Northumbria/Teesside AI، USI AI (Lugano)، Umeå) هدف بگیرید</t>
        </is>
      </c>
      <c r="F2" s="37" t="inlineStr">
        <is>
          <t>رقابت ورودی شدید؛ بخشی از آگهی‌ها «AI» در عنوان دارند ولی کار مهندسی نرم‌افزار معمولی است؛ مدرک به‌تنهایی بدون پورتفولیو/پروژه کافی نیست</t>
        </is>
      </c>
      <c r="G2" s="70" t="inlineStr">
        <is>
          <t>LinkedIn/WEF ژانویه ۲۰۲۶ (۱.۳ میلیون شغل جدید AI؛ AI Engineer سریع‌ترین‌رشد)؛ Bitkom 2025</t>
        </is>
      </c>
    </row>
    <row r="3">
      <c r="A3" s="22" t="inlineStr">
        <is>
          <t>مهندسی نرم‌افزار / علوم کامپیوتر</t>
        </is>
      </c>
      <c r="B3" s="76" t="inlineStr">
        <is>
          <t>۴ — بیشترین حجم</t>
        </is>
      </c>
      <c r="C3" s="77" t="inlineStr">
        <is>
          <t>مرجع (آلمان $55–63k · هلند $46–57k · سوئد $42–55k · دانمارک $76–82k · سوئیس $103–127k (بالاترین) · انگلستان $37–46k)</t>
        </is>
      </c>
      <c r="D3" s="77" t="inlineStr">
        <is>
          <t>بسیار خوب</t>
        </is>
      </c>
      <c r="E3" s="77" t="inlineStr">
        <is>
          <t>بهترین تناسب با سابقهٔ شما (۲ سال IT + Unity/C#)؛ پذیرش ساده‌تر (2:2)؛ در همهٔ کشورها گزینهٔ Safe دارد</t>
        </is>
      </c>
      <c r="F3" s="77" t="inlineStr">
        <is>
          <t>آگهی‌های جونیور از ۲۰۲۳ کم شده (اثر GenAI)؛ در بریتانیا ۶–۷٪ بیکاری فارغ‌التحصیلان CS — سابقهٔ کار واقعی شما را از این گروه جدا می‌کند</t>
        </is>
      </c>
      <c r="G3" s="100" t="inlineStr">
        <is>
          <t>Bitkom 2025 (۱۰۹ هزار جای خالی IT در آلمان، ۷.۷ ماه زمان پرکردن)؛ IW 2024 (آگهی‌ها ۲۶٪ کمتر از ۲۰۲۳)</t>
        </is>
      </c>
    </row>
    <row r="4">
      <c r="A4" s="22" t="inlineStr">
        <is>
          <t>امنیت سایبری</t>
        </is>
      </c>
      <c r="B4" s="40" t="inlineStr">
        <is>
          <t>۴ — کمبود ساختاری</t>
        </is>
      </c>
      <c r="C4" s="37" t="inlineStr">
        <is>
          <t>مساوی تا کمی بالاتر؛ در انگلستان (NCSC-certified) و سوئیس (بانک‌ها، بیمه‌ها، ETH/EPFL Cyber؛ حقوق بالا) خوب</t>
        </is>
      </c>
      <c r="D4" s="37" t="inlineStr">
        <is>
          <t>خوب — ولی مشاغل دولتی/دفاعی معمولاً به تابعیت یا اقامت بلندمدت نیاز دارند</t>
        </is>
      </c>
      <c r="E4" s="37" t="inlineStr">
        <is>
          <t>خوب: MSc Cyber با 2:2 در Teesside/Northumbria/MMU/Kent/Royal Holloway؛ Saarland (رایگان ولی IELTS 7)؛ AAU کپنهاگ؛ ZHAW MSE Information &amp; Cyber Security (سوئیس، نیاز به معدل A/B)</t>
        </is>
      </c>
      <c r="F4" s="37" t="inlineStr">
        <is>
          <t>عدد «۴.۸ میلیون کمبود» ISC2 در گزارش ۲۰۲۵ حذف شد (نیاز اعلام‌شده بود نه آگهی واقعی)؛ کمبود بودجه دلیل اول جای خالی؛ ۳۱٪ تیم‌ها صفر جونیور دارند → برای اولین شغل، کارآموزی + گواهی (Security+، AZ-500) لازم است</t>
        </is>
      </c>
      <c r="G4" s="70" t="inlineStr">
        <is>
          <t>ISC2 Workforce Study 2024/2025؛ Kent/Surrey NCSC certification</t>
        </is>
      </c>
    </row>
    <row r="5">
      <c r="A5" s="22" t="inlineStr">
        <is>
          <t>ابری / سیستم‌های توزیع‌شده / DevOps</t>
        </is>
      </c>
      <c r="B5" s="76" t="inlineStr">
        <is>
          <t>۴ — پایدار</t>
        </is>
      </c>
      <c r="C5" s="77" t="inlineStr">
        <is>
          <t>بالاتر از توسعه‌دهندهٔ عمومی (+۵ تا +۱۵٪)؛ DevOps/SRE در دانمارک و سوئد پرتقاضا؛ سوئیس: بانک‌ها/بیمه‌ها و Google زوریخ (≈ $109–133k)</t>
        </is>
      </c>
      <c r="D5" s="77" t="inlineStr">
        <is>
          <t>بسیار خوب</t>
        </is>
      </c>
      <c r="E5" s="77" t="inlineStr">
        <is>
          <t>خوب: Leicester Cloud Computing، TU Darmstadt DSS، KTH SEDS، USI Software &amp; Data Engineering؛ گواهی AWS/Azure کنار مدرک</t>
        </is>
      </c>
      <c r="F5" s="77" t="inlineStr">
        <is>
          <t>کمتر «مدرک‌محور» است؛ برنامه‌های خالص Cloud کم‌اند — معمولاً گرایشِ CS/SE است</t>
        </is>
      </c>
      <c r="G5" s="100" t="inlineStr">
        <is>
          <t>tribexyz 2026 (Data/Cloud Engineer پرجست‌وجوترین در UK/DE)؛ آگهی‌های شرکت‌ها</t>
        </is>
      </c>
    </row>
    <row r="6">
      <c r="A6" s="22" t="inlineStr">
        <is>
          <t>علم داده / تحلیل داده</t>
        </is>
      </c>
      <c r="B6" s="40" t="inlineStr">
        <is>
          <t>۳ — جونیور اشباع</t>
        </is>
      </c>
      <c r="C6" s="37" t="inlineStr">
        <is>
          <t>مساوی CS در سطح جونیور؛ بالاتر بعد از ۲–۳ سال</t>
        </is>
      </c>
      <c r="D6" s="37" t="inlineStr">
        <is>
          <t>بسیار خوب</t>
        </is>
      </c>
      <c r="E6" s="37" t="inlineStr">
        <is>
          <t>متوسط: مدرک‌های ارزان و Safe زیاد است (سوئیس: HSLU Lucerne ≈ $3,810/سال و USI Software &amp; Data Eng $9,680/سال، EPFL Data Science فقط Reach؛ سوئد: Skövde؛ انگلستان: Brunel؛ دانمارک: ITU $18.8k) ولی رقابت جونیور بالاست؛ اگر می‌روید، Data Engineering را انتخاب کنید</t>
        </is>
      </c>
      <c r="F6" s="37" t="inlineStr">
        <is>
          <t>تعداد فارغ‌التحصیل خیلی بیشتر از جای خالی جونیور؛ آگهی جونیور Data Engineering هم ↓۶۷٪؛ مسیر رایج: تحلیلگر/بک‌اند → مهندس داده</t>
        </is>
      </c>
      <c r="G6" s="70" t="inlineStr">
        <is>
          <t>research.com 2026؛ careery.pro 2026؛ datadriven.io 2026</t>
        </is>
      </c>
    </row>
    <row r="7">
      <c r="A7" s="22" t="inlineStr">
        <is>
          <t>سیستم‌های نهفته / رباتیک / خودران</t>
        </is>
      </c>
      <c r="B7" s="76" t="inlineStr">
        <is>
          <t>۴ در آلمان/سوئد؛ ۳ در بقیه</t>
        </is>
      </c>
      <c r="C7" s="77" t="inlineStr">
        <is>
          <t>مساوی تا کمی بالاتر در صنعت (Bosch، Continental، ABB، Volvo)؛ پایین‌تر در بریتانیا؛ در سوئیس (ABB، رباتیک ETH) بالا ولی آلمانی‌محور</t>
        </is>
      </c>
      <c r="D7" s="77" t="inlineStr">
        <is>
          <t>متوسط ⚠️ — تیم‌های R&amp;D انگلیسی‌اند ولی شرکت‌های صنعتی متوسط آلمان/سوئد در عمل زبان محلی می‌خواهند</t>
        </is>
      </c>
      <c r="E7" s="77" t="inlineStr">
        <is>
          <t>خوب از نظر پیش‌زمینه (Computer Engineering)؛ گزینه‌ها: Twente ES، Stuttgart INFOTECH، H-BRS Autonomous Systems، FAU Autonomy Tech، Halmstad، MDU، SDU Robot Systems، DTU Autonomous Systems؛ سوئیس: ETH Robotics فقط Reach، ZHAW MSE گرایش مهندسی (آلمانی‌محور)</t>
        </is>
      </c>
      <c r="F7" s="77" t="inlineStr">
        <is>
          <t>با معیار «فقط انگلیسی» شما ضعیف‌تر از AI/SE/Cyber؛ وابسته به صنعت خودرو که در ۲۰۲۴–۲۵ آگهی‌هایش کم شد</t>
        </is>
      </c>
      <c r="G7" s="100" t="inlineStr">
        <is>
          <t>Bitkom/IW 2024–25؛ Twente/H-BRS/FAU program pages</t>
        </is>
      </c>
    </row>
    <row r="8">
      <c r="A8" s="22" t="inlineStr">
        <is>
          <t>HCI / طراحی تعامل / UX</t>
        </is>
      </c>
      <c r="B8" s="40" t="inlineStr">
        <is>
          <t>۲ — رو به کاهش</t>
        </is>
      </c>
      <c r="C8" s="37" t="inlineStr">
        <is>
          <t>پایین‌تر از توسعه‌دهنده (−۱۰ تا −۲۵٪)</t>
        </is>
      </c>
      <c r="D8" s="37" t="inlineStr">
        <is>
          <t>خوب</t>
        </is>
      </c>
      <c r="E8" s="37" t="inlineStr">
        <is>
          <t>ضعیف برای هدف «حقوق شروع بالا»؛ فقط اگر واقعاً به طراحی علاقه دارید (Siegen رایگان، Twente I-Tech، York HCIT، Chalmers IxD، AAU Medialogy؛ سوئیس برنامهٔ انگلیسی مناسب ندارد — ZHdK آلمانی)</t>
        </is>
      </c>
      <c r="F8" s="37" t="inlineStr">
        <is>
          <t>آگهی UX ↓۷۱٪ و UXR ↓۷۳٪ نسبت به ۲۰۲۲ و از ۲۰۲۳ ثابت؛ متقاضی به ازای هر آگهی دو برابر شده</t>
        </is>
      </c>
      <c r="G8" s="70" t="inlineStr">
        <is>
          <t>Indeed Hiring Lab تا Q4 2025 (thevoiceofuser, 2026)؛ uxdesigninstitute 2024؛ academyux Q1 2025</t>
        </is>
      </c>
    </row>
    <row r="9">
      <c r="A9" s="22" t="inlineStr">
        <is>
          <t>توسعه بازی</t>
        </is>
      </c>
      <c r="B9" s="76" t="inlineStr">
        <is>
          <t>۲ — کوچک و پرنوسان</t>
        </is>
      </c>
      <c r="C9" s="77" t="inlineStr">
        <is>
          <t>پایین‌تر از نرم‌افزار عمومی (−۲۰ تا −۴۰٪)؛ استودیوهای بزرگ استثنا</t>
        </is>
      </c>
      <c r="D9" s="77" t="inlineStr">
        <is>
          <t>خوب (استودیوهای بزرگ انگلیسی‌زبان: لندن، Guildford، Stockholm، Malmö، Copenhagen، Cologne؛ سوئیس صنعت بازی کوچکی دارد — Zürich: Giants Software — و ارشد انگلیسی بازی ندارد)</t>
        </is>
      </c>
      <c r="E9" s="77" t="inlineStr">
        <is>
          <t>تنها حوزه‌ای که سابقهٔ Unity/C# شما در آن مستقیماً مزیت است؛ اما بازار ۲۰۲۲–۲۵ بدترین دورهٔ خود را داشت — پیشنهاد: ارشد Software/AI بگیرید و بازی را به‌عنوان تخصص/پورتفولیو نگه دارید، مگر Goldsmiths ($29k) یا Cologne Game Lab را با چشم باز انتخاب کنید</t>
        </is>
      </c>
      <c r="F9" s="77" t="inlineStr">
        <is>
          <t>≈۴۵ هزار اخراج ۲۰۲۲–ژوئیهٔ ۲۰۲۵؛ بیش از ۳۰ استودیو کاملاً بسته شد؛ حقوق برنامه‌نویس Unity ≈۵۰٪ افت؛ Unity Technologies شش دور اخراج</t>
        </is>
      </c>
      <c r="G9" s="100" t="inlineStr">
        <is>
          <t>Wikipedia «2022–2026 video game industry layoffs» (GDC State of the Industry 2026؛ 80.lv)</t>
        </is>
      </c>
    </row>
    <row r="10"/>
    <row r="11" ht="70" customHeight="1">
      <c r="A11" s="101" t="inlineStr">
        <is>
          <t>جمع‌بندی برای شما: (۱) هوش مصنوعی/ML و (۲) مهندسی نرم‌افزار بهترین ترکیب «بازار + پذیرش‌پذیری + انگلیسی» را دارند؛ (۳) امنیت سایبری اگر حاضر به گرفتن گواهی و کارآموزی باشید؛ ابری/DevOps به‌عنوان گرایش داخل CS/SE. علم داده فقط با تمرکز Data Engineering. نهفته/رباتیک قوی است ولی با شرط «فقط انگلیسی» شما نمی‌خواند (کارفرمایان صنعتی آلمان/سوئد). HCI/UX و بازی‌سازی با معیار «حقوق شروع بالا» شما در تضادند — سابقهٔ Unity را به‌عنوان پورتفولیو کنار یک ارشد Software/AI نگه دارید.</t>
        </is>
      </c>
    </row>
  </sheetData>
  <mergeCells count="1">
    <mergeCell ref="A11:G11"/>
  </mergeCells>
  <pageMargins left="0.75" right="0.75" top="1" bottom="1" header="0.5" footer="0.5"/>
  <pageSetup orientation="landscape" fitToHeight="0" fitToWidth="1"/>
</worksheet>
</file>

<file path=xl/worksheets/sheet5.xml><?xml version="1.0" encoding="utf-8"?>
<worksheet xmlns="http://schemas.openxmlformats.org/spreadsheetml/2006/main">
  <sheetPr>
    <tabColor rgb="002E75B6"/>
    <outlinePr summaryBelow="1" summaryRight="1"/>
    <pageSetUpPr fitToPage="1"/>
  </sheetPr>
  <dimension ref="A1:E28"/>
  <sheetViews>
    <sheetView showGridLines="0" rightToLeft="1"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min="1" max="1"/>
    <col width="34" customWidth="1" min="2" max="2"/>
    <col width="22" customWidth="1" min="3" max="3"/>
    <col width="110" customWidth="1" min="4" max="4"/>
    <col width="36" customWidth="1" min="5" max="5"/>
  </cols>
  <sheetData>
    <row r="1" ht="30" customHeight="1">
      <c r="A1" s="15" t="inlineStr">
        <is>
          <t>تاریخ / مهلت</t>
        </is>
      </c>
      <c r="B1" s="15" t="inlineStr">
        <is>
          <t>اقدام</t>
        </is>
      </c>
      <c r="C1" s="15" t="inlineStr">
        <is>
          <t>کشور / برنامه</t>
        </is>
      </c>
      <c r="D1" s="15" t="inlineStr">
        <is>
          <t>جزئیات</t>
        </is>
      </c>
      <c r="E1" s="15" t="inlineStr">
        <is>
          <t>منبع</t>
        </is>
      </c>
    </row>
    <row r="2">
      <c r="A2" s="22" t="inlineStr">
        <is>
          <t>همین هفته (اکتبر ۲۰۲۶)</t>
        </is>
      </c>
      <c r="B2" s="37" t="inlineStr">
        <is>
          <t>تعیین تکلیف نظام‌وظیفه</t>
        </is>
      </c>
      <c r="C2" s="37" t="inlineStr">
        <is>
          <t>همه</t>
        </is>
      </c>
      <c r="D2" s="37" t="inlineStr">
        <is>
          <t>اگر کارت پایان خدمت یا معافیت دائم ندارید: خروج تحصیلی مشمولانِ بدون غیبت فقط با مجوز سامانهٔ «سخا»، وثیقهٔ ۲۰۰ میلیون تومان (از خرداد/تیر ۱۴۰۵؛ قبلاً ۸۰ میلیون) و پذیرش از دانشگاه مورد تأیید وزارت علوم ممکن است؛ مدت مجوز = طول دوره. این را قبل از هر هزینه‌ای روشن کنید.</t>
        </is>
      </c>
      <c r="E2" s="70" t="inlineStr">
        <is>
          <t>sakha.epolice.ir؛ زومیت/فرارو تیر ۱۴۰۵</t>
        </is>
      </c>
    </row>
    <row r="3">
      <c r="A3" s="22" t="inlineStr">
        <is>
          <t>اکتبر ۲۰۲۶</t>
        </is>
      </c>
      <c r="B3" s="77" t="inlineStr">
        <is>
          <t>رزرو آزمون زبان — خارج از ایران</t>
        </is>
      </c>
      <c r="C3" s="37" t="inlineStr">
        <is>
          <t>همه</t>
        </is>
      </c>
      <c r="D3" s="77" t="inlineStr">
        <is>
          <t>IELTS از ۳۱ ژانویه ۲۰۲۶ و TOEFL از ۱۴۰۵ در ایران برگزار نمی‌شوند. IELTS Academic کامپیوتری در استانبول/ایروان/دبی/تفلیس برای نوامبر تا اوایل دسامبر ۲۰۲۶ رزرو کنید (نتیجه ۳–۵ روزه؛ ≈ $250–300 + سفر). هدف 7.0 با هر بخش ≥ 6.5 (Stuttgart C1، Saarland 7.0). Duolingo فقط بعضی دانشگاه‌های انگلستان را باز می‌کند، نه سوئد/دانمارک/هلند/آلمان/سوئیس. برای ETH (۳۰ نوامبر) گواهی باید زودتر آماده باشد.</t>
        </is>
      </c>
      <c r="E3" s="100" t="inlineStr">
        <is>
          <t>اعلام IDP (دسامبر ۲۰۲۵)؛ وضعیت ETS/سنجش شهریور ۱۴۰۵</t>
        </is>
      </c>
    </row>
    <row r="4">
      <c r="A4" s="22" t="inlineStr">
        <is>
          <t>اکتبر ۲۰۲۶</t>
        </is>
      </c>
      <c r="B4" s="37" t="inlineStr">
        <is>
          <t>مدارک پایه</t>
        </is>
      </c>
      <c r="C4" s="37" t="inlineStr">
        <is>
          <t>همه</t>
        </is>
      </c>
      <c r="D4" s="37" t="inlineStr">
        <is>
          <t>ریزنمرات و دانشنامهٔ انگلیسی رسمی (دانشگاه سمنان + تأییدیه‌ها)؛ گواهی رتبه/میانگین کلاس اگر می‌دهند؛ ۲ توصیه‌نامه (استاد + کارفرما)؛ SOP با تکیه بر ۲ سال IT + Unity؛ CV؛ گیت‌هاب مرتب؛ گواهی سابقهٔ کار (AAU از ورودی ۲۰۲۷ برایش امتیاز می‌دهد).</t>
        </is>
      </c>
      <c r="E4" s="70" t="inlineStr">
        <is>
          <t>—</t>
        </is>
      </c>
    </row>
    <row r="5">
      <c r="A5" s="22" t="inlineStr">
        <is>
          <t>۱۵–۱۶ اکتبر ۲۰۲۶</t>
        </is>
      </c>
      <c r="B5" s="77" t="inlineStr">
        <is>
          <t>باز شدن پورتال‌ها</t>
        </is>
      </c>
      <c r="C5" s="102" t="inlineStr">
        <is>
          <t>هلند، سوئد</t>
        </is>
      </c>
      <c r="D5" s="77" t="inlineStr">
        <is>
          <t>فرم بورس UTS Twente (۱۵ اکتبر)، سوئد universityadmissions.se (۱۶ اکتبر — تا ۴ برنامه با یک درخواست، $91). پورتال‌های سوئیس (USI، Neuchâtel، Fribourg، Bern، Basel، UZH، ZHAW، HSLU) از حدود اکتبر–ژانویه برای پاییز ۲۰۲۷ باز می‌شوند.</t>
        </is>
      </c>
      <c r="E5" s="100" t="inlineStr">
        <is>
          <t>utwente.nl؛ universityadmissions.se؛ سایت دانشگاه‌های سوئیس</t>
        </is>
      </c>
    </row>
    <row r="6">
      <c r="A6" s="22" t="inlineStr">
        <is>
          <t>۱ – ۳۰ نوامبر ۲۰۲۶</t>
        </is>
      </c>
      <c r="B6" s="103" t="inlineStr">
        <is>
          <t>⛔ پنجرهٔ ETH Zürich (تنها فرصت سال — Reach)</t>
        </is>
      </c>
      <c r="C6" s="104" t="inlineStr">
        <is>
          <t>سوئیس</t>
        </is>
      </c>
      <c r="D6" s="37" t="inlineStr">
        <is>
          <t>اپلای آنلاین ۱ تا ۳۰ نوامبر ۲۰۲۶ (ساعت ۱۱:۵۹ صبح CET)؛ $180؛ گواهی C1/IELTS 7.0 باید تا آن موقع در دست باشد → یعنی آزمون در اکتبر یا اوایل نوامبر. پاسخ تا پایان مارس ۲۰۲۷؛ تأییدیهٔ ثبت‌نام برای ویزا از می ۲۰۲۷؛ شروع ۲۰ سپتامبر ۲۰۲۷. با معدل ۱۵.۷۷ شانس کم است — فقط اگر هزینهٔ آن را می‌پذیرید.</t>
        </is>
      </c>
      <c r="E6" s="70" t="inlineStr">
        <is>
          <t>ethz.ch/en/studies/master/application/dates.html</t>
        </is>
      </c>
    </row>
    <row r="7">
      <c r="A7" s="22" t="inlineStr">
        <is>
          <t>نوامبر ۲۰۲۶</t>
        </is>
      </c>
      <c r="B7" s="77" t="inlineStr">
        <is>
          <t>VPD از uni-assist</t>
        </is>
      </c>
      <c r="C7" s="105" t="inlineStr">
        <is>
          <t>آلمان</t>
        </is>
      </c>
      <c r="D7" s="77" t="inlineStr">
        <is>
          <t>برای TU Darmstadt، TU Dresden، Saarland، RPTU، Chemnitz، OVGU و Passau (uni-assist) ۴–۶ هفته زمان و $85 هزینه؛ Stuttgart مستقیم در C@MPUS اپلای می‌گیرد (۱۵ نوامبر – ۱۵ ژانویه).</t>
        </is>
      </c>
      <c r="E7" s="100" t="inlineStr">
        <is>
          <t>uni-assist.de؛ uni-stuttgart.de</t>
        </is>
      </c>
    </row>
    <row r="8">
      <c r="A8" s="22" t="inlineStr">
        <is>
          <t>نوامبر – اوایل دسامبر ۲۰۲۶</t>
        </is>
      </c>
      <c r="B8" s="37" t="inlineStr">
        <is>
          <t>آزمون IELTS</t>
        </is>
      </c>
      <c r="C8" s="37" t="inlineStr">
        <is>
          <t>همه</t>
        </is>
      </c>
      <c r="D8" s="37" t="inlineStr">
        <is>
          <t>نتیجه باید تا اوایل ژانویه ۲۰۲۷ در دست باشد (سوئد، دانمارک، Stuttgart). یک تاریخ ذخیره در دسامبر رزرو کنید.</t>
        </is>
      </c>
      <c r="E8" s="70" t="inlineStr">
        <is>
          <t>—</t>
        </is>
      </c>
    </row>
    <row r="9">
      <c r="A9" s="22" t="inlineStr">
        <is>
          <t>۱۵ دسامبر ۲۰۲۶</t>
        </is>
      </c>
      <c r="B9" s="77" t="inlineStr">
        <is>
          <t>دور اول EPFL (توصیه برای ویزایی‌ها — Reach)</t>
        </is>
      </c>
      <c r="C9" s="104" t="inlineStr">
        <is>
          <t>سوئیس</t>
        </is>
      </c>
      <c r="D9" s="77" t="inlineStr">
        <is>
          <t>پنجرهٔ اپلای از اواسط نوامبر تا ۱۵ دسامبر (پاسخ اوایل آوریل)؛ دور دوم ۱۶ دسامبر – ۳۱ مارس ۲۰۲۷ (پاسخ پایان ژوئن — برای ویزای ۸–۱۲ هفته‌ای دیر است). فقط یک برنامه در سال؛ مدرک زبان الزامی نیست؛ $180.</t>
        </is>
      </c>
      <c r="E9" s="100" t="inlineStr">
        <is>
          <t>epfl.ch (online application)</t>
        </is>
      </c>
    </row>
    <row r="10">
      <c r="A10" s="22" t="inlineStr">
        <is>
          <t>اواسط دسامبر ۲۰۲۶</t>
        </is>
      </c>
      <c r="B10" s="37" t="inlineStr">
        <is>
          <t>پورتال AAU باز می‌شود</t>
        </is>
      </c>
      <c r="C10" s="106" t="inlineStr">
        <is>
          <t>دانمارک</t>
        </is>
      </c>
      <c r="D10" s="37" t="inlineStr">
        <is>
          <t>برای شهریه‌پردازها مهلت ۱۵ ژانویه است (۱ مارس فقط برای EU).</t>
        </is>
      </c>
      <c r="E10" s="70" t="inlineStr">
        <is>
          <t>en.aau.dk/how-and-when-to-apply</t>
        </is>
      </c>
    </row>
    <row r="11">
      <c r="A11" s="22" t="inlineStr">
        <is>
          <t>۱۵ ژانویه ۲۰۲۷</t>
        </is>
      </c>
      <c r="B11" s="103" t="inlineStr">
        <is>
          <t>⛔ مهلت اصلی ۱: سوئد + دانمارک + Stuttgart</t>
        </is>
      </c>
      <c r="C11" s="105" t="inlineStr">
        <is>
          <t>سوئد، دانمارک، آلمان</t>
        </is>
      </c>
      <c r="D11" s="77" t="inlineStr">
        <is>
          <t>سوئد (همهٔ دانشگاه‌ها: Linköping، Halmstad، BTH، Chalmers، KTH، Uppsala، Umeå، Skövde)؛ AAU (fee-paying)، Aarhus، DTU (الگوی ۱۵ ژانویه برای غیر-EU)؛ Stuttgart MSc Computer Science / INFOTECH.</t>
        </is>
      </c>
      <c r="E11" s="100" t="inlineStr">
        <is>
          <t>umu.se و uu.se key dates؛ en.aau.dk؛ uni-stuttgart.de</t>
        </is>
      </c>
    </row>
    <row r="12">
      <c r="A12" s="22" t="inlineStr">
        <is>
          <t>۳۱ ژانویه ۲۰۲۷</t>
        </is>
      </c>
      <c r="B12" s="37" t="inlineStr">
        <is>
          <t>مهلت بورس Radboud</t>
        </is>
      </c>
      <c r="C12" s="107" t="inlineStr">
        <is>
          <t>هلند</t>
        </is>
      </c>
      <c r="D12" s="37" t="inlineStr">
        <is>
          <t>Radboud Scholarship Programme (≈۳۳ نفر؛ شهریه به $3,070 می‌رسد) — اپلای اصلی هم باید تا این تاریخ کامل باشد.</t>
        </is>
      </c>
      <c r="E12" s="70" t="inlineStr">
        <is>
          <t>ru.nl deadlines</t>
        </is>
      </c>
    </row>
    <row r="13">
      <c r="A13" s="22" t="inlineStr">
        <is>
          <t>۱ فوریه ۲۰۲۷</t>
        </is>
      </c>
      <c r="B13" s="103" t="inlineStr">
        <is>
          <t>⛔ مهلت اصلی ۲</t>
        </is>
      </c>
      <c r="C13" s="107" t="inlineStr">
        <is>
          <t>سوئد، دانمارک، هلند</t>
        </is>
      </c>
      <c r="D13" s="77" t="inlineStr">
        <is>
          <t>سوئد: مدارک + $91 روی universityadmissions.se؛ SDU (غیر-EU)؛ Twente: برای بورس UTS (۱ آوریل) اپلای را تا اوایل فوریه بفرستید.</t>
        </is>
      </c>
      <c r="E13" s="100" t="inlineStr">
        <is>
          <t>universityadmissions.se؛ sdu.dk/datalogi؛ utwente.nl</t>
        </is>
      </c>
    </row>
    <row r="14">
      <c r="A14" s="22" t="inlineStr">
        <is>
          <t>۲۸ فوریه ۲۰۲۷</t>
        </is>
      </c>
      <c r="B14" s="103" t="inlineStr">
        <is>
          <t>⛔ مهلت ویزایی‌ها: UZH و Fribourg</t>
        </is>
      </c>
      <c r="C14" s="104" t="inlineStr">
        <is>
          <t>سوئیس</t>
        </is>
      </c>
      <c r="D14" s="37" t="inlineStr">
        <is>
          <t>UZH (MSc Informatics — Reach) و Fribourg (Joint MSc CS — Target) برای متقاضیانی که ویزا لازم دارند ۲۸ فوریه می‌بندند (بدون ویزا ۳۰ آوریل). UZH: $180، فقط یک برنامه در هر ترم.</t>
        </is>
      </c>
      <c r="E14" s="70" t="inlineStr">
        <is>
          <t>oec.uzh.ch (FAQ Master's Admission)؛ mastersportal/unifr.ch</t>
        </is>
      </c>
    </row>
    <row r="15">
      <c r="A15" s="22" t="inlineStr">
        <is>
          <t>فوریه – مارس ۲۰۲۷</t>
        </is>
      </c>
      <c r="B15" s="77" t="inlineStr">
        <is>
          <t>اپلای انگلستان + پرونده‌های سوئیس</t>
        </is>
      </c>
      <c r="C15" s="104" t="inlineStr">
        <is>
          <t>انگلستان، سوئیس</t>
        </is>
      </c>
      <c r="D15" s="77" t="inlineStr">
        <is>
          <t>انگلستان rolling است ولی زود اپلای کنید: بورس‌ها (Brunel، Northumbria) و ظرفیت‌ها زود پر می‌شود. سوئیس: پرونده‌های USI (Informatics / AI / Software &amp; Data Eng)، Neuchâtel/Bern، Basel و ZHAW را همین ماه‌ها بفرستید تا قبل از مهلت ۳۰ آوریل بررسی شوند (HSLU: ویزایی‌ها تا ۱ آوریل)؛ ریزنمرات و دانشنامه باید ترجمهٔ رسمی/تأییدشده باشند.</t>
        </is>
      </c>
      <c r="E15" s="100" t="inlineStr">
        <is>
          <t>سایت دانشگاه‌ها</t>
        </is>
      </c>
    </row>
    <row r="16">
      <c r="A16" s="22" t="inlineStr">
        <is>
          <t>۳۰ مارس – ۱ آوریل ۲۰۲۷</t>
        </is>
      </c>
      <c r="B16" s="37" t="inlineStr">
        <is>
          <t>نتایج سوئد</t>
        </is>
      </c>
      <c r="C16" s="102" t="inlineStr">
        <is>
          <t>سوئد</t>
        </is>
      </c>
      <c r="D16" s="37" t="inlineStr">
        <is>
          <t>پاسخ به پیشنهاد در مهلت؛ قسط اول شهریه قبل از درخواست اقامت تحصیلی.</t>
        </is>
      </c>
      <c r="E16" s="70" t="inlineStr">
        <is>
          <t>universityadmissions.se</t>
        </is>
      </c>
    </row>
    <row r="17">
      <c r="A17" s="22" t="inlineStr">
        <is>
          <t>۱ آوریل ۲۰۲۷</t>
        </is>
      </c>
      <c r="B17" s="103" t="inlineStr">
        <is>
          <t>⛔ مهلت اصلی ۳</t>
        </is>
      </c>
      <c r="C17" s="104" t="inlineStr">
        <is>
          <t>هلند، آلمان، سوئیس</t>
        </is>
      </c>
      <c r="D17" s="77" t="inlineStr">
        <is>
          <t>Radboud غیر-EU (اپلای اصلی)؛ UvA MSc Software Engineering (غیر-EU ≈ ۱ آوریل — از صفحهٔ برنامه چک کنید)؛ بورس UTS Twente؛ HSLU Applied Data Science &amp; AI — مهلت رسمی متقاضیان ویزا (Swiss/EU تا ۱ ژوئن)؛ پنجرهٔ Passau AI Engineering باز می‌شود (۱ آوریل – ۳۱ می).</t>
        </is>
      </c>
      <c r="E17" s="100" t="inlineStr">
        <is>
          <t>ru.nl؛ utwente.nl؛ uni-passau.de</t>
        </is>
      </c>
    </row>
    <row r="18">
      <c r="A18" s="22" t="inlineStr">
        <is>
          <t>۱۵ آوریل ۲۰۲۷</t>
        </is>
      </c>
      <c r="B18" s="37" t="inlineStr">
        <is>
          <t>دور دوم سوئد (فقط پشتیبان)</t>
        </is>
      </c>
      <c r="C18" s="102" t="inlineStr">
        <is>
          <t>سوئد</t>
        </is>
      </c>
      <c r="D18" s="37" t="inlineStr">
        <is>
          <t>۱۵ مارس – ۱۵ آوریل؛ مدارک تا ۲۱ ژوئن؛ نتیجه ۹ ژوئیه — برای اقامت و خوابگاه دیر است.</t>
        </is>
      </c>
      <c r="E18" s="70" t="inlineStr">
        <is>
          <t>umu.se key dates</t>
        </is>
      </c>
    </row>
    <row r="19">
      <c r="A19" s="22" t="inlineStr">
        <is>
          <t>۱ می ۲۰۲۷</t>
        </is>
      </c>
      <c r="B19" s="103" t="inlineStr">
        <is>
          <t>⛔ مهلت Twente (غیر-EEA)</t>
        </is>
      </c>
      <c r="C19" s="107" t="inlineStr">
        <is>
          <t>هلند</t>
        </is>
      </c>
      <c r="D19" s="77" t="inlineStr">
        <is>
          <t>MSc Computer Science / Embedded Systems / Interaction Technology.</t>
        </is>
      </c>
      <c r="E19" s="100" t="inlineStr">
        <is>
          <t>utwente.nl (به نقل از collegedunia، اوت ۲۰۲۶)</t>
        </is>
      </c>
    </row>
    <row r="20">
      <c r="A20" s="22" t="inlineStr">
        <is>
          <t>۳۰ آوریل ۲۰۲۷</t>
        </is>
      </c>
      <c r="B20" s="103" t="inlineStr">
        <is>
          <t>⛔ مهلت اصلی سوئیس (غیر-EU)</t>
        </is>
      </c>
      <c r="C20" s="104" t="inlineStr">
        <is>
          <t>سوئیس</t>
        </is>
      </c>
      <c r="D20" s="37" t="inlineStr">
        <is>
          <t>USI (Informatics / AI / Software &amp; Data Engineering — مهلت غیر-EU)، Neuchâtel و Bern (Joint MSc CS؛ Neuchâtel: خارجی‌ها تا ۳۱ مارس بفرستند؛ ویزایی‌ها مهلت دیرهنگام ندارند)، Basel (رسمی)، ZHAW MSE (پایان آوریل)؛ HSLU زودتر است: ۱ آوریل. پاسخ‌ها می–ژوئن؛ بلافاصله وقت ویزای D را در سفارت تهران بگیرید — تصمیم با ادارهٔ مهاجرت کانتون، ۸–۱۲ هفته؛ برای Ticino/Neuchâtel/Fribourg/Bern/Lucerne قبلش نوع مدرک تمکن قابل قبول را بپرسید.</t>
        </is>
      </c>
      <c r="E20" s="70" t="inlineStr">
        <is>
          <t>usi.ch؛ unibe.ch؛ zhaw.ch؛ eda.admin.ch/tehran</t>
        </is>
      </c>
    </row>
    <row r="21">
      <c r="A21" s="22" t="inlineStr">
        <is>
          <t>۱۵ – ۳۱ می ۲۰۲۷</t>
        </is>
      </c>
      <c r="B21" s="77" t="inlineStr">
        <is>
          <t>مهلت‌های آلمان</t>
        </is>
      </c>
      <c r="C21" s="105" t="inlineStr">
        <is>
          <t>آلمان</t>
        </is>
      </c>
      <c r="D21" s="77" t="inlineStr">
        <is>
          <t>Passau AI Eng ۳۱ می؛ بقیهٔ آلمان (TU Darmstadt، TU Dresden، Saarland، RPTU، Chemnitz، OVGU، FAU) بیشتر بین ۱۵ می تا ۱۵ ژوئیه — هر کدام را جدا چک کنید.</t>
        </is>
      </c>
      <c r="E21" s="100" t="inlineStr">
        <is>
          <t>uni-passau.de؛ سایت دانشگاه‌ها</t>
        </is>
      </c>
    </row>
    <row r="22">
      <c r="A22" s="22" t="inlineStr">
        <is>
          <t>می – ژوئن ۲۰۲۷</t>
        </is>
      </c>
      <c r="B22" s="37" t="inlineStr">
        <is>
          <t>💰 پول باید نقد و قابل انتقال باشد</t>
        </is>
      </c>
      <c r="C22" s="37" t="inlineStr">
        <is>
          <t>همه</t>
        </is>
      </c>
      <c r="D22" s="37" t="inlineStr">
        <is>
          <t>SDU: یک سال شهریه پیش‌پرداخت ($19,700)؛ سوئد: قسط ترم اول + تمکن $1,080 × ماه‌ها؛ هلند: شهریه + $15,500 زندگی به حساب دانشگاه (Radboud تا ۱ ژوئن)؛ آلمان: حساب مسدود $13,600 (Fintiba ایران را نمی‌پذیرد → Expatrio/Coracle) + Stuttgart $1,710؛ سوئیس: $25,400 برای سال اول (Basel $29,000) + شهریهٔ ترم اول (USI $4,840؛ ETH/EPFL ≈ $2,710؛ بقیه ≈ $1,090–1,570) — در کانتون زوریخ فقط در بانک سوئیسی به نام خودتان یا با ضامن مقیم؛ انگلستان: ودیعه → CAS + $1,590 × ۹ ماه. انتقال از کشور ثالث/صرافی ۳–۶٪ هزینه.</t>
        </is>
      </c>
      <c r="E22" s="70" t="inlineStr">
        <is>
          <t>ردیف ۲۵ جدول اصلی</t>
        </is>
      </c>
    </row>
    <row r="23">
      <c r="A23" s="22" t="inlineStr">
        <is>
          <t>۱ ژوئن ۲۰۲۷</t>
        </is>
      </c>
      <c r="B23" s="77" t="inlineStr">
        <is>
          <t>مهلت ثبت‌نام/ویزای Radboud</t>
        </is>
      </c>
      <c r="C23" s="107" t="inlineStr">
        <is>
          <t>هلند</t>
        </is>
      </c>
      <c r="D23" s="77" t="inlineStr">
        <is>
          <t>برای شروع سپتامبر (غیر-EU)؛ درخواست MVV را دانشگاه از طرف شما به IND می‌دهد.</t>
        </is>
      </c>
      <c r="E23" s="100" t="inlineStr">
        <is>
          <t>ru.nl deadlines</t>
        </is>
      </c>
    </row>
    <row r="24">
      <c r="A24" s="22" t="inlineStr">
        <is>
          <t>ژوئن – ژوئیه ۲۰۲۷</t>
        </is>
      </c>
      <c r="B24" s="37" t="inlineStr">
        <is>
          <t>🛂 ویزا / برنامهٔ B</t>
        </is>
      </c>
      <c r="C24" s="37" t="inlineStr">
        <is>
          <t>همه</t>
        </is>
      </c>
      <c r="D24" s="37" t="inlineStr">
        <is>
          <t>وضعیت تهران (سپتامبر ۲۰۲۶): آلمان حالت اضطراری، هلند از باکو، دانمارک «از ایران ممکن نیست»، انگلستان VFS متناوب؛ سوئد بدون بیومتریک (آنلاین)؛ سوئیس: سفارت تهران باز و ویزای D با وقت قبلی (تصمیم کانتون ۸–۱۲ هفته — پس درخواست را در می–ژوئن بدهید). یعنی برای DE/DK/UK سفر به ترکیه/ارمنستان/امارات را (۲–۶ هفته) در بودجه و تقویم بگذارید.</t>
        </is>
      </c>
      <c r="E24" s="70" t="inlineStr">
        <is>
          <t>ردیف ۲۳ جدول اصلی</t>
        </is>
      </c>
    </row>
    <row r="25">
      <c r="A25" s="22" t="inlineStr">
        <is>
          <t>ژوئیه ۲۰۲۷</t>
        </is>
      </c>
      <c r="B25" s="77" t="inlineStr">
        <is>
          <t>خوابگاه</t>
        </is>
      </c>
      <c r="C25" s="37" t="inlineStr">
        <is>
          <t>همه</t>
        </is>
      </c>
      <c r="D25" s="77" t="inlineStr">
        <is>
          <t>Twente/Radboud اتاق رزروشده برای بین‌المللی‌ها (مهلت‌دار)؛ Linköping یک پیشنهاد اتاق برای شهریه‌پردازها؛ آلمان لیست Studierendenwerk بلافاصله بعد از پذیرش؛ انگلستان خوابگاه دانشگاه زود پر می‌شود؛ سوئیس: WOKO/Juwo زوریخ و FMEL لوزان لیست انتظار طولانی — روز پذیرش ثبت‌نام کنید؛ Lugano/Fribourg/Neuchâtel/Bern/Lucerne آسان‌تر.</t>
        </is>
      </c>
      <c r="E25" s="100" t="inlineStr">
        <is>
          <t>ردیف‌های ۹–۱۰ جدول اصلی</t>
        </is>
      </c>
    </row>
    <row r="26">
      <c r="A26" s="22" t="inlineStr">
        <is>
          <t>اوت – اکتبر ۲۰۲۷</t>
        </is>
      </c>
      <c r="B26" s="37" t="inlineStr">
        <is>
          <t>شروع</t>
        </is>
      </c>
      <c r="C26" s="37" t="inlineStr">
        <is>
          <t>همه</t>
        </is>
      </c>
      <c r="D26" s="37" t="inlineStr">
        <is>
          <t>سوئد ≈ ۳۰ اوت؛ دانمارک ۱ سپتامبر؛ هلند اوایل سپتامبر؛ سوئیس اواسط سپتامبر (ETH ۲۰ سپتامبر؛ USI/HSLU هفتهٔ ۳۸)؛ انگلستان اواسط تا اواخر سپتامبر؛ آلمان ترم زمستان از ۱ اکتبر (کلاس‌ها ≈ اواسط اکتبر).</t>
        </is>
      </c>
      <c r="E26" s="70" t="inlineStr">
        <is>
          <t>—</t>
        </is>
      </c>
    </row>
    <row r="27"/>
    <row r="28" ht="64" customHeight="1">
      <c r="A28" s="101" t="inlineStr">
        <is>
          <t>جمع‌بندی: ورودی سپتامبر ۲۰۲۷ شدنی است، فقط اگر (۱) IELTS تا دسامبر ۲۰۲۶ خارج از ایران گرفته شود، (۲) پول سال اول تا می ۲۰۲۷ نقد و قابل انتقال باشد، (۳) وضعیت نظام‌وظیفه/مجوز خروج روشن باشد. ETH (۳۰ نوامبر)، سوئد، دانمارک و Stuttgart (۱۵ ژانویه) سخت‌ترین‌اند؛ سوئیسِ واقع‌بینانه (USI/Bern/Basel/ZHAW تا ۳۰ آوریل؛ UZH/Fribourg ۲۸ فوریه)، انگلستان، هلند و بیشتر آلمان تا بهار ۲۰۲۷ وقت دارند — اگر IELTS به ژانویه نرسید، تمرکز را روی این‌ها بگذارید. مهلت‌های علامت «≈» از منابع ثانویه‌اند؛ تاریخ دقیق را از صفحهٔ برنامه بگیرید.</t>
        </is>
      </c>
    </row>
  </sheetData>
  <mergeCells count="1">
    <mergeCell ref="A28:E28"/>
  </mergeCells>
  <pageMargins left="0.75" right="0.75" top="1" bottom="1" header="0.5" footer="0.5"/>
  <pageSetup orientation="landscape" fitToHeight="0" fitToWidth="1"/>
</worksheet>
</file>

<file path=xl/worksheets/sheet6.xml><?xml version="1.0" encoding="utf-8"?>
<worksheet xmlns="http://schemas.openxmlformats.org/spreadsheetml/2006/main">
  <sheetPr>
    <tabColor rgb="002E75B6"/>
    <outlinePr summaryBelow="1" summaryRight="1"/>
    <pageSetUpPr fitToPage="1"/>
  </sheetPr>
  <dimension ref="A1:I123"/>
  <sheetViews>
    <sheetView showGridLines="0" rightToLeft="1" tabSelected="0" workbookViewId="0">
      <pane xSplit="1" ySplit="1" topLeftCell="B2"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46" customWidth="1" min="3" max="3"/>
    <col width="18" customWidth="1" min="4" max="4"/>
    <col width="46" customWidth="1" min="5" max="5"/>
    <col width="34" customWidth="1" min="6" max="6"/>
    <col width="40" customWidth="1" min="7" max="7"/>
    <col width="50" customWidth="1" min="8" max="8"/>
    <col width="30" customWidth="1" min="9" max="9"/>
  </cols>
  <sheetData>
    <row r="1" ht="40" customHeight="1">
      <c r="A1" s="15" t="inlineStr">
        <is>
          <t>کشور</t>
        </is>
      </c>
      <c r="B1" s="15" t="inlineStr">
        <is>
          <t>چه کسی خوابگاه می‌دهد؟</t>
        </is>
      </c>
      <c r="C1" s="15" t="inlineStr">
        <is>
          <t>تضمین برای دانشجوی ارشد بین‌المللی؟</t>
        </is>
      </c>
      <c r="D1" s="15" t="inlineStr">
        <is>
          <t>هزینه‌اش داخل شهریه است؟</t>
        </is>
      </c>
      <c r="E1" s="15" t="inlineStr">
        <is>
          <t>اجارهٔ خوابگاه (ماهانه، معمولاً با قبوض)</t>
        </is>
      </c>
      <c r="F1" s="15" t="inlineStr">
        <is>
          <t>غذا (catered)؟</t>
        </is>
      </c>
      <c r="G1" s="15" t="inlineStr">
        <is>
          <t>اگر خوابگاه نشد: اتاق/خانهٔ خصوصی (ماهانه)</t>
        </is>
      </c>
      <c r="H1" s="15" t="inlineStr">
        <is>
          <t>زمان اقدام، ودیعه، ضامن — نکات ایرانی‌ها</t>
        </is>
      </c>
      <c r="I1" s="15" t="inlineStr">
        <is>
          <t>منبع</t>
        </is>
      </c>
    </row>
    <row r="2">
      <c r="A2" s="108" t="inlineStr">
        <is>
          <t>آلمان 🇩🇪</t>
        </is>
      </c>
      <c r="B2" s="37" t="inlineStr">
        <is>
          <t>Studierendenwerk (نهاد عمومی هر شهر)؛ خودِ دانشگاه خوابگاه ندارد. ۱,۷۰۰ خوابگاه / ≈ ۱۹۶ هزار جا در کل کشور</t>
        </is>
      </c>
      <c r="C2" s="71" t="inlineStr">
        <is>
          <t>❌ هیچ تضمینی؛ لیست انتظار. Stuttgart: معمولاً ۶–۸ ماه برای ترم زمستان · Darmstadt/Aachen سخت · Dresden، Chemnitz، Magdeburg، Passau، Saarbrücken راحت‌تر. بلافاصله بعد از پذیرش (قبل از ویزا) در لیست بنویسید</t>
        </is>
      </c>
      <c r="D2" s="71" t="inlineStr">
        <is>
          <t>❌ جدا (شهریه‌ای هم نیست)</t>
        </is>
      </c>
      <c r="E2" s="37" t="inlineStr">
        <is>
          <t>میانگین ملی ≈ $350–375 با همهٔ قبوض (DSW) · Stuttgart میانگین $395 (بازهٔ $260–570) · شرق آلمان $250–375</t>
        </is>
      </c>
      <c r="F2" s="71" t="inlineStr">
        <is>
          <t>❌ بدون غذا؛ Mensa ناهار $3–6</t>
        </is>
      </c>
      <c r="G2" s="37" t="inlineStr">
        <is>
          <t>اتاق در WG: Stuttgart/Darmstadt/Aachen/Erlangen $515–800 · Dresden/Chemnitz/Magdeburg/Passau/Saarbrücken $320–515 · آپارتمان یک‌خوابه $685–1,140</t>
        </is>
      </c>
      <c r="H2" s="37" t="inlineStr">
        <is>
          <t>ودیعهٔ ۲–۳ اجاره · بدون آدرس رسمی (Anmeldung) کارت اقامت نمی‌گیرید → قبل از پرواز حداقل اقامت موقت رزرو کنید · WGهای خصوصی معمولاً SCHUFA نمی‌خواهند ولی مصاحبهٔ ویدئویی و گواهی حساب مسدود کمک می‌کند</t>
        </is>
      </c>
      <c r="I2" s="70" t="inlineStr">
        <is>
          <t>studierendenwerke.de؛ studierendenwerk-stuttgart.de؛ hdm-stuttgart.de</t>
        </is>
      </c>
    </row>
    <row r="3">
      <c r="A3" s="109" t="inlineStr">
        <is>
          <t>هلند 🇳🇱</t>
        </is>
      </c>
      <c r="B3" s="37" t="inlineStr">
        <is>
          <t>دانشگاه‌ها خوابگاه ندارند؛ با شرکت‌های مسکن دانشجویی (SSH، Roomspot/De Veste، Vestide، Plaza) تعدادی اتاق «رزرو» می‌کنند</t>
        </is>
      </c>
      <c r="C3" s="71" t="inlineStr">
        <is>
          <t>❌ نه. Twente: پیشنهاد اتاق برای دانشجویان ویزایی از طریق Roomspot، اول‌آمده‌اول‌گرفته · Radboud: «کمک مسکن» با فرم PAS تا ۱ ژوئن، اتاق مبلهٔ $420–740، بدون تضمین · Utrecht: استودیوهای رزروشدهٔ ارشد در ۲۸ می ۲۰۲۶ همه تمام شد · UvA/Delft/Leiden: قرعه‌کشی</t>
        </is>
      </c>
      <c r="D3" s="71" t="inlineStr">
        <is>
          <t>❌ جدا</t>
        </is>
      </c>
      <c r="E3" s="77" t="inlineStr">
        <is>
          <t>Enschede/Nijmegen $420–740 · Eindhoven/Utrecht $570–990 (Utrecht Plaza: $990 با قبوض) · Amsterdam/Delft/Leiden $800–1,250</t>
        </is>
      </c>
      <c r="F3" s="71" t="inlineStr">
        <is>
          <t>❌</t>
        </is>
      </c>
      <c r="G3" s="77" t="inlineStr">
        <is>
          <t>اتاق $570–1,030 · استودیو $1,030–1,600 · بحران ملی مسکن؛ بدون اتاق ثبت‌نام BSN و بانک هم گیر می‌کند</t>
        </is>
      </c>
      <c r="H3" s="77" t="inlineStr">
        <is>
          <t>بعضی ارائه‌دهنده‌ها ۳ ماه اجاره پیش می‌گیرند · ودیعه ۱–۲ ماه (Utrecht: $1,490) · قرارداد ۱۲ ماههٔ غیرقابل فسخ · کلاهبرداری آنلاین زیاد: فقط از کانال دانشگاه/SSH</t>
        </is>
      </c>
      <c r="I3" s="100" t="inlineStr">
        <is>
          <t>ru.nl؛ sshn.nl؛ uu.nl؛ utwente.nl (issuu)</t>
        </is>
      </c>
    </row>
    <row r="4">
      <c r="A4" s="110" t="inlineStr">
        <is>
          <t>سوئد 🇸🇪</t>
        </is>
      </c>
      <c r="B4" s="37" t="inlineStr">
        <is>
          <t>شرکت‌های مسکن دانشجویی/شهرداری (SGS گوتنبرگ، SSSB استکهلم، Studentbostäder لینشوپینگ…)؛ بعضی دانشگاه‌ها برای «شهریه‌پردازها» سهمیه دارند</t>
        </is>
      </c>
      <c r="C4" s="39" t="inlineStr">
        <is>
          <t>✅ Uppsala: تضمین رسمی برای شهریه‌پردازها · LiU: یک پیشنهاد اتاق برای سال اول · KTH/Stockholm University: ❌ · Halmstad: «تضمین نمی‌کند» · Chalmers/MDU/BTH/Skövde: سهمیه یا صف — بلافاصله بعد از پرداخت شهریه اقدام کنید</t>
        </is>
      </c>
      <c r="D4" s="71" t="inlineStr">
        <is>
          <t>❌ جدا</t>
        </is>
      </c>
      <c r="E4" s="37" t="inlineStr">
        <is>
          <t>اتاق کریدوری $355–655 (Stockholm $455–810؛ Linköping/Halmstad/Västerås/Karlskrona/Skövde ارزان‌تر)</t>
        </is>
      </c>
      <c r="F4" s="71" t="inlineStr">
        <is>
          <t>❌</t>
        </is>
      </c>
      <c r="G4" s="37" t="inlineStr">
        <is>
          <t>اتاق $505–810 · آپارتمان کوچک $810–1,310 · در استکهلم/گوتنبرگ بدون صف چندساله تقریباً غیرممکن</t>
        </is>
      </c>
      <c r="H4" s="37" t="inlineStr">
        <is>
          <t>بدون شمارهٔ ملی (personnummer) اجارهٔ خصوصی سخت است؛ اجارهٔ دست‌دوم (andrahand) رایج و پرکلاهبرداری · ودیعه معمولاً ۱ ماه</t>
        </is>
      </c>
      <c r="I4" s="70" t="inlineStr">
        <is>
          <t>uu.se؛ liu.se؛ hh.se؛ su.se</t>
        </is>
      </c>
    </row>
    <row r="5">
      <c r="A5" s="111" t="inlineStr">
        <is>
          <t>دانمارک 🇩🇰</t>
        </is>
      </c>
      <c r="B5" s="37" t="inlineStr">
        <is>
          <t>دفتر مسکن بین‌الملل دانشگاه (AAU، SDU، AU) + خوابگاه‌های kollegium و شرکت‌های عمومی (KKIK/CIU در کپنهاگ)</t>
        </is>
      </c>
      <c r="C5" s="77" t="inlineStr">
        <is>
          <t>AAU Aalborg: «تقریباً ۱۰۰٪» (دفتر مسکن بین‌الملل، ۲۲۰+ واحد مبله) · AAU Copenhagen: ❌ صریحاً «بدون تضمین» · SDU Odense: کمک، بدون تضمین · ITU/DTU/KU کپنهاگ: ❌</t>
        </is>
      </c>
      <c r="D5" s="71" t="inlineStr">
        <is>
          <t>❌ جدا</t>
        </is>
      </c>
      <c r="E5" s="77" t="inlineStr">
        <is>
          <t>Aalborg $490–720 (میانگین $605؛ اینترنت/آب/گرمایش/برق داخل) · Odense $535–840 · Copenhagen $535–915 (KKIK/CIU) تا $765–1,370 (خوابگاه خصوصی/co-living)</t>
        </is>
      </c>
      <c r="F5" s="71" t="inlineStr">
        <is>
          <t>❌</t>
        </is>
      </c>
      <c r="G5" s="77" t="inlineStr">
        <is>
          <t>Aalborg/Odense اتاق $535–765 · Copenhagen آپارتمان از $1,070+</t>
        </is>
      </c>
      <c r="H5" s="77" t="inlineStr">
        <is>
          <t>AAU اجاره را سه‌ماهه می‌گیرد · ودیعه تا ۳ ماه · کمک‌هزینهٔ مسکن دولتی برای دانشجوی بین‌المللی ممنوع (گرفتنش = لغو اقامت)</t>
        </is>
      </c>
      <c r="I5" s="100" t="inlineStr">
        <is>
          <t>en.aau.dk؛ sdu.dk</t>
        </is>
      </c>
    </row>
    <row r="6">
      <c r="A6" s="112" t="inlineStr">
        <is>
          <t>سوئیس 🇨🇭</t>
        </is>
      </c>
      <c r="B6" s="37" t="inlineStr">
        <is>
          <t>تعاونی‌های خوابگاه (WOKO/Juwo زوریخ، FMEL لوزان، خوابگاه‌های USI لوگانو، WoVe بازل، StuWo برن…)؛ دانشگاه فقط معرفی می‌کند</t>
        </is>
      </c>
      <c r="C6" s="71" t="inlineStr">
        <is>
          <t>❌ هیچ‌جا. زوریخ لیست انتظار ۳–۱۲ ماه — روز پذیرش ثبت‌نام کنید · لوزان FMEL زود پر می‌شود · لوگانو/فریبورگ/نوشاتل/برن/لوسرن آسان‌تر</t>
        </is>
      </c>
      <c r="D6" s="71" t="inlineStr">
        <is>
          <t>❌ جدا</t>
        </is>
      </c>
      <c r="E6" s="37" t="inlineStr">
        <is>
          <t>WOKO زوریخ $580–1,090 · FMEL ≈ $605–1,090 · USI/Bern/Fribourg/Neuchâtel/Luzern ≈ $545–970</t>
        </is>
      </c>
      <c r="F6" s="71" t="inlineStr">
        <is>
          <t>❌ (Mensa ناهار $8–15)</t>
        </is>
      </c>
      <c r="G6" s="37" t="inlineStr">
        <is>
          <t>اتاق در WG: زوریخ $845–1,450، بقیه $725–1,090 · استودیو $1,450–2,180</t>
        </is>
      </c>
      <c r="H6" s="37" t="inlineStr">
        <is>
          <t>ودیعهٔ ۲–۳ ماه · اجارهٔ خصوصی زوریخ اغلب گواهی عدم بدهی (Betreibungsauszug) + ضامن یا بیمهٔ ودیعه می‌خواهد · اجازهٔ اقامت به آدرس ثبت‌شده وابسته است</t>
        </is>
      </c>
      <c r="I6" s="70" t="inlineStr">
        <is>
          <t>woko.ch؛ fmel.ch؛ برآوردهای ردیف ۱۰ جدول اصلی</t>
        </is>
      </c>
    </row>
    <row r="7">
      <c r="A7" s="113" t="inlineStr">
        <is>
          <t>انگلستان 🇬🇧</t>
        </is>
      </c>
      <c r="B7" s="37" t="inlineStr">
        <is>
          <t>خودِ دانشگاه (halls) + خوابگاه‌های خصوصی PBSA (Unite، iQ، Student Roost…)</t>
        </is>
      </c>
      <c r="C7" s="39" t="inlineStr">
        <is>
          <t>✅ در بسیاری از دانشگاه‌ها برای ارشد، اگر تا مهلت اقدام کنید: York (تا ۳۱ ژوئیه)، Essex (برای کل دوره)، Brunel (همهٔ دانشجویان جدید؛ مهلت ۱۵ مارس!)، Teesside/Northumbria/Newcastle/Sheffield/Lancaster معمولاً بله (تأیید کنید) · ❌ Imperial، UCL، KCL، Durham (کالج‌ها برای PG بدون تضمین)، Warwick محدود</t>
        </is>
      </c>
      <c r="D7" s="71" t="inlineStr">
        <is>
          <t>❌ همیشه جدا؛ قرارداد ۴۰–۵۱ هفته؛ قبوض و اینترنت داخل</t>
        </is>
      </c>
      <c r="E7" s="77" t="inlineStr">
        <is>
          <t>شمال (رسمی 2026/27): Teesside $115–210 · Northumbria $125–210 · Newcastle $155–320 · Sheffield PG $240–275 · Lancaster $185–275 · York $245–295 (۵۱ هفته = $12.6–15.1k/سال) · Durham PG $240–265 self-catered · جنوب/لندن: Essex $225–265 (رسمی) · Brunel $240–280 (رسمی) · UCL/KCL ≈ $250–465 · Imperial $280–545. یعنی ماهانه ≈ $530–930 شمال، $860–1,330 جنوب، $1,190–2,390 لندن</t>
        </is>
      </c>
      <c r="F7" s="39" t="inlineStr">
        <is>
          <t>✅ «catered halls» وجود دارد ولی عمدتاً برای سال اول کارشناسی. برای ارشد: Durham (کالج‌های catered: صبحانه+ناهار+شام فقط در هفته‌های ترم ≈ ۳۰ هفته؛ ≈ $345/هفته = $13.5k/سال؛ سهم غذا ≈ $4,090) · Northumbria گزینهٔ catered دارد · York، Essex، Brunel، Newcastle، Teesside برای PG فقط self-catered</t>
        </is>
      </c>
      <c r="G7" s="77" t="inlineStr">
        <is>
          <t>اتاق در خانهٔ مشترک: شمال $595–860/ماه · Colchester/Coventry/York $730–995 · لندن $1,190–1,860 · PBSA خصوصی $185–385/هفته شمال، $360–595 لندن</t>
        </is>
      </c>
      <c r="H7" s="77" t="inlineStr">
        <is>
          <t>مزیت بزرگ برای ایرانی: خوابگاه دانشگاه ضامن بریتانیایی نمی‌خواهد (اجارهٔ خصوصی معمولاً ضامن UK یا ۶–۱۲ ماه پیش‌پرداخت؛ خدمات ضامن ≈ $185/ماه) · پیش‌پرداخت $330–665 (Brunel $465/$595) · UCL طرح ضامن دانشگاهی $66 دارد؛ Imperial فقط برای UG/PhD</t>
        </is>
      </c>
      <c r="I7" s="100" t="inlineStr">
        <is>
          <t>york.ac.uk؛ essex.ac.uk؛ brunel.ac.uk؛ ncl.ac.uk؛ northumbria.ac.uk؛ durham.ac.uk؛ palatinate.org.uk</t>
        </is>
      </c>
    </row>
    <row r="8"/>
    <row r="9">
      <c r="A9" s="15" t="inlineStr">
        <is>
          <t>شهر</t>
        </is>
      </c>
      <c r="B9" s="15" t="inlineStr">
        <is>
          <t>کشور</t>
        </is>
      </c>
      <c r="C9" s="15" t="inlineStr">
        <is>
          <t>دانشگاه(های) شیت برنامه‌ها</t>
        </is>
      </c>
      <c r="D9" s="15" t="inlineStr">
        <is>
          <t>چه کسی خوابگاه می‌دهد</t>
        </is>
      </c>
      <c r="E9" s="15" t="inlineStr">
        <is>
          <t>شانس گرفتن خوابگاه برای ارشد بین‌المللی (⭐ تا ⭐⭐⭐⭐⭐) و زمان</t>
        </is>
      </c>
      <c r="F9" s="15" t="inlineStr">
        <is>
          <t>اجارهٔ خوابگاه / ماه</t>
        </is>
      </c>
      <c r="G9" s="15" t="inlineStr">
        <is>
          <t>اتاق خصوصی / ماه</t>
        </is>
      </c>
      <c r="H9" s="15" t="inlineStr">
        <is>
          <t>اعتبار عدد و منبع</t>
        </is>
      </c>
      <c r="I9" s="114" t="n"/>
    </row>
    <row r="10">
      <c r="A10" s="22" t="inlineStr">
        <is>
          <t>Stuttgart</t>
        </is>
      </c>
      <c r="B10" s="46" t="inlineStr">
        <is>
          <t>آلمان</t>
        </is>
      </c>
      <c r="C10" s="37" t="inlineStr">
        <is>
          <t>Universität Stuttgart</t>
        </is>
      </c>
      <c r="D10" s="37" t="inlineStr">
        <is>
          <t>Studierendenwerk Stuttgart</t>
        </is>
      </c>
      <c r="E10" s="115" t="inlineStr">
        <is>
          <t>⭐⭐ کم — لیست انتظار معمول ۶–۸ ماه برای ترم زمستان؛ Esslingen/Göppingen/Ludwigsburg زودتر</t>
        </is>
      </c>
      <c r="F10" s="37" t="inlineStr">
        <is>
          <t>$260–570 با قبوض؛ میانگین DSW 2023: $395 (۲۰۲۶ ≈ +۵–۱۰٪)</t>
        </is>
      </c>
      <c r="G10" s="37" t="inlineStr">
        <is>
          <t>WG $675 (MLP 2025)</t>
        </is>
      </c>
      <c r="H10" s="37" t="inlineStr">
        <is>
          <t>رسمی (Studierendenwerk، MLP)</t>
        </is>
      </c>
      <c r="I10" s="116" t="n"/>
    </row>
    <row r="11">
      <c r="A11" s="22" t="inlineStr">
        <is>
          <t>Erlangen</t>
        </is>
      </c>
      <c r="B11" s="46" t="inlineStr">
        <is>
          <t>آلمان</t>
        </is>
      </c>
      <c r="C11" s="77" t="inlineStr">
        <is>
          <t>FAU</t>
        </is>
      </c>
      <c r="D11" s="77" t="inlineStr">
        <is>
          <t>Studierendenwerk Erlangen-Nürnberg</t>
        </is>
      </c>
      <c r="E11" s="87" t="inlineStr">
        <is>
          <t>⭐⭐⭐ متوسط — ۱–۲ ترم انتظار ممکن؛ Nürnberg هم گزینه</t>
        </is>
      </c>
      <c r="F11" s="77" t="inlineStr">
        <is>
          <t>میانگین DSW 2023: $320 (بازهٔ ≈ $275–435)</t>
        </is>
      </c>
      <c r="G11" s="77" t="inlineStr">
        <is>
          <t>≈ $515–595</t>
        </is>
      </c>
      <c r="H11" s="77" t="inlineStr">
        <is>
          <t>DSW/Statista 2023 رسمی؛ WG برآورد</t>
        </is>
      </c>
      <c r="I11" s="117" t="n"/>
    </row>
    <row r="12">
      <c r="A12" s="22" t="inlineStr">
        <is>
          <t>Darmstadt</t>
        </is>
      </c>
      <c r="B12" s="46" t="inlineStr">
        <is>
          <t>آلمان</t>
        </is>
      </c>
      <c r="C12" s="37" t="inlineStr">
        <is>
          <t>TU Darmstadt</t>
        </is>
      </c>
      <c r="D12" s="37" t="inlineStr">
        <is>
          <t>Studierendenwerk Darmstadt</t>
        </is>
      </c>
      <c r="E12" s="115" t="inlineStr">
        <is>
          <t>⭐⭐ کم — تقاضای بالا (فرانکفورت نزدیک)</t>
        </is>
      </c>
      <c r="F12" s="37" t="inlineStr">
        <is>
          <t>میانگین DSW 2023: $455 — گران‌ترین Studierendenwerk آلمان (بازهٔ ≈ $365–545)</t>
        </is>
      </c>
      <c r="G12" s="37" t="inlineStr">
        <is>
          <t>WG $550 (MLP 2025)</t>
        </is>
      </c>
      <c r="H12" s="37" t="inlineStr">
        <is>
          <t>MLP 2025 + DSW 2023 رسمی</t>
        </is>
      </c>
      <c r="I12" s="116" t="n"/>
    </row>
    <row r="13">
      <c r="A13" s="22" t="inlineStr">
        <is>
          <t>Dresden</t>
        </is>
      </c>
      <c r="B13" s="46" t="inlineStr">
        <is>
          <t>آلمان</t>
        </is>
      </c>
      <c r="C13" s="77" t="inlineStr">
        <is>
          <t>TU Dresden</t>
        </is>
      </c>
      <c r="D13" s="77" t="inlineStr">
        <is>
          <t>Studentenwerk Dresden (ذخیرهٔ بزرگ)</t>
        </is>
      </c>
      <c r="E13" s="39" t="inlineStr">
        <is>
          <t>⭐⭐⭐⭐ بالا — معمولاً ظرف چند هفته تا یک ترم</t>
        </is>
      </c>
      <c r="F13" s="77" t="inlineStr">
        <is>
          <t>میانگین DSW 2023: $315 (بازهٔ ≈ $260–435)</t>
        </is>
      </c>
      <c r="G13" s="77" t="inlineStr">
        <is>
          <t>WG $495 (MLP 2025)</t>
        </is>
      </c>
      <c r="H13" s="77" t="inlineStr">
        <is>
          <t>MLP 2025 + DSW 2023 رسمی</t>
        </is>
      </c>
      <c r="I13" s="117" t="n"/>
    </row>
    <row r="14">
      <c r="A14" s="22" t="inlineStr">
        <is>
          <t>Saarbrücken</t>
        </is>
      </c>
      <c r="B14" s="46" t="inlineStr">
        <is>
          <t>آلمان</t>
        </is>
      </c>
      <c r="C14" s="37" t="inlineStr">
        <is>
          <t>Saarland University</t>
        </is>
      </c>
      <c r="D14" s="37" t="inlineStr">
        <is>
          <t>Studentenwerk Saarland</t>
        </is>
      </c>
      <c r="E14" s="39" t="inlineStr">
        <is>
          <t>⭐⭐⭐⭐ بالا</t>
        </is>
      </c>
      <c r="F14" s="37" t="inlineStr">
        <is>
          <t>میانگین DSW 2023: $375 (بازهٔ ≈ $295–480)</t>
        </is>
      </c>
      <c r="G14" s="37" t="inlineStr">
        <is>
          <t>WG $545 (MLP 2025)</t>
        </is>
      </c>
      <c r="H14" s="37" t="inlineStr">
        <is>
          <t>MLP 2025 + DSW 2023 رسمی</t>
        </is>
      </c>
      <c r="I14" s="116" t="n"/>
    </row>
    <row r="15">
      <c r="A15" s="22" t="inlineStr">
        <is>
          <t>Chemnitz</t>
        </is>
      </c>
      <c r="B15" s="46" t="inlineStr">
        <is>
          <t>آلمان</t>
        </is>
      </c>
      <c r="C15" s="77" t="inlineStr">
        <is>
          <t>TU Chemnitz</t>
        </is>
      </c>
      <c r="D15" s="77" t="inlineStr">
        <is>
          <t>Studentenwerk Chemnitz-Zwickau</t>
        </is>
      </c>
      <c r="E15" s="39" t="inlineStr">
        <is>
          <t>⭐⭐⭐⭐⭐ تقریباً همیشه جا هست</t>
        </is>
      </c>
      <c r="F15" s="77" t="inlineStr">
        <is>
          <t>میانگین DSW 2023: $285 (بازهٔ ≈ $230–375)</t>
        </is>
      </c>
      <c r="G15" s="77" t="inlineStr">
        <is>
          <t>WG $310 (MLP 2025) — ارزان‌ترین آلمان</t>
        </is>
      </c>
      <c r="H15" s="77" t="inlineStr">
        <is>
          <t>MLP 2025 + DSW 2023 رسمی</t>
        </is>
      </c>
      <c r="I15" s="117" t="n"/>
    </row>
    <row r="16">
      <c r="A16" s="22" t="inlineStr">
        <is>
          <t>Passau</t>
        </is>
      </c>
      <c r="B16" s="46" t="inlineStr">
        <is>
          <t>آلمان</t>
        </is>
      </c>
      <c r="C16" s="37" t="inlineStr">
        <is>
          <t>Universität Passau</t>
        </is>
      </c>
      <c r="D16" s="37" t="inlineStr">
        <is>
          <t>Studierendenwerk Niederbayern/Oberpfalz</t>
        </is>
      </c>
      <c r="E16" s="39" t="inlineStr">
        <is>
          <t>⭐⭐⭐⭐ بالا — شهر کوچک، ظرفیت نسبتاً خوب</t>
        </is>
      </c>
      <c r="F16" s="37" t="inlineStr">
        <is>
          <t>میانگین DSW 2023 (Niederbayern/Oberpfalz): $325 (بازهٔ ≈ $275–435)</t>
        </is>
      </c>
      <c r="G16" s="37" t="inlineStr">
        <is>
          <t>≈ $435–515</t>
        </is>
      </c>
      <c r="H16" s="37" t="inlineStr">
        <is>
          <t>DSW/Statista 2023 رسمی؛ WG برآورد</t>
        </is>
      </c>
      <c r="I16" s="116" t="n"/>
    </row>
    <row r="17">
      <c r="A17" s="22" t="inlineStr">
        <is>
          <t>Magdeburg</t>
        </is>
      </c>
      <c r="B17" s="46" t="inlineStr">
        <is>
          <t>آلمان</t>
        </is>
      </c>
      <c r="C17" s="77" t="inlineStr">
        <is>
          <t>OVGU</t>
        </is>
      </c>
      <c r="D17" s="77" t="inlineStr">
        <is>
          <t>Studentenwerk Magdeburg</t>
        </is>
      </c>
      <c r="E17" s="39" t="inlineStr">
        <is>
          <t>⭐⭐⭐⭐⭐ تقریباً همیشه جا هست</t>
        </is>
      </c>
      <c r="F17" s="77" t="inlineStr">
        <is>
          <t>میانگین DSW 2023: $370 — خوابگاه‌های نوساز؛ WG ($385) تقریباً هم‌قیمت خوابگاه است (بازهٔ ≈ $295–455)</t>
        </is>
      </c>
      <c r="G17" s="77" t="inlineStr">
        <is>
          <t>WG $385 (MLP 2025)</t>
        </is>
      </c>
      <c r="H17" s="77" t="inlineStr">
        <is>
          <t>MLP 2025 + DSW 2023 رسمی</t>
        </is>
      </c>
      <c r="I17" s="117" t="n"/>
    </row>
    <row r="18">
      <c r="A18" s="22" t="inlineStr">
        <is>
          <t>Köln</t>
        </is>
      </c>
      <c r="B18" s="46" t="inlineStr">
        <is>
          <t>آلمان</t>
        </is>
      </c>
      <c r="C18" s="37" t="inlineStr">
        <is>
          <t>TH Köln</t>
        </is>
      </c>
      <c r="D18" s="37" t="inlineStr">
        <is>
          <t>Kölner Studierendenwerk</t>
        </is>
      </c>
      <c r="E18" s="115" t="inlineStr">
        <is>
          <t>⭐⭐ کم — شهر بزرگ، صف طولانی</t>
        </is>
      </c>
      <c r="F18" s="37" t="inlineStr">
        <is>
          <t>میانگین DSW 2023: $345 (بازهٔ ≈ $285–480)</t>
        </is>
      </c>
      <c r="G18" s="37" t="inlineStr">
        <is>
          <t>WG $730 (MLP 2025)</t>
        </is>
      </c>
      <c r="H18" s="37" t="inlineStr">
        <is>
          <t>MLP 2025 + DSW 2023 رسمی</t>
        </is>
      </c>
      <c r="I18" s="116" t="n"/>
    </row>
    <row r="19">
      <c r="A19" s="22" t="inlineStr">
        <is>
          <t>Siegen</t>
        </is>
      </c>
      <c r="B19" s="46" t="inlineStr">
        <is>
          <t>آلمان</t>
        </is>
      </c>
      <c r="C19" s="77" t="inlineStr">
        <is>
          <t>Universität Siegen</t>
        </is>
      </c>
      <c r="D19" s="77" t="inlineStr">
        <is>
          <t>Studierendenwerk Siegen</t>
        </is>
      </c>
      <c r="E19" s="39" t="inlineStr">
        <is>
          <t>⭐⭐⭐⭐ بالا</t>
        </is>
      </c>
      <c r="F19" s="77" t="inlineStr">
        <is>
          <t>میانگین DSW 2023: $280 — ارزان‌ترین Studierendenwerk آلمان (بازهٔ ≈ $230–365)</t>
        </is>
      </c>
      <c r="G19" s="77" t="inlineStr">
        <is>
          <t>≈ $375–455</t>
        </is>
      </c>
      <c r="H19" s="77" t="inlineStr">
        <is>
          <t>DSW/Statista 2023 رسمی؛ WG برآورد</t>
        </is>
      </c>
      <c r="I19" s="117" t="n"/>
    </row>
    <row r="20">
      <c r="A20" s="22" t="inlineStr">
        <is>
          <t>Sankt Augustin</t>
        </is>
      </c>
      <c r="B20" s="46" t="inlineStr">
        <is>
          <t>آلمان</t>
        </is>
      </c>
      <c r="C20" s="37" t="inlineStr">
        <is>
          <t>H-BRS</t>
        </is>
      </c>
      <c r="D20" s="37" t="inlineStr">
        <is>
          <t>Studierendenwerk Bonn</t>
        </is>
      </c>
      <c r="E20" s="87" t="inlineStr">
        <is>
          <t>⭐⭐⭐ متوسط (منطقهٔ بن)</t>
        </is>
      </c>
      <c r="F20" s="37" t="inlineStr">
        <is>
          <t>میانگین DSW 2023 (Bonn): $380 (بازهٔ ≈ $310–480)</t>
        </is>
      </c>
      <c r="G20" s="37" t="inlineStr">
        <is>
          <t>≈ $515–595</t>
        </is>
      </c>
      <c r="H20" s="37" t="inlineStr">
        <is>
          <t>DSW/Statista 2023 رسمی؛ WG برآورد</t>
        </is>
      </c>
      <c r="I20" s="116" t="n"/>
    </row>
    <row r="21">
      <c r="A21" s="22" t="inlineStr">
        <is>
          <t>Aachen</t>
        </is>
      </c>
      <c r="B21" s="46" t="inlineStr">
        <is>
          <t>آلمان</t>
        </is>
      </c>
      <c r="C21" s="77" t="inlineStr">
        <is>
          <t>RWTH</t>
        </is>
      </c>
      <c r="D21" s="77" t="inlineStr">
        <is>
          <t>Studierendenwerk Aachen</t>
        </is>
      </c>
      <c r="E21" s="87" t="inlineStr">
        <is>
          <t>⭐⭐⭐ متوسط — ۱–۲ ترم انتظار رایج</t>
        </is>
      </c>
      <c r="F21" s="77" t="inlineStr">
        <is>
          <t>میانگین DSW 2023: $290 (بازهٔ ≈ $250–410)</t>
        </is>
      </c>
      <c r="G21" s="77" t="inlineStr">
        <is>
          <t>WG $550 (MLP 2025)</t>
        </is>
      </c>
      <c r="H21" s="77" t="inlineStr">
        <is>
          <t>MLP 2025 + DSW 2023 رسمی</t>
        </is>
      </c>
      <c r="I21" s="117" t="n"/>
    </row>
    <row r="22">
      <c r="A22" s="22" t="inlineStr">
        <is>
          <t>Tübingen</t>
        </is>
      </c>
      <c r="B22" s="46" t="inlineStr">
        <is>
          <t>آلمان</t>
        </is>
      </c>
      <c r="C22" s="37" t="inlineStr">
        <is>
          <t>Universität Tübingen</t>
        </is>
      </c>
      <c r="D22" s="37" t="inlineStr">
        <is>
          <t>Studierendenwerk Tübingen-Hohenheim</t>
        </is>
      </c>
      <c r="E22" s="87" t="inlineStr">
        <is>
          <t>⭐⭐⭐ متوسط — شهر کوچک و پرتقاضا</t>
        </is>
      </c>
      <c r="F22" s="37" t="inlineStr">
        <is>
          <t>میانگین DSW 2023: $310 (بازهٔ ≈ $260–435)</t>
        </is>
      </c>
      <c r="G22" s="37" t="inlineStr">
        <is>
          <t>WG $530 (MLP 2025)</t>
        </is>
      </c>
      <c r="H22" s="37" t="inlineStr">
        <is>
          <t>MLP 2025 + DSW 2023 رسمی</t>
        </is>
      </c>
      <c r="I22" s="116" t="n"/>
    </row>
    <row r="23">
      <c r="A23" s="22" t="inlineStr">
        <is>
          <t>München</t>
        </is>
      </c>
      <c r="B23" s="46" t="inlineStr">
        <is>
          <t>آلمان</t>
        </is>
      </c>
      <c r="C23" s="77" t="inlineStr">
        <is>
          <t>TUM / LMU</t>
        </is>
      </c>
      <c r="D23" s="77" t="inlineStr">
        <is>
          <t>Studierendenwerk München</t>
        </is>
      </c>
      <c r="E23" s="115" t="inlineStr">
        <is>
          <t>⭐ خیلی کم — انتظار ۲–۴ ترم</t>
        </is>
      </c>
      <c r="F23" s="77" t="inlineStr">
        <is>
          <t>میانگین DSW 2023: $395 (بازهٔ ≈ $340–570)</t>
        </is>
      </c>
      <c r="G23" s="77" t="inlineStr">
        <is>
          <t>WG $900 (MLP 2025) — گران‌ترین آلمان</t>
        </is>
      </c>
      <c r="H23" s="77" t="inlineStr">
        <is>
          <t>MLP 2025 + DSW 2023 رسمی</t>
        </is>
      </c>
      <c r="I23" s="117" t="n"/>
    </row>
    <row r="24">
      <c r="A24" s="118" t="inlineStr">
        <is>
          <t>Enschede</t>
        </is>
      </c>
      <c r="B24" s="119" t="inlineStr">
        <is>
          <t>هلند</t>
        </is>
      </c>
      <c r="C24" s="92" t="inlineStr">
        <is>
          <t>University of Twente</t>
        </is>
      </c>
      <c r="D24" s="92" t="inlineStr">
        <is>
          <t>Roomspot / کمپوس UT</t>
        </is>
      </c>
      <c r="E24" s="120" t="inlineStr">
        <is>
          <t>⭐⭐⭐⭐ بالا — پیشنهاد برای دانشجویان ویزایی (اول‌آمده)؛ خارج از فهرست شهرهای پرفشار Kences</t>
        </is>
      </c>
      <c r="F24" s="92" t="inlineStr">
        <is>
          <t>$340–910 (UT)</t>
        </is>
      </c>
      <c r="G24" s="92" t="inlineStr">
        <is>
          <t>≈ $455 میانگین (Kamernet Q1 2025) — ارزان‌ترین هلند</t>
        </is>
      </c>
      <c r="H24" s="92" t="inlineStr">
        <is>
          <t>رسمی/ثانویه</t>
        </is>
      </c>
      <c r="I24" s="121" t="n"/>
    </row>
    <row r="25">
      <c r="A25" s="22" t="inlineStr">
        <is>
          <t>Nijmegen</t>
        </is>
      </c>
      <c r="B25" s="122" t="inlineStr">
        <is>
          <t>هلند</t>
        </is>
      </c>
      <c r="C25" s="77" t="inlineStr">
        <is>
          <t>Radboud</t>
        </is>
      </c>
      <c r="D25" s="77" t="inlineStr">
        <is>
          <t>میانجی‌گری Radboud + SSH&amp;</t>
        </is>
      </c>
      <c r="E25" s="87" t="inlineStr">
        <is>
          <t>⭐⭐⭐ متوسط — فرم PAS تا ۱ ژوئن، پیشنهاد می–ژوئیه، بدون تضمین؛ Kences: فشار بالا</t>
        </is>
      </c>
      <c r="F25" s="77" t="inlineStr">
        <is>
          <t>$420–740 مبله</t>
        </is>
      </c>
      <c r="G25" s="77" t="inlineStr">
        <is>
          <t>≈ $570–740</t>
        </is>
      </c>
      <c r="H25" s="77" t="inlineStr">
        <is>
          <t>رسمی (ru.nl)</t>
        </is>
      </c>
      <c r="I25" s="117" t="n"/>
    </row>
    <row r="26">
      <c r="A26" s="22" t="inlineStr">
        <is>
          <t>Leiden</t>
        </is>
      </c>
      <c r="B26" s="122" t="inlineStr">
        <is>
          <t>هلند</t>
        </is>
      </c>
      <c r="C26" s="37" t="inlineStr">
        <is>
          <t>Leiden University</t>
        </is>
      </c>
      <c r="D26" s="37" t="inlineStr">
        <is>
          <t>DUWO (اتاق‌های رزروشده، قرعه)</t>
        </is>
      </c>
      <c r="E26" s="115" t="inlineStr">
        <is>
          <t>⭐⭐ کم — فشار بالا (Kences)؛ اجاره ۱۸٪ در یک سال بالا رفت</t>
        </is>
      </c>
      <c r="F26" s="37" t="inlineStr">
        <is>
          <t>≈ $570–910</t>
        </is>
      </c>
      <c r="G26" s="37" t="inlineStr">
        <is>
          <t>≈ $685–1,030</t>
        </is>
      </c>
      <c r="H26" s="37" t="inlineStr">
        <is>
          <t>برآورد + Kences/Kamernet</t>
        </is>
      </c>
      <c r="I26" s="116" t="n"/>
    </row>
    <row r="27">
      <c r="A27" s="22" t="inlineStr">
        <is>
          <t>Groningen</t>
        </is>
      </c>
      <c r="B27" s="122" t="inlineStr">
        <is>
          <t>هلند</t>
        </is>
      </c>
      <c r="C27" s="77" t="inlineStr">
        <is>
          <t>University of Groningen</t>
        </is>
      </c>
      <c r="D27" s="77" t="inlineStr">
        <is>
          <t>SSH Short Stay (رزرو)</t>
        </is>
      </c>
      <c r="E27" s="87" t="inlineStr">
        <is>
          <t>⭐⭐⭐ متوسط — «میانهٔ جدول» Kences</t>
        </is>
      </c>
      <c r="F27" s="77" t="inlineStr">
        <is>
          <t>≈ $515–800</t>
        </is>
      </c>
      <c r="G27" s="77" t="inlineStr">
        <is>
          <t>$585 میانگین (Kences)</t>
        </is>
      </c>
      <c r="H27" s="77" t="inlineStr">
        <is>
          <t>Kences رسمی</t>
        </is>
      </c>
      <c r="I27" s="117" t="n"/>
    </row>
    <row r="28">
      <c r="A28" s="22" t="inlineStr">
        <is>
          <t>Utrecht</t>
        </is>
      </c>
      <c r="B28" s="122" t="inlineStr">
        <is>
          <t>هلند</t>
        </is>
      </c>
      <c r="C28" s="37" t="inlineStr">
        <is>
          <t>Utrecht University</t>
        </is>
      </c>
      <c r="D28" s="37" t="inlineStr">
        <is>
          <t>استودیوهای رزروشده (Plaza/SSH)</t>
        </is>
      </c>
      <c r="E28" s="115" t="inlineStr">
        <is>
          <t>⭐ خیلی کم — بیشترین فشار هلند (Kences نوامبر ۲۰۲۵)؛ رزروها ۲۸ می ۲۰۲۶ تمام شد</t>
        </is>
      </c>
      <c r="F28" s="37" t="inlineStr">
        <is>
          <t>$990 با قبوض (رزروشده)</t>
        </is>
      </c>
      <c r="G28" s="37" t="inlineStr">
        <is>
          <t>≈ $685–1,030</t>
        </is>
      </c>
      <c r="H28" s="37" t="inlineStr">
        <is>
          <t>رسمی (uu.nl)</t>
        </is>
      </c>
      <c r="I28" s="116" t="n"/>
    </row>
    <row r="29">
      <c r="A29" s="22" t="inlineStr">
        <is>
          <t>Amsterdam</t>
        </is>
      </c>
      <c r="B29" s="122" t="inlineStr">
        <is>
          <t>هلند</t>
        </is>
      </c>
      <c r="C29" s="77" t="inlineStr">
        <is>
          <t>UvA / VU</t>
        </is>
      </c>
      <c r="D29" s="77" t="inlineStr">
        <is>
          <t>اتاق‌های رزروشده (قرعه؛ فقط سال اول)</t>
        </is>
      </c>
      <c r="E29" s="115" t="inlineStr">
        <is>
          <t>⭐ خیلی کم — بدترین بازار هلند</t>
        </is>
      </c>
      <c r="F29" s="77" t="inlineStr">
        <is>
          <t>≈ $740–1,140</t>
        </is>
      </c>
      <c r="G29" s="77" t="inlineStr">
        <is>
          <t>≈ $740 (Kences) تا $1,120 (Kamernet)</t>
        </is>
      </c>
      <c r="H29" s="77" t="inlineStr">
        <is>
          <t>Kences/Kamernet</t>
        </is>
      </c>
      <c r="I29" s="117" t="n"/>
    </row>
    <row r="30">
      <c r="A30" s="22" t="inlineStr">
        <is>
          <t>Eindhoven</t>
        </is>
      </c>
      <c r="B30" s="122" t="inlineStr">
        <is>
          <t>هلند</t>
        </is>
      </c>
      <c r="C30" s="37" t="inlineStr">
        <is>
          <t>TU/e</t>
        </is>
      </c>
      <c r="D30" s="37" t="inlineStr">
        <is>
          <t>Vestide / Holland2Stay (محدود)</t>
        </is>
      </c>
      <c r="E30" s="115" t="inlineStr">
        <is>
          <t>⭐⭐ کم — فشار بالا (Kences)</t>
        </is>
      </c>
      <c r="F30" s="37" t="inlineStr">
        <is>
          <t>≈ $570–910</t>
        </is>
      </c>
      <c r="G30" s="37" t="inlineStr">
        <is>
          <t>≈ $625–910</t>
        </is>
      </c>
      <c r="H30" s="37" t="inlineStr">
        <is>
          <t>برآورد + Kences</t>
        </is>
      </c>
      <c r="I30" s="116" t="n"/>
    </row>
    <row r="31">
      <c r="A31" s="22" t="inlineStr">
        <is>
          <t>Delft</t>
        </is>
      </c>
      <c r="B31" s="122" t="inlineStr">
        <is>
          <t>هلند</t>
        </is>
      </c>
      <c r="C31" s="77" t="inlineStr">
        <is>
          <t>TU Delft</t>
        </is>
      </c>
      <c r="D31" s="77" t="inlineStr">
        <is>
          <t>DUWO (رزرو، قرعه)</t>
        </is>
      </c>
      <c r="E31" s="115" t="inlineStr">
        <is>
          <t>⭐⭐ کم — فشار بالا؛ برنامهٔ ۳,۵۰۰ اتاق شهر شکست خورد (۲۷۹ ساخته شد)</t>
        </is>
      </c>
      <c r="F31" s="77" t="inlineStr">
        <is>
          <t>≈ $570–910</t>
        </is>
      </c>
      <c r="G31" s="77" t="inlineStr">
        <is>
          <t>≈ $685–1,030</t>
        </is>
      </c>
      <c r="H31" s="77" t="inlineStr">
        <is>
          <t>Kences/Delta</t>
        </is>
      </c>
      <c r="I31" s="117" t="n"/>
    </row>
    <row r="32">
      <c r="A32" s="22" t="inlineStr">
        <is>
          <t>Breda</t>
        </is>
      </c>
      <c r="B32" s="122" t="inlineStr">
        <is>
          <t>هلند</t>
        </is>
      </c>
      <c r="C32" s="37" t="inlineStr">
        <is>
          <t>BUas</t>
        </is>
      </c>
      <c r="D32" s="37" t="inlineStr">
        <is>
          <t>معرفی BUas + بازار</t>
        </is>
      </c>
      <c r="E32" s="87" t="inlineStr">
        <is>
          <t>⭐⭐⭐ متوسط</t>
        </is>
      </c>
      <c r="F32" s="37" t="inlineStr">
        <is>
          <t>≈ $515–740</t>
        </is>
      </c>
      <c r="G32" s="37" t="inlineStr">
        <is>
          <t>≈ $570–740</t>
        </is>
      </c>
      <c r="H32" s="37" t="inlineStr">
        <is>
          <t>برآورد</t>
        </is>
      </c>
      <c r="I32" s="116" t="n"/>
    </row>
    <row r="33">
      <c r="A33" s="118" t="inlineStr">
        <is>
          <t>Linköping</t>
        </is>
      </c>
      <c r="B33" s="123" t="inlineStr">
        <is>
          <t>سوئد</t>
        </is>
      </c>
      <c r="C33" s="82" t="inlineStr">
        <is>
          <t>LiU</t>
        </is>
      </c>
      <c r="D33" s="82" t="inlineStr">
        <is>
          <t>Studentbostäder + یک پیشنهاد LiU برای شهریه‌پردازها</t>
        </is>
      </c>
      <c r="E33" s="120" t="inlineStr">
        <is>
          <t>⭐⭐⭐⭐⭐ — SFS «سبز» ۲۰۲۴ و ۲۰۲۵ + پیشنهاد دانشگاه</t>
        </is>
      </c>
      <c r="F33" s="82" t="inlineStr">
        <is>
          <t>$355–555</t>
        </is>
      </c>
      <c r="G33" s="82" t="inlineStr">
        <is>
          <t>$505–705</t>
        </is>
      </c>
      <c r="H33" s="82" t="inlineStr">
        <is>
          <t>SFS رسمی؛ liu.se</t>
        </is>
      </c>
      <c r="I33" s="124" t="n"/>
    </row>
    <row r="34">
      <c r="A34" s="22" t="inlineStr">
        <is>
          <t>Halmstad</t>
        </is>
      </c>
      <c r="B34" s="50" t="inlineStr">
        <is>
          <t>سوئد</t>
        </is>
      </c>
      <c r="C34" s="37" t="inlineStr">
        <is>
          <t>Halmstad University</t>
        </is>
      </c>
      <c r="D34" s="37" t="inlineStr">
        <is>
          <t>شرکت‌های شهری؛ دانشگاه «تضمین نمی‌کند»</t>
        </is>
      </c>
      <c r="E34" s="115" t="inlineStr">
        <is>
          <t>⭐⭐ کم — SFS «قرمز» ۲۰۲۳ و ۲۰۲۴</t>
        </is>
      </c>
      <c r="F34" s="37" t="inlineStr">
        <is>
          <t>$355–555</t>
        </is>
      </c>
      <c r="G34" s="37" t="inlineStr">
        <is>
          <t>$505–705</t>
        </is>
      </c>
      <c r="H34" s="37" t="inlineStr">
        <is>
          <t>SFS رسمی؛ hh.se</t>
        </is>
      </c>
      <c r="I34" s="116" t="n"/>
    </row>
    <row r="35">
      <c r="A35" s="22" t="inlineStr">
        <is>
          <t>Karlskrona</t>
        </is>
      </c>
      <c r="B35" s="50" t="inlineStr">
        <is>
          <t>سوئد</t>
        </is>
      </c>
      <c r="C35" s="77" t="inlineStr">
        <is>
          <t>BTH</t>
        </is>
      </c>
      <c r="D35" s="77" t="inlineStr">
        <is>
          <t>Karlskronahem + معرفی BTH</t>
        </is>
      </c>
      <c r="E35" s="39" t="inlineStr">
        <is>
          <t>⭐⭐⭐⭐ بالا — SFS «سبز» ۲۰۲۴ (زرد ۲۰۲۳)</t>
        </is>
      </c>
      <c r="F35" s="77" t="inlineStr">
        <is>
          <t>$355–505</t>
        </is>
      </c>
      <c r="G35" s="77" t="inlineStr">
        <is>
          <t>$455–655</t>
        </is>
      </c>
      <c r="H35" s="77" t="inlineStr">
        <is>
          <t>SFS رسمی</t>
        </is>
      </c>
      <c r="I35" s="117" t="n"/>
    </row>
    <row r="36">
      <c r="A36" s="22" t="inlineStr">
        <is>
          <t>Stockholm / Kista</t>
        </is>
      </c>
      <c r="B36" s="50" t="inlineStr">
        <is>
          <t>سوئد</t>
        </is>
      </c>
      <c r="C36" s="37" t="inlineStr">
        <is>
          <t>KTH</t>
        </is>
      </c>
      <c r="D36" s="37" t="inlineStr">
        <is>
          <t>SSSB (صف) + KTH Accommodation (محدود، بدون تضمین)</t>
        </is>
      </c>
      <c r="E36" s="115" t="inlineStr">
        <is>
          <t>⭐ خیلی کم — SFS «قرمز» هر سال؛ صف SSSB ۶–۱۸ ماه</t>
        </is>
      </c>
      <c r="F36" s="37" t="inlineStr">
        <is>
          <t>$455–810</t>
        </is>
      </c>
      <c r="G36" s="37" t="inlineStr">
        <is>
          <t>$705–1,110</t>
        </is>
      </c>
      <c r="H36" s="37" t="inlineStr">
        <is>
          <t>SFS رسمی؛ su.se</t>
        </is>
      </c>
      <c r="I36" s="116" t="n"/>
    </row>
    <row r="37">
      <c r="A37" s="22" t="inlineStr">
        <is>
          <t>Gothenburg</t>
        </is>
      </c>
      <c r="B37" s="50" t="inlineStr">
        <is>
          <t>سوئد</t>
        </is>
      </c>
      <c r="C37" s="77" t="inlineStr">
        <is>
          <t>Chalmers / GU</t>
        </is>
      </c>
      <c r="D37" s="77" t="inlineStr">
        <is>
          <t>SGS (اولویت شهریه‌پردازهای Chalmers — چک شود)</t>
        </is>
      </c>
      <c r="E37" s="115" t="inlineStr">
        <is>
          <t>⭐⭐ کم — SFS «قرمز» هر سال</t>
        </is>
      </c>
      <c r="F37" s="77" t="inlineStr">
        <is>
          <t>$405–655</t>
        </is>
      </c>
      <c r="G37" s="77" t="inlineStr">
        <is>
          <t>$605–910</t>
        </is>
      </c>
      <c r="H37" s="77" t="inlineStr">
        <is>
          <t>SFS رسمی</t>
        </is>
      </c>
      <c r="I37" s="117" t="n"/>
    </row>
    <row r="38">
      <c r="A38" s="22" t="inlineStr">
        <is>
          <t>Uppsala</t>
        </is>
      </c>
      <c r="B38" s="50" t="inlineStr">
        <is>
          <t>سوئد</t>
        </is>
      </c>
      <c r="C38" s="37" t="inlineStr">
        <is>
          <t>Uppsala University</t>
        </is>
      </c>
      <c r="D38" s="37" t="inlineStr">
        <is>
          <t>Housing Office دانشگاه</t>
        </is>
      </c>
      <c r="E38" s="39" t="inlineStr">
        <is>
          <t>⭐⭐⭐⭐⭐ برای شهریه‌پردازها (تضمین رسمی) — با اینکه SFS شهر را «قرمز» می‌داند</t>
        </is>
      </c>
      <c r="F38" s="37" t="inlineStr">
        <is>
          <t>$355–615</t>
        </is>
      </c>
      <c r="G38" s="37" t="inlineStr">
        <is>
          <t>$605–860</t>
        </is>
      </c>
      <c r="H38" s="37" t="inlineStr">
        <is>
          <t>uu.se رسمی؛ SFS</t>
        </is>
      </c>
      <c r="I38" s="116" t="n"/>
    </row>
    <row r="39">
      <c r="A39" s="22" t="inlineStr">
        <is>
          <t>Umeå</t>
        </is>
      </c>
      <c r="B39" s="50" t="inlineStr">
        <is>
          <t>سوئد</t>
        </is>
      </c>
      <c r="C39" s="77" t="inlineStr">
        <is>
          <t>Umeå University</t>
        </is>
      </c>
      <c r="D39" s="77" t="inlineStr">
        <is>
          <t>Bostaden (صف) + پیشنهاد دانشگاه به شهریه‌پردازها (چک شود)</t>
        </is>
      </c>
      <c r="E39" s="87" t="inlineStr">
        <is>
          <t>⭐⭐⭐ متوسط — SFS «قرمز» ۲۰۲۴، «زرد» ۲۰۲۳</t>
        </is>
      </c>
      <c r="F39" s="77" t="inlineStr">
        <is>
          <t>$355–555</t>
        </is>
      </c>
      <c r="G39" s="77" t="inlineStr">
        <is>
          <t>$505–705</t>
        </is>
      </c>
      <c r="H39" s="77" t="inlineStr">
        <is>
          <t>SFS رسمی</t>
        </is>
      </c>
      <c r="I39" s="117" t="n"/>
    </row>
    <row r="40">
      <c r="A40" s="22" t="inlineStr">
        <is>
          <t>Skövde</t>
        </is>
      </c>
      <c r="B40" s="50" t="inlineStr">
        <is>
          <t>سوئد</t>
        </is>
      </c>
      <c r="C40" s="37" t="inlineStr">
        <is>
          <t>University of Skövde</t>
        </is>
      </c>
      <c r="D40" s="37" t="inlineStr">
        <is>
          <t>Skövdebostäder</t>
        </is>
      </c>
      <c r="E40" s="39" t="inlineStr">
        <is>
          <t>⭐⭐⭐⭐ بالا — SFS «سبز» ۲۰۲۴ (قرمز ۲۰۲۳؛ ولی اتاق موقت همیشه آسان)</t>
        </is>
      </c>
      <c r="F40" s="37" t="inlineStr">
        <is>
          <t>$335–485</t>
        </is>
      </c>
      <c r="G40" s="37" t="inlineStr">
        <is>
          <t>$455–605</t>
        </is>
      </c>
      <c r="H40" s="37" t="inlineStr">
        <is>
          <t>SFS رسمی</t>
        </is>
      </c>
      <c r="I40" s="116" t="n"/>
    </row>
    <row r="41">
      <c r="A41" s="22" t="inlineStr">
        <is>
          <t>Västerås</t>
        </is>
      </c>
      <c r="B41" s="50" t="inlineStr">
        <is>
          <t>سوئد</t>
        </is>
      </c>
      <c r="C41" s="77" t="inlineStr">
        <is>
          <t>MDU</t>
        </is>
      </c>
      <c r="D41" s="77" t="inlineStr">
        <is>
          <t>Bostad Västerås + تضمین شهرداری برای دانشجویان جدید</t>
        </is>
      </c>
      <c r="E41" s="39" t="inlineStr">
        <is>
          <t>⭐⭐⭐⭐⭐ — SFS «سبز» هر سال؛ تضمین شهری</t>
        </is>
      </c>
      <c r="F41" s="77" t="inlineStr">
        <is>
          <t>$355–555</t>
        </is>
      </c>
      <c r="G41" s="77" t="inlineStr">
        <is>
          <t>$505–705</t>
        </is>
      </c>
      <c r="H41" s="77" t="inlineStr">
        <is>
          <t>SFS رسمی</t>
        </is>
      </c>
      <c r="I41" s="117" t="n"/>
    </row>
    <row r="42">
      <c r="A42" s="118" t="inlineStr">
        <is>
          <t>Aalborg</t>
        </is>
      </c>
      <c r="B42" s="125" t="inlineStr">
        <is>
          <t>دانمارک</t>
        </is>
      </c>
      <c r="C42" s="92" t="inlineStr">
        <is>
          <t>AAU</t>
        </is>
      </c>
      <c r="D42" s="92" t="inlineStr">
        <is>
          <t>International Accommodation Office (۲۲۰+ واحد مبله)</t>
        </is>
      </c>
      <c r="E42" s="120" t="inlineStr">
        <is>
          <t>⭐⭐⭐⭐⭐ «تقریباً ۱۰۰٪»</t>
        </is>
      </c>
      <c r="F42" s="92" t="inlineStr">
        <is>
          <t>$490–720 با اینترنت/آب/گرمایش/برق</t>
        </is>
      </c>
      <c r="G42" s="92" t="inlineStr">
        <is>
          <t>$535–765</t>
        </is>
      </c>
      <c r="H42" s="92" t="inlineStr">
        <is>
          <t>AAU رسمی/ثانویه</t>
        </is>
      </c>
      <c r="I42" s="121" t="n"/>
    </row>
    <row r="43">
      <c r="A43" s="22" t="inlineStr">
        <is>
          <t>Copenhagen (AAU CPH، ITU، KU)</t>
        </is>
      </c>
      <c r="B43" s="126" t="inlineStr">
        <is>
          <t>دانمارک</t>
        </is>
      </c>
      <c r="C43" s="77" t="inlineStr">
        <is>
          <t>AAU Copenhagen / ITU</t>
        </is>
      </c>
      <c r="D43" s="77" t="inlineStr">
        <is>
          <t>راهنمایی؛ KKIK/CIU؛ خوابگاه خصوصی</t>
        </is>
      </c>
      <c r="E43" s="115" t="inlineStr">
        <is>
          <t>⭐ خیلی کم — خود AAU: «سخت‌ترین بازار اروپا»، بدون تضمین</t>
        </is>
      </c>
      <c r="F43" s="77" t="inlineStr">
        <is>
          <t>$535–915 (KKIK/CIU) · $765–1,370 خوابگاه خصوصی</t>
        </is>
      </c>
      <c r="G43" s="77" t="inlineStr">
        <is>
          <t>$915–1,370 (آپارتمان از $1,070)</t>
        </is>
      </c>
      <c r="H43" s="77" t="inlineStr">
        <is>
          <t>en.aau.dk رسمی</t>
        </is>
      </c>
      <c r="I43" s="117" t="n"/>
    </row>
    <row r="44">
      <c r="A44" s="22" t="inlineStr">
        <is>
          <t>Lyngby</t>
        </is>
      </c>
      <c r="B44" s="126" t="inlineStr">
        <is>
          <t>دانمارک</t>
        </is>
      </c>
      <c r="C44" s="37" t="inlineStr">
        <is>
          <t>DTU</t>
        </is>
      </c>
      <c r="D44" s="37" t="inlineStr">
        <is>
          <t>DTU Housing (Campus Village محدود)</t>
        </is>
      </c>
      <c r="E44" s="115" t="inlineStr">
        <is>
          <t>⭐⭐ کم</t>
        </is>
      </c>
      <c r="F44" s="37" t="inlineStr">
        <is>
          <t>≈ $610–990</t>
        </is>
      </c>
      <c r="G44" s="37" t="inlineStr">
        <is>
          <t>≈ $915–1,300</t>
        </is>
      </c>
      <c r="H44" s="37" t="inlineStr">
        <is>
          <t>برآورد</t>
        </is>
      </c>
      <c r="I44" s="116" t="n"/>
    </row>
    <row r="45">
      <c r="A45" s="22" t="inlineStr">
        <is>
          <t>Odense</t>
        </is>
      </c>
      <c r="B45" s="126" t="inlineStr">
        <is>
          <t>دانمارک</t>
        </is>
      </c>
      <c r="C45" s="77" t="inlineStr">
        <is>
          <t>SDU</t>
        </is>
      </c>
      <c r="D45" s="77" t="inlineStr">
        <is>
          <t>SDU Housing + kollegium</t>
        </is>
      </c>
      <c r="E45" s="39" t="inlineStr">
        <is>
          <t>⭐⭐⭐⭐ بالا — کمک فعال، ظرفیت خوب</t>
        </is>
      </c>
      <c r="F45" s="77" t="inlineStr">
        <is>
          <t>≈ $535–840</t>
        </is>
      </c>
      <c r="G45" s="77" t="inlineStr">
        <is>
          <t>≈ $610–915</t>
        </is>
      </c>
      <c r="H45" s="77" t="inlineStr">
        <is>
          <t>برآورد</t>
        </is>
      </c>
      <c r="I45" s="117" t="n"/>
    </row>
    <row r="46">
      <c r="A46" s="22" t="inlineStr">
        <is>
          <t>Kolding</t>
        </is>
      </c>
      <c r="B46" s="126" t="inlineStr">
        <is>
          <t>دانمارک</t>
        </is>
      </c>
      <c r="C46" s="37" t="inlineStr">
        <is>
          <t>SDU Kolding</t>
        </is>
      </c>
      <c r="D46" s="37" t="inlineStr">
        <is>
          <t>SDU Housing</t>
        </is>
      </c>
      <c r="E46" s="39" t="inlineStr">
        <is>
          <t>⭐⭐⭐⭐ بالا</t>
        </is>
      </c>
      <c r="F46" s="37" t="inlineStr">
        <is>
          <t>≈ $460–685</t>
        </is>
      </c>
      <c r="G46" s="37" t="inlineStr">
        <is>
          <t>≈ $535–840</t>
        </is>
      </c>
      <c r="H46" s="37" t="inlineStr">
        <is>
          <t>برآورد</t>
        </is>
      </c>
      <c r="I46" s="116" t="n"/>
    </row>
    <row r="47">
      <c r="A47" s="22" t="inlineStr">
        <is>
          <t>Aarhus</t>
        </is>
      </c>
      <c r="B47" s="126" t="inlineStr">
        <is>
          <t>دانمارک</t>
        </is>
      </c>
      <c r="C47" s="77" t="inlineStr">
        <is>
          <t>Aarhus University</t>
        </is>
      </c>
      <c r="D47" s="77" t="inlineStr">
        <is>
          <t>AU Housing (پیشنهاد به بین‌المللی‌ها)</t>
        </is>
      </c>
      <c r="E47" s="87" t="inlineStr">
        <is>
          <t>⭐⭐⭐ متوسط — بازار تنگ ولی دانشگاه پیشنهاد می‌دهد</t>
        </is>
      </c>
      <c r="F47" s="77" t="inlineStr">
        <is>
          <t>≈ $535–915</t>
        </is>
      </c>
      <c r="G47" s="77" t="inlineStr">
        <is>
          <t>≈ $765–1,150</t>
        </is>
      </c>
      <c r="H47" s="77" t="inlineStr">
        <is>
          <t>برآورد</t>
        </is>
      </c>
      <c r="I47" s="117" t="n"/>
    </row>
    <row r="48">
      <c r="A48" s="118" t="inlineStr">
        <is>
          <t>Zürich</t>
        </is>
      </c>
      <c r="B48" s="127" t="inlineStr">
        <is>
          <t>سوئیس</t>
        </is>
      </c>
      <c r="C48" s="92" t="inlineStr">
        <is>
          <t>ETH، UZH</t>
        </is>
      </c>
      <c r="D48" s="92" t="inlineStr">
        <is>
          <t>WOKO، Juwo (تعاونی)</t>
        </is>
      </c>
      <c r="E48" s="128" t="inlineStr">
        <is>
          <t>⭐ خیلی کم — لیست انتظار ۳–۱۲ ماه؛ روز پذیرش ثبت‌نام کنید</t>
        </is>
      </c>
      <c r="F48" s="92" t="inlineStr">
        <is>
          <t>WOKO $355–1,430 بسته به ساختمان (اکثر $545–1,030؛ میانگین آگهی‌ها ≈ $910)</t>
        </is>
      </c>
      <c r="G48" s="92" t="inlineStr">
        <is>
          <t>$845–1,450</t>
        </is>
      </c>
      <c r="H48" s="92" t="inlineStr">
        <is>
          <t>woko.ch رسمی (فهرست ساختمان‌ها)</t>
        </is>
      </c>
      <c r="I48" s="121" t="n"/>
    </row>
    <row r="49">
      <c r="A49" s="22" t="inlineStr">
        <is>
          <t>Winterthur</t>
        </is>
      </c>
      <c r="B49" s="36" t="inlineStr">
        <is>
          <t>سوئیس</t>
        </is>
      </c>
      <c r="C49" s="77" t="inlineStr">
        <is>
          <t>ZHAW</t>
        </is>
      </c>
      <c r="D49" s="77" t="inlineStr">
        <is>
          <t>WOKO Winterthur / بازار</t>
        </is>
      </c>
      <c r="E49" s="115" t="inlineStr">
        <is>
          <t>⭐⭐ کم — کمی بهتر از زوریخ</t>
        </is>
      </c>
      <c r="F49" s="77" t="inlineStr">
        <is>
          <t>≈ $605–970</t>
        </is>
      </c>
      <c r="G49" s="77" t="inlineStr">
        <is>
          <t>$785–1,210</t>
        </is>
      </c>
      <c r="H49" s="77" t="inlineStr">
        <is>
          <t>برآورد</t>
        </is>
      </c>
      <c r="I49" s="117" t="n"/>
    </row>
    <row r="50">
      <c r="A50" s="22" t="inlineStr">
        <is>
          <t>Lausanne</t>
        </is>
      </c>
      <c r="B50" s="36" t="inlineStr">
        <is>
          <t>سوئیس</t>
        </is>
      </c>
      <c r="C50" s="37" t="inlineStr">
        <is>
          <t>EPFL</t>
        </is>
      </c>
      <c r="D50" s="37" t="inlineStr">
        <is>
          <t>FMEL</t>
        </is>
      </c>
      <c r="E50" s="115" t="inlineStr">
        <is>
          <t>⭐⭐ کم — زود پر می‌شود؛ بلافاصله بعد از پذیرش دور اول</t>
        </is>
      </c>
      <c r="F50" s="37" t="inlineStr">
        <is>
          <t>≈ $605–1,090</t>
        </is>
      </c>
      <c r="G50" s="37" t="inlineStr">
        <is>
          <t>$845–1,210</t>
        </is>
      </c>
      <c r="H50" s="37" t="inlineStr">
        <is>
          <t>برآورد</t>
        </is>
      </c>
      <c r="I50" s="116" t="n"/>
    </row>
    <row r="51">
      <c r="A51" s="22" t="inlineStr">
        <is>
          <t>Bern</t>
        </is>
      </c>
      <c r="B51" s="36" t="inlineStr">
        <is>
          <t>سوئیس</t>
        </is>
      </c>
      <c r="C51" s="77" t="inlineStr">
        <is>
          <t>University of Bern</t>
        </is>
      </c>
      <c r="D51" s="77" t="inlineStr">
        <is>
          <t>StuWo Bern / بازار</t>
        </is>
      </c>
      <c r="E51" s="87" t="inlineStr">
        <is>
          <t>⭐⭐⭐ متوسط</t>
        </is>
      </c>
      <c r="F51" s="77" t="inlineStr">
        <is>
          <t>≈ $605–910</t>
        </is>
      </c>
      <c r="G51" s="77" t="inlineStr">
        <is>
          <t>$785–1,090</t>
        </is>
      </c>
      <c r="H51" s="77" t="inlineStr">
        <is>
          <t>برآورد</t>
        </is>
      </c>
      <c r="I51" s="117" t="n"/>
    </row>
    <row r="52">
      <c r="A52" s="22" t="inlineStr">
        <is>
          <t>Basel</t>
        </is>
      </c>
      <c r="B52" s="36" t="inlineStr">
        <is>
          <t>سوئیس</t>
        </is>
      </c>
      <c r="C52" s="37" t="inlineStr">
        <is>
          <t>University of Basel</t>
        </is>
      </c>
      <c r="D52" s="37" t="inlineStr">
        <is>
          <t>WoVe Basel / بازار</t>
        </is>
      </c>
      <c r="E52" s="87" t="inlineStr">
        <is>
          <t>⭐⭐⭐ متوسط</t>
        </is>
      </c>
      <c r="F52" s="37" t="inlineStr">
        <is>
          <t>≈ $605–970</t>
        </is>
      </c>
      <c r="G52" s="37" t="inlineStr">
        <is>
          <t>$785–1,150</t>
        </is>
      </c>
      <c r="H52" s="37" t="inlineStr">
        <is>
          <t>برآورد</t>
        </is>
      </c>
      <c r="I52" s="116" t="n"/>
    </row>
    <row r="53">
      <c r="A53" s="22" t="inlineStr">
        <is>
          <t>Fribourg</t>
        </is>
      </c>
      <c r="B53" s="36" t="inlineStr">
        <is>
          <t>سوئیس</t>
        </is>
      </c>
      <c r="C53" s="77" t="inlineStr">
        <is>
          <t>University of Fribourg</t>
        </is>
      </c>
      <c r="D53" s="77" t="inlineStr">
        <is>
          <t>Apartis / معرفی دانشگاه</t>
        </is>
      </c>
      <c r="E53" s="39" t="inlineStr">
        <is>
          <t>⭐⭐⭐⭐ بالا</t>
        </is>
      </c>
      <c r="F53" s="77" t="inlineStr">
        <is>
          <t>≈ $545–845</t>
        </is>
      </c>
      <c r="G53" s="77" t="inlineStr">
        <is>
          <t>$725–970</t>
        </is>
      </c>
      <c r="H53" s="77" t="inlineStr">
        <is>
          <t>برآورد</t>
        </is>
      </c>
      <c r="I53" s="117" t="n"/>
    </row>
    <row r="54">
      <c r="A54" s="22" t="inlineStr">
        <is>
          <t>Neuchâtel</t>
        </is>
      </c>
      <c r="B54" s="36" t="inlineStr">
        <is>
          <t>سوئیس</t>
        </is>
      </c>
      <c r="C54" s="37" t="inlineStr">
        <is>
          <t>University of Neuchâtel</t>
        </is>
      </c>
      <c r="D54" s="37" t="inlineStr">
        <is>
          <t>Alfen / معرفی دانشگاه</t>
        </is>
      </c>
      <c r="E54" s="39" t="inlineStr">
        <is>
          <t>⭐⭐⭐⭐ بالا</t>
        </is>
      </c>
      <c r="F54" s="37" t="inlineStr">
        <is>
          <t>≈ $545–845</t>
        </is>
      </c>
      <c r="G54" s="37" t="inlineStr">
        <is>
          <t>$665–970</t>
        </is>
      </c>
      <c r="H54" s="37" t="inlineStr">
        <is>
          <t>برآورد</t>
        </is>
      </c>
      <c r="I54" s="116" t="n"/>
    </row>
    <row r="55">
      <c r="A55" s="22" t="inlineStr">
        <is>
          <t>Lugano</t>
        </is>
      </c>
      <c r="B55" s="36" t="inlineStr">
        <is>
          <t>سوئیس</t>
        </is>
      </c>
      <c r="C55" s="77" t="inlineStr">
        <is>
          <t>USI</t>
        </is>
      </c>
      <c r="D55" s="77" t="inlineStr">
        <is>
          <t>خوابگاه‌های USI + سرویس مسکن دانشگاه</t>
        </is>
      </c>
      <c r="E55" s="39" t="inlineStr">
        <is>
          <t>⭐⭐⭐⭐ بالا</t>
        </is>
      </c>
      <c r="F55" s="77" t="inlineStr">
        <is>
          <t>≈ $605–970</t>
        </is>
      </c>
      <c r="G55" s="77" t="inlineStr">
        <is>
          <t>$725–1,090</t>
        </is>
      </c>
      <c r="H55" s="77" t="inlineStr">
        <is>
          <t>برآورد</t>
        </is>
      </c>
      <c r="I55" s="117" t="n"/>
    </row>
    <row r="56">
      <c r="A56" s="22" t="inlineStr">
        <is>
          <t>Luzern</t>
        </is>
      </c>
      <c r="B56" s="36" t="inlineStr">
        <is>
          <t>سوئیس</t>
        </is>
      </c>
      <c r="C56" s="37" t="inlineStr">
        <is>
          <t>HSLU</t>
        </is>
      </c>
      <c r="D56" s="37" t="inlineStr">
        <is>
          <t>معرفی HSLU / بازار</t>
        </is>
      </c>
      <c r="E56" s="87" t="inlineStr">
        <is>
          <t>⭐⭐⭐ متوسط</t>
        </is>
      </c>
      <c r="F56" s="37" t="inlineStr">
        <is>
          <t>≈ $605–970</t>
        </is>
      </c>
      <c r="G56" s="37" t="inlineStr">
        <is>
          <t>$785–1,090</t>
        </is>
      </c>
      <c r="H56" s="37" t="inlineStr">
        <is>
          <t>برآورد</t>
        </is>
      </c>
      <c r="I56" s="116" t="n"/>
    </row>
    <row r="57">
      <c r="A57" s="118" t="inlineStr">
        <is>
          <t>Middlesbrough</t>
        </is>
      </c>
      <c r="B57" s="129" t="inlineStr">
        <is>
          <t>انگلستان</t>
        </is>
      </c>
      <c r="C57" s="82" t="inlineStr">
        <is>
          <t>Teesside</t>
        </is>
      </c>
      <c r="D57" s="82" t="inlineStr">
        <is>
          <t>خوابگاه دانشگاه + PBSA فراوان</t>
        </is>
      </c>
      <c r="E57" s="120" t="inlineStr">
        <is>
          <t>⭐⭐⭐⭐ بالا — معمولاً برای همهٔ ورودی‌ها جا هست (تأیید کنید)</t>
        </is>
      </c>
      <c r="F57" s="82" t="inlineStr">
        <is>
          <t>$115 (Parkside، حمام مشترک) · $160–165 (Parkside Village / Woodlands en-suite) · $205–210 (KES) در هفته؛ قرارداد ۴۰/۴۵/۵۰ هفته؛ ودیعه $200 (رسمی 2026/27) = $490–915/ماه</t>
        </is>
      </c>
      <c r="G57" s="82" t="inlineStr">
        <is>
          <t>$595–730</t>
        </is>
      </c>
      <c r="H57" s="82" t="inlineStr">
        <is>
          <t>tees.ac.uk رسمی؛ PBSA خصوصی از $185/هفته</t>
        </is>
      </c>
      <c r="I57" s="124" t="n"/>
    </row>
    <row r="58">
      <c r="A58" s="22" t="inlineStr">
        <is>
          <t>Newcastle</t>
        </is>
      </c>
      <c r="B58" s="47" t="inlineStr">
        <is>
          <t>انگلستان</t>
        </is>
      </c>
      <c r="C58" s="37" t="inlineStr">
        <is>
          <t>Northumbria، Newcastle University</t>
        </is>
      </c>
      <c r="D58" s="37" t="inlineStr">
        <is>
          <t>خوابگاه‌های هر دو دانشگاه</t>
        </is>
      </c>
      <c r="E58" s="39" t="inlineStr">
        <is>
          <t>⭐⭐⭐⭐ بالا — ذخیرهٔ بزرگ (تأیید تضمین PG)</t>
        </is>
      </c>
      <c r="F58" s="37" t="inlineStr">
        <is>
          <t>Northumbria $125–210/هفته · Newcastle $155–320/هفته (رسمی) = $545–1,380/ماه</t>
        </is>
      </c>
      <c r="G58" s="37" t="inlineStr">
        <is>
          <t>$665–860</t>
        </is>
      </c>
      <c r="H58" s="37" t="inlineStr">
        <is>
          <t>رسمی</t>
        </is>
      </c>
      <c r="I58" s="116" t="n"/>
    </row>
    <row r="59">
      <c r="A59" s="22" t="inlineStr">
        <is>
          <t>Nottingham</t>
        </is>
      </c>
      <c r="B59" s="47" t="inlineStr">
        <is>
          <t>انگلستان</t>
        </is>
      </c>
      <c r="C59" s="77" t="inlineStr">
        <is>
          <t>NTU</t>
        </is>
      </c>
      <c r="D59" s="77" t="inlineStr">
        <is>
          <t>خوابگاه NTU</t>
        </is>
      </c>
      <c r="E59" s="39" t="inlineStr">
        <is>
          <t>⭐⭐⭐⭐ بالا (تأیید کنید)</t>
        </is>
      </c>
      <c r="F59" s="77" t="inlineStr">
        <is>
          <t>≈ $170–265/هفته</t>
        </is>
      </c>
      <c r="G59" s="77" t="inlineStr">
        <is>
          <t>$665–860</t>
        </is>
      </c>
      <c r="H59" s="77" t="inlineStr">
        <is>
          <t>برآورد</t>
        </is>
      </c>
      <c r="I59" s="117" t="n"/>
    </row>
    <row r="60">
      <c r="A60" s="22" t="inlineStr">
        <is>
          <t>Manchester</t>
        </is>
      </c>
      <c r="B60" s="47" t="inlineStr">
        <is>
          <t>انگلستان</t>
        </is>
      </c>
      <c r="C60" s="37" t="inlineStr">
        <is>
          <t>MMU (و University of Manchester)</t>
        </is>
      </c>
      <c r="D60" s="37" t="inlineStr">
        <is>
          <t>خوابگاه دانشگاه</t>
        </is>
      </c>
      <c r="E60" s="39" t="inlineStr">
        <is>
          <t>⭐⭐⭐⭐ بالا — University of Manchester رسماً به هر PG بین‌المللی برای کل دوره تضمین می‌دهد (اقدام تا ۳۱ اوت)؛ MMU تأیید کنید</t>
        </is>
      </c>
      <c r="F60" s="37" t="inlineStr">
        <is>
          <t>≈ $185–290/هفته</t>
        </is>
      </c>
      <c r="G60" s="37" t="inlineStr">
        <is>
          <t>$730–995</t>
        </is>
      </c>
      <c r="H60" s="37" t="inlineStr">
        <is>
          <t>manchester.ac.uk رسمی؛ MMU برآورد</t>
        </is>
      </c>
      <c r="I60" s="116" t="n"/>
    </row>
    <row r="61">
      <c r="A61" s="22" t="inlineStr">
        <is>
          <t>Colchester</t>
        </is>
      </c>
      <c r="B61" s="47" t="inlineStr">
        <is>
          <t>انگلستان</t>
        </is>
      </c>
      <c r="C61" s="77" t="inlineStr">
        <is>
          <t>Essex</t>
        </is>
      </c>
      <c r="D61" s="77" t="inlineStr">
        <is>
          <t>خوابگاه کمپوس</t>
        </is>
      </c>
      <c r="E61" s="39" t="inlineStr">
        <is>
          <t>⭐⭐⭐⭐⭐ تضمین برای PG برای کل دوره (اقدام تا مهلت)</t>
        </is>
      </c>
      <c r="F61" s="77" t="inlineStr">
        <is>
          <t>$225 (Meadows، حمام مشترک) تا $265 (en-suite) در هفته؛ Quays ۴۴ هفته $230 (رسمی 2026-27) = $965–1,140/ماه</t>
        </is>
      </c>
      <c r="G61" s="77" t="inlineStr">
        <is>
          <t>≈ $530–795 (خانهٔ مشترک در کولچستر ارزان‌تر از خوابگاه)</t>
        </is>
      </c>
      <c r="H61" s="77" t="inlineStr">
        <is>
          <t>essex.ac.uk رسمی (تضمین + اجاره)</t>
        </is>
      </c>
      <c r="I61" s="117" t="n"/>
    </row>
    <row r="62">
      <c r="A62" s="22" t="inlineStr">
        <is>
          <t>Leicester</t>
        </is>
      </c>
      <c r="B62" s="47" t="inlineStr">
        <is>
          <t>انگلستان</t>
        </is>
      </c>
      <c r="C62" s="37" t="inlineStr">
        <is>
          <t>University of Leicester</t>
        </is>
      </c>
      <c r="D62" s="37" t="inlineStr">
        <is>
          <t>خوابگاه دانشگاه</t>
        </is>
      </c>
      <c r="E62" s="39" t="inlineStr">
        <is>
          <t>⭐⭐⭐⭐ بالا (تأیید کنید)</t>
        </is>
      </c>
      <c r="F62" s="37" t="inlineStr">
        <is>
          <t>≈ $170–265/هفته</t>
        </is>
      </c>
      <c r="G62" s="37" t="inlineStr">
        <is>
          <t>$665–860</t>
        </is>
      </c>
      <c r="H62" s="37" t="inlineStr">
        <is>
          <t>برآورد</t>
        </is>
      </c>
      <c r="I62" s="116" t="n"/>
    </row>
    <row r="63">
      <c r="A63" s="22" t="inlineStr">
        <is>
          <t>London – Uxbridge</t>
        </is>
      </c>
      <c r="B63" s="47" t="inlineStr">
        <is>
          <t>انگلستان</t>
        </is>
      </c>
      <c r="C63" s="77" t="inlineStr">
        <is>
          <t>Brunel</t>
        </is>
      </c>
      <c r="D63" s="77" t="inlineStr">
        <is>
          <t>خوابگاه کمپوس</t>
        </is>
      </c>
      <c r="E63" s="39" t="inlineStr">
        <is>
          <t>⭐⭐⭐⭐⭐ تضمین برای همهٔ دانشجویان جدید — مهلت ۱۵ مارس</t>
        </is>
      </c>
      <c r="F63" s="77" t="inlineStr">
        <is>
          <t>en-suite از $240–245/هفته (Mill Hall $240؛ PG $245)؛ استودیو $490 (رسمی 2026/27) = $1,030–1,060/ماه</t>
        </is>
      </c>
      <c r="G63" s="77" t="inlineStr">
        <is>
          <t>$1,190–1,590</t>
        </is>
      </c>
      <c r="H63" s="77" t="inlineStr">
        <is>
          <t>brunel.ac.uk رسمی (تضمین + اجاره)</t>
        </is>
      </c>
      <c r="I63" s="117" t="n"/>
    </row>
    <row r="64">
      <c r="A64" s="22" t="inlineStr">
        <is>
          <t>Egham</t>
        </is>
      </c>
      <c r="B64" s="47" t="inlineStr">
        <is>
          <t>انگلستان</t>
        </is>
      </c>
      <c r="C64" s="37" t="inlineStr">
        <is>
          <t>Royal Holloway</t>
        </is>
      </c>
      <c r="D64" s="37" t="inlineStr">
        <is>
          <t>خوابگاه کمپوس</t>
        </is>
      </c>
      <c r="E64" s="39" t="inlineStr">
        <is>
          <t>⭐⭐⭐⭐ بالا (تأیید کنید)</t>
        </is>
      </c>
      <c r="F64" s="37" t="inlineStr">
        <is>
          <t>≈ $200–305/هفته</t>
        </is>
      </c>
      <c r="G64" s="37" t="inlineStr">
        <is>
          <t>$995–1,260</t>
        </is>
      </c>
      <c r="H64" s="37" t="inlineStr">
        <is>
          <t>برآورد</t>
        </is>
      </c>
      <c r="I64" s="116" t="n"/>
    </row>
    <row r="65">
      <c r="A65" s="22" t="inlineStr">
        <is>
          <t>London – New Cross</t>
        </is>
      </c>
      <c r="B65" s="47" t="inlineStr">
        <is>
          <t>انگلستان</t>
        </is>
      </c>
      <c r="C65" s="77" t="inlineStr">
        <is>
          <t>Goldsmiths</t>
        </is>
      </c>
      <c r="D65" s="77" t="inlineStr">
        <is>
          <t>خوابگاه محدود</t>
        </is>
      </c>
      <c r="E65" s="87" t="inlineStr">
        <is>
          <t>⭐⭐⭐ متوسط</t>
        </is>
      </c>
      <c r="F65" s="77" t="inlineStr">
        <is>
          <t>≈ $250–400/هفته</t>
        </is>
      </c>
      <c r="G65" s="77" t="inlineStr">
        <is>
          <t>$1,190–1,720</t>
        </is>
      </c>
      <c r="H65" s="77" t="inlineStr">
        <is>
          <t>برآورد</t>
        </is>
      </c>
      <c r="I65" s="117" t="n"/>
    </row>
    <row r="66">
      <c r="A66" s="22" t="inlineStr">
        <is>
          <t>Canterbury</t>
        </is>
      </c>
      <c r="B66" s="47" t="inlineStr">
        <is>
          <t>انگلستان</t>
        </is>
      </c>
      <c r="C66" s="37" t="inlineStr">
        <is>
          <t>Kent</t>
        </is>
      </c>
      <c r="D66" s="37" t="inlineStr">
        <is>
          <t>خوابگاه کمپوس</t>
        </is>
      </c>
      <c r="E66" s="39" t="inlineStr">
        <is>
          <t>⭐⭐⭐⭐ بالا (تأیید کنید)</t>
        </is>
      </c>
      <c r="F66" s="37" t="inlineStr">
        <is>
          <t>≈ $170–280/هفته</t>
        </is>
      </c>
      <c r="G66" s="37" t="inlineStr">
        <is>
          <t>$730–930</t>
        </is>
      </c>
      <c r="H66" s="37" t="inlineStr">
        <is>
          <t>برآورد</t>
        </is>
      </c>
      <c r="I66" s="116" t="n"/>
    </row>
    <row r="67">
      <c r="A67" s="22" t="inlineStr">
        <is>
          <t>Guildford</t>
        </is>
      </c>
      <c r="B67" s="47" t="inlineStr">
        <is>
          <t>انگلستان</t>
        </is>
      </c>
      <c r="C67" s="77" t="inlineStr">
        <is>
          <t>Surrey</t>
        </is>
      </c>
      <c r="D67" s="77" t="inlineStr">
        <is>
          <t>خوابگاه کمپوس</t>
        </is>
      </c>
      <c r="E67" s="39" t="inlineStr">
        <is>
          <t>⭐⭐⭐⭐ بالا (تأیید کنید)</t>
        </is>
      </c>
      <c r="F67" s="77" t="inlineStr">
        <is>
          <t>≈ $200–305/هفته</t>
        </is>
      </c>
      <c r="G67" s="77" t="inlineStr">
        <is>
          <t>$995–1,260</t>
        </is>
      </c>
      <c r="H67" s="77" t="inlineStr">
        <is>
          <t>برآورد</t>
        </is>
      </c>
      <c r="I67" s="117" t="n"/>
    </row>
    <row r="68">
      <c r="A68" s="22" t="inlineStr">
        <is>
          <t>York</t>
        </is>
      </c>
      <c r="B68" s="47" t="inlineStr">
        <is>
          <t>انگلستان</t>
        </is>
      </c>
      <c r="C68" s="37" t="inlineStr">
        <is>
          <t>University of York</t>
        </is>
      </c>
      <c r="D68" s="37" t="inlineStr">
        <is>
          <t>خوابگاه کمپوس (Wentworth، Halifax)</t>
        </is>
      </c>
      <c r="E68" s="39" t="inlineStr">
        <is>
          <t>⭐⭐⭐⭐⭐ تضمین PG — اقدام تا ۳۱ ژوئیه</t>
        </is>
      </c>
      <c r="F68" s="37" t="inlineStr">
        <is>
          <t>$245–295/هفته × ۵۱ هفته (رسمی 2026/27)</t>
        </is>
      </c>
      <c r="G68" s="37" t="inlineStr">
        <is>
          <t>$730–995</t>
        </is>
      </c>
      <c r="H68" s="37" t="inlineStr">
        <is>
          <t>york.ac.uk رسمی</t>
        </is>
      </c>
      <c r="I68" s="116" t="n"/>
    </row>
    <row r="69">
      <c r="A69" s="22" t="inlineStr">
        <is>
          <t>Lancaster</t>
        </is>
      </c>
      <c r="B69" s="47" t="inlineStr">
        <is>
          <t>انگلستان</t>
        </is>
      </c>
      <c r="C69" s="77" t="inlineStr">
        <is>
          <t>Lancaster University</t>
        </is>
      </c>
      <c r="D69" s="77" t="inlineStr">
        <is>
          <t>کالج‌های کمپوس</t>
        </is>
      </c>
      <c r="E69" s="39" t="inlineStr">
        <is>
          <t>⭐⭐⭐⭐ بالا (تأیید کنید)</t>
        </is>
      </c>
      <c r="F69" s="77" t="inlineStr">
        <is>
          <t>حمام مشترک $185–225 · en-suite $270–275 · استودیو $320 در هفته (۴۰ هفته؛ رسمی 2026/27)؛ catered $365</t>
        </is>
      </c>
      <c r="G69" s="77" t="inlineStr">
        <is>
          <t>$665–860</t>
        </is>
      </c>
      <c r="H69" s="77" t="inlineStr">
        <is>
          <t>lancaster.ac.uk رسمی (اجاره)؛ تضمین PG تأیید کنید</t>
        </is>
      </c>
      <c r="I69" s="117" t="n"/>
    </row>
    <row r="70">
      <c r="A70" s="22" t="inlineStr">
        <is>
          <t>Sheffield</t>
        </is>
      </c>
      <c r="B70" s="47" t="inlineStr">
        <is>
          <t>انگلستان</t>
        </is>
      </c>
      <c r="C70" s="37" t="inlineStr">
        <is>
          <t>University of Sheffield</t>
        </is>
      </c>
      <c r="D70" s="37" t="inlineStr">
        <is>
          <t>خوابگاه دانشگاه (ذخیرهٔ بزرگ)</t>
        </is>
      </c>
      <c r="E70" s="39" t="inlineStr">
        <is>
          <t>⭐⭐⭐⭐ بالا (تأیید کنید)</t>
        </is>
      </c>
      <c r="F70" s="37" t="inlineStr">
        <is>
          <t>PG: St Vincent's en-suite $240 · Allen Court en-suite+ $255 · Deluxe+ $275 در هفته (۴۲ یا ۵۱ هفته؛ رسمی 2026/27) = $1,030–1,200/ماه</t>
        </is>
      </c>
      <c r="G70" s="37" t="inlineStr">
        <is>
          <t>$665–860</t>
        </is>
      </c>
      <c r="H70" s="37" t="inlineStr">
        <is>
          <t>sheffield.ac.uk رسمی (اجاره)؛ تضمین PG تأیید کنید</t>
        </is>
      </c>
      <c r="I70" s="116" t="n"/>
    </row>
    <row r="71">
      <c r="A71" s="22" t="inlineStr">
        <is>
          <t>London – مرکز</t>
        </is>
      </c>
      <c r="B71" s="47" t="inlineStr">
        <is>
          <t>انگلستان</t>
        </is>
      </c>
      <c r="C71" s="77" t="inlineStr">
        <is>
          <t>UCL، KCL، Imperial</t>
        </is>
      </c>
      <c r="D71" s="77" t="inlineStr">
        <is>
          <t>خوابگاه‌های دانشگاه و بین‌دانشگاهی + GradPad</t>
        </is>
      </c>
      <c r="E71" s="115" t="inlineStr">
        <is>
          <t>⭐⭐ کم — PG بدون تضمین؛ روز پذیرش اقدام کنید و هم‌زمان بازار خصوصی</t>
        </is>
      </c>
      <c r="F71" s="77" t="inlineStr">
        <is>
          <t>$280–545/هفته (Imperial 2026) = $1,190–2,390/ماه</t>
        </is>
      </c>
      <c r="G71" s="77" t="inlineStr">
        <is>
          <t>$1,330–1,860 (+ ضامن)</t>
        </is>
      </c>
      <c r="H71" s="77" t="inlineStr">
        <is>
          <t>ثانویه</t>
        </is>
      </c>
      <c r="I71" s="117" t="n"/>
    </row>
    <row r="72">
      <c r="A72" s="22" t="inlineStr">
        <is>
          <t>Coventry</t>
        </is>
      </c>
      <c r="B72" s="47" t="inlineStr">
        <is>
          <t>انگلستان</t>
        </is>
      </c>
      <c r="C72" s="37" t="inlineStr">
        <is>
          <t>Warwick</t>
        </is>
      </c>
      <c r="D72" s="37" t="inlineStr">
        <is>
          <t>خوابگاه کمپوس (PG محدود)</t>
        </is>
      </c>
      <c r="E72" s="87" t="inlineStr">
        <is>
          <t>⭐⭐⭐ متوسط (تأیید کنید)</t>
        </is>
      </c>
      <c r="F72" s="37" t="inlineStr">
        <is>
          <t>≈ $170–280/هفته</t>
        </is>
      </c>
      <c r="G72" s="37" t="inlineStr">
        <is>
          <t>$730–930</t>
        </is>
      </c>
      <c r="H72" s="37" t="inlineStr">
        <is>
          <t>برآورد</t>
        </is>
      </c>
      <c r="I72" s="116" t="n"/>
    </row>
    <row r="73">
      <c r="A73" s="22" t="inlineStr">
        <is>
          <t>Bristol</t>
        </is>
      </c>
      <c r="B73" s="47" t="inlineStr">
        <is>
          <t>انگلستان</t>
        </is>
      </c>
      <c r="C73" s="77" t="inlineStr">
        <is>
          <t>University of Bristol</t>
        </is>
      </c>
      <c r="D73" s="77" t="inlineStr">
        <is>
          <t>خوابگاه دانشگاه</t>
        </is>
      </c>
      <c r="E73" s="87" t="inlineStr">
        <is>
          <t>⭐⭐⭐ متوسط (تأیید کنید)</t>
        </is>
      </c>
      <c r="F73" s="77" t="inlineStr">
        <is>
          <t>≈ $200–345/هفته</t>
        </is>
      </c>
      <c r="G73" s="77" t="inlineStr">
        <is>
          <t>$860–1,130</t>
        </is>
      </c>
      <c r="H73" s="77" t="inlineStr">
        <is>
          <t>برآورد</t>
        </is>
      </c>
      <c r="I73" s="117" t="n"/>
    </row>
    <row r="74">
      <c r="A74" s="22" t="inlineStr">
        <is>
          <t>Durham</t>
        </is>
      </c>
      <c r="B74" s="47" t="inlineStr">
        <is>
          <t>انگلستان</t>
        </is>
      </c>
      <c r="C74" s="37" t="inlineStr">
        <is>
          <t>Durham University</t>
        </is>
      </c>
      <c r="D74" s="37" t="inlineStr">
        <is>
          <t>کالج‌ها</t>
        </is>
      </c>
      <c r="E74" s="87" t="inlineStr">
        <is>
          <t>⭐⭐⭐ متوسط — PG بدون تضمین؛ کالج بعد از پذیرش تماس می‌گیرد</t>
        </is>
      </c>
      <c r="F74" s="37" t="inlineStr">
        <is>
          <t>$240–265/هفته self-catered (۳۹ هفته) · catered $345</t>
        </is>
      </c>
      <c r="G74" s="37" t="inlineStr">
        <is>
          <t>$730–930</t>
        </is>
      </c>
      <c r="H74" s="37" t="inlineStr">
        <is>
          <t>durham.ac.uk / Palatinate رسمی</t>
        </is>
      </c>
      <c r="I74" s="116" t="n"/>
    </row>
    <row r="75"/>
    <row r="76">
      <c r="A76" s="15" t="inlineStr">
        <is>
          <t>دانشگاه</t>
        </is>
      </c>
      <c r="B76" s="15" t="inlineStr">
        <is>
          <t>کشور / شهر</t>
        </is>
      </c>
      <c r="C76" s="15" t="inlineStr">
        <is>
          <t>خوابگاه یا کمک دانشگاه</t>
        </is>
      </c>
      <c r="D76" s="15" t="inlineStr">
        <is>
          <t>تضمین برای ارشد؟</t>
        </is>
      </c>
      <c r="E76" s="15" t="inlineStr">
        <is>
          <t>اجاره (ماهانه ≈)</t>
        </is>
      </c>
      <c r="F76" s="15" t="inlineStr">
        <is>
          <t>غذا؟</t>
        </is>
      </c>
      <c r="G76" s="15" t="inlineStr">
        <is>
          <t>مهلت / نکته</t>
        </is>
      </c>
      <c r="H76" s="15" t="inlineStr">
        <is>
          <t>منبع</t>
        </is>
      </c>
      <c r="I76" s="114" t="n"/>
    </row>
    <row r="77">
      <c r="A77" s="22" t="inlineStr">
        <is>
          <t>Universität Stuttgart</t>
        </is>
      </c>
      <c r="B77" s="46" t="inlineStr">
        <is>
          <t>آلمان / Stuttgart</t>
        </is>
      </c>
      <c r="C77" s="37" t="inlineStr">
        <is>
          <t>Studierendenwerk Stuttgart (۳۵ مجموعه، ۷,۲۰۰ جا)</t>
        </is>
      </c>
      <c r="D77" s="71" t="inlineStr">
        <is>
          <t>❌ لیست انتظار ۶–۸ ماه</t>
        </is>
      </c>
      <c r="E77" s="37" t="inlineStr">
        <is>
          <t>$260–570 (میانگین $395) با قبوض</t>
        </is>
      </c>
      <c r="F77" s="71" t="inlineStr">
        <is>
          <t>❌</t>
        </is>
      </c>
      <c r="G77" s="37" t="inlineStr">
        <is>
          <t>همان روز پذیرش ثبت‌نام؛ Esslingen/Göppingen زودتر خالی می‌شود</t>
        </is>
      </c>
      <c r="H77" s="70" t="inlineStr">
        <is>
          <t>studierendenwerk-stuttgart.de</t>
        </is>
      </c>
      <c r="I77" s="116" t="n"/>
    </row>
    <row r="78">
      <c r="A78" s="22" t="inlineStr">
        <is>
          <t>Uni Passau / Saarland / TU Dresden / Chemnitz / OVGU</t>
        </is>
      </c>
      <c r="B78" s="46" t="inlineStr">
        <is>
          <t>آلمان / شهرهای ارزان</t>
        </is>
      </c>
      <c r="C78" s="77" t="inlineStr">
        <is>
          <t>Studierendenwerk محلی</t>
        </is>
      </c>
      <c r="D78" s="71" t="inlineStr">
        <is>
          <t>❌ ولی معمولاً ظرفیت هست</t>
        </is>
      </c>
      <c r="E78" s="77" t="inlineStr">
        <is>
          <t>$250–435 با قبوض (≈)</t>
        </is>
      </c>
      <c r="F78" s="71" t="inlineStr">
        <is>
          <t>❌</t>
        </is>
      </c>
      <c r="G78" s="77" t="inlineStr">
        <is>
          <t>شهرهای کوچک/شرقی: بدون بحران؛ WG خصوصی $320–515</t>
        </is>
      </c>
      <c r="H78" s="100" t="inlineStr">
        <is>
          <t>studierendenwerke.de (≈)</t>
        </is>
      </c>
      <c r="I78" s="117" t="n"/>
    </row>
    <row r="79">
      <c r="A79" s="22" t="inlineStr">
        <is>
          <t>TU Darmstadt / RWTH Aachen / FAU Erlangen</t>
        </is>
      </c>
      <c r="B79" s="46" t="inlineStr">
        <is>
          <t>آلمان / شهرهای گران</t>
        </is>
      </c>
      <c r="C79" s="37" t="inlineStr">
        <is>
          <t>Studierendenwerk محلی</t>
        </is>
      </c>
      <c r="D79" s="71" t="inlineStr">
        <is>
          <t>❌ صف طولانی</t>
        </is>
      </c>
      <c r="E79" s="37" t="inlineStr">
        <is>
          <t>$340–515 با قبوض (≈)</t>
        </is>
      </c>
      <c r="F79" s="71" t="inlineStr">
        <is>
          <t>❌</t>
        </is>
      </c>
      <c r="G79" s="37" t="inlineStr">
        <is>
          <t>WG خصوصی $515–800؛ زودتر از همه اقدام کنید</t>
        </is>
      </c>
      <c r="H79" s="70" t="inlineStr">
        <is>
          <t>studierendenwerke.de (≈)</t>
        </is>
      </c>
      <c r="I79" s="116" t="n"/>
    </row>
    <row r="80">
      <c r="A80" s="118" t="inlineStr">
        <is>
          <t>University of Twente</t>
        </is>
      </c>
      <c r="B80" s="119" t="inlineStr">
        <is>
          <t>هلند / Enschede</t>
        </is>
      </c>
      <c r="C80" s="82" t="inlineStr">
        <is>
          <t>اتاق‌های کمپوس و شهر از طریق Roomspot (اول‌آمده‌اول‌گرفته)</t>
        </is>
      </c>
      <c r="D80" s="82" t="inlineStr">
        <is>
          <t>پیشنهاد برای دانشجویان ویزایی اگر زود اقدام کنند</t>
        </is>
      </c>
      <c r="E80" s="82" t="inlineStr">
        <is>
          <t>$340–910</t>
        </is>
      </c>
      <c r="F80" s="130" t="inlineStr">
        <is>
          <t>❌</t>
        </is>
      </c>
      <c r="G80" s="82" t="inlineStr">
        <is>
          <t>بلافاصله بعد از پذیرش در Roomspot ثبت‌نام کنید</t>
        </is>
      </c>
      <c r="H80" s="131" t="inlineStr">
        <is>
          <t>utwente.nl (issuu)</t>
        </is>
      </c>
      <c r="I80" s="124" t="n"/>
    </row>
    <row r="81">
      <c r="A81" s="22" t="inlineStr">
        <is>
          <t>Radboud University</t>
        </is>
      </c>
      <c r="B81" s="122" t="inlineStr">
        <is>
          <t>هلند / Nijmegen</t>
        </is>
      </c>
      <c r="C81" s="37" t="inlineStr">
        <is>
          <t>میانجی‌گری دانشگاه + SSH&amp; (اتاق‌های مبله برای کل دوره)</t>
        </is>
      </c>
      <c r="D81" s="71" t="inlineStr">
        <is>
          <t>❌ «کمک، نه تضمین»</t>
        </is>
      </c>
      <c r="E81" s="37" t="inlineStr">
        <is>
          <t>$420–740</t>
        </is>
      </c>
      <c r="F81" s="71" t="inlineStr">
        <is>
          <t>❌</t>
        </is>
      </c>
      <c r="G81" s="37" t="inlineStr">
        <is>
          <t>فرم PAS تا ۱ ژوئن؛ پیشنهادها می–ژوئیه؛ گاهی ۳ ماه پیش‌پرداخت</t>
        </is>
      </c>
      <c r="H81" s="70" t="inlineStr">
        <is>
          <t>ru.nl؛ sshn.nl</t>
        </is>
      </c>
      <c r="I81" s="116" t="n"/>
    </row>
    <row r="82">
      <c r="A82" s="22" t="inlineStr">
        <is>
          <t>Utrecht / TU Eindhoven / UvA / Delft / Leiden</t>
        </is>
      </c>
      <c r="B82" s="122" t="inlineStr">
        <is>
          <t>هلند / شهرهای بزرگ</t>
        </is>
      </c>
      <c r="C82" s="77" t="inlineStr">
        <is>
          <t>اتاق‌های رزروشده با SSH/Plaza/Vestide؛ قرعه‌کشی یا اول‌آمده</t>
        </is>
      </c>
      <c r="D82" s="71" t="inlineStr">
        <is>
          <t>❌ (Utrecht ۲۰۲۶: ۲۸ می تمام شد)</t>
        </is>
      </c>
      <c r="E82" s="77" t="inlineStr">
        <is>
          <t>$740–1,250 (Utrecht استودیو $990 با قبوض)</t>
        </is>
      </c>
      <c r="F82" s="71" t="inlineStr">
        <is>
          <t>❌</t>
        </is>
      </c>
      <c r="G82" s="77" t="inlineStr">
        <is>
          <t>ودیعه ≈ ۲ ماه (Utrecht $1,490)؛ قرارداد ۱۲ ماههٔ ثابت</t>
        </is>
      </c>
      <c r="H82" s="100" t="inlineStr">
        <is>
          <t>uu.nl</t>
        </is>
      </c>
      <c r="I82" s="117" t="n"/>
    </row>
    <row r="83">
      <c r="A83" s="118" t="inlineStr">
        <is>
          <t>Uppsala University</t>
        </is>
      </c>
      <c r="B83" s="123" t="inlineStr">
        <is>
          <t>سوئد / Uppsala</t>
        </is>
      </c>
      <c r="C83" s="92" t="inlineStr">
        <is>
          <t>Housing Office دانشگاه</t>
        </is>
      </c>
      <c r="D83" s="120" t="inlineStr">
        <is>
          <t>✅ تضمین رسمی برای شهریه‌پردازها</t>
        </is>
      </c>
      <c r="E83" s="92" t="inlineStr">
        <is>
          <t>$355–615</t>
        </is>
      </c>
      <c r="F83" s="130" t="inlineStr">
        <is>
          <t>❌</t>
        </is>
      </c>
      <c r="G83" s="92" t="inlineStr">
        <is>
          <t>شهریه را تا مهلت بپردازید و به‌موقع درخواست دهید</t>
        </is>
      </c>
      <c r="H83" s="132" t="inlineStr">
        <is>
          <t>uu.se</t>
        </is>
      </c>
      <c r="I83" s="121" t="n"/>
    </row>
    <row r="84">
      <c r="A84" s="22" t="inlineStr">
        <is>
          <t>Linköping University</t>
        </is>
      </c>
      <c r="B84" s="50" t="inlineStr">
        <is>
          <t>سوئد / Linköping</t>
        </is>
      </c>
      <c r="C84" s="77" t="inlineStr">
        <is>
          <t>یک پیشنهاد اتاق برای سال اول (Studentbostäder)</t>
        </is>
      </c>
      <c r="D84" s="39" t="inlineStr">
        <is>
          <t>✅ یک پیشنهاد (نه انتخاب)</t>
        </is>
      </c>
      <c r="E84" s="77" t="inlineStr">
        <is>
          <t>$355–555 (≈)</t>
        </is>
      </c>
      <c r="F84" s="71" t="inlineStr">
        <is>
          <t>❌</t>
        </is>
      </c>
      <c r="G84" s="77" t="inlineStr">
        <is>
          <t>بعد از پرداخت شهریه؛ رد کنید = از دست می‌رود</t>
        </is>
      </c>
      <c r="H84" s="100" t="inlineStr">
        <is>
          <t>liu.se</t>
        </is>
      </c>
      <c r="I84" s="117" t="n"/>
    </row>
    <row r="85">
      <c r="A85" s="22" t="inlineStr">
        <is>
          <t>KTH / Chalmers</t>
        </is>
      </c>
      <c r="B85" s="50" t="inlineStr">
        <is>
          <t>سوئد / Stockholm / Göteborg</t>
        </is>
      </c>
      <c r="C85" s="37" t="inlineStr">
        <is>
          <t>KTH Accommodation (محدود)؛ Chalmers از طریق SGS برای شهریه‌پردازها</t>
        </is>
      </c>
      <c r="D85" s="71" t="inlineStr">
        <is>
          <t>❌ KTH بدون تضمین؛ Chalmers سهمیه (چک شود)</t>
        </is>
      </c>
      <c r="E85" s="37" t="inlineStr">
        <is>
          <t>$455–810</t>
        </is>
      </c>
      <c r="F85" s="71" t="inlineStr">
        <is>
          <t>❌</t>
        </is>
      </c>
      <c r="G85" s="37" t="inlineStr">
        <is>
          <t>SSSB استکهلم صف ۶–۱۸ ماه؛ Plan B لازم</t>
        </is>
      </c>
      <c r="H85" s="70" t="inlineStr">
        <is>
          <t>su.se؛ leapscholar (≈)</t>
        </is>
      </c>
      <c r="I85" s="116" t="n"/>
    </row>
    <row r="86">
      <c r="A86" s="22" t="inlineStr">
        <is>
          <t>Halmstad / MDU / BTH / Skövde</t>
        </is>
      </c>
      <c r="B86" s="50" t="inlineStr">
        <is>
          <t>سوئد / شهرهای کوچک</t>
        </is>
      </c>
      <c r="C86" s="77" t="inlineStr">
        <is>
          <t>معرفی به شرکت‌های مسکن شهرداری</t>
        </is>
      </c>
      <c r="D86" s="71" t="inlineStr">
        <is>
          <t>❌ Halmstad صریحاً «تضمین نمی‌کند»؛ بقیه صف</t>
        </is>
      </c>
      <c r="E86" s="77" t="inlineStr">
        <is>
          <t>$355–555 (≈)</t>
        </is>
      </c>
      <c r="F86" s="71" t="inlineStr">
        <is>
          <t>❌</t>
        </is>
      </c>
      <c r="G86" s="77" t="inlineStr">
        <is>
          <t>شهرهای کوچک: معمولاً ظرف چند هفته پیدا می‌شود</t>
        </is>
      </c>
      <c r="H86" s="100" t="inlineStr">
        <is>
          <t>hh.se (≈)</t>
        </is>
      </c>
      <c r="I86" s="117" t="n"/>
    </row>
    <row r="87">
      <c r="A87" s="118" t="inlineStr">
        <is>
          <t>Aalborg University (Aalborg)</t>
        </is>
      </c>
      <c r="B87" s="125" t="inlineStr">
        <is>
          <t>دانمارک / Aalborg</t>
        </is>
      </c>
      <c r="C87" s="92" t="inlineStr">
        <is>
          <t>International Accommodation Office؛ ۲۲۰+ واحد مبله</t>
        </is>
      </c>
      <c r="D87" s="120" t="inlineStr">
        <is>
          <t>✅ «تقریباً ۱۰۰٪»</t>
        </is>
      </c>
      <c r="E87" s="92" t="inlineStr">
        <is>
          <t>$490–720 (میانگین $605) با اینترنت/آب/گرمایش/برق</t>
        </is>
      </c>
      <c r="F87" s="130" t="inlineStr">
        <is>
          <t>❌</t>
        </is>
      </c>
      <c r="G87" s="92" t="inlineStr">
        <is>
          <t>اجاره سه‌ماهه؛ ثبت‌نام studieboligaalborg.dk ۱ ژوئیه – ۳۱ اوت</t>
        </is>
      </c>
      <c r="H87" s="132" t="inlineStr">
        <is>
          <t>en.aau.dk؛ findunirooms</t>
        </is>
      </c>
      <c r="I87" s="121" t="n"/>
    </row>
    <row r="88">
      <c r="A88" s="22" t="inlineStr">
        <is>
          <t>AAU Copenhagen / ITU / DTU / KU</t>
        </is>
      </c>
      <c r="B88" s="126" t="inlineStr">
        <is>
          <t>دانمارک / Copenhagen</t>
        </is>
      </c>
      <c r="C88" s="77" t="inlineStr">
        <is>
          <t>راهنمایی؛ KKIK/CIU؛ خوابگاه‌های خصوصی</t>
        </is>
      </c>
      <c r="D88" s="71" t="inlineStr">
        <is>
          <t>❌ صریحاً بدون تضمین</t>
        </is>
      </c>
      <c r="E88" s="77" t="inlineStr">
        <is>
          <t>$535–915 (KKIK/CIU) · $765–1,370 خوابگاه/co-living · آپارتمان $1,070+</t>
        </is>
      </c>
      <c r="F88" s="71" t="inlineStr">
        <is>
          <t>❌</t>
        </is>
      </c>
      <c r="G88" s="77" t="inlineStr">
        <is>
          <t>«سخت‌ترین بازار اروپا» (خود AAU)؛ ۶ ماه قبل شروع کنید</t>
        </is>
      </c>
      <c r="H88" s="100" t="inlineStr">
        <is>
          <t>en.aau.dk</t>
        </is>
      </c>
      <c r="I88" s="117" t="n"/>
    </row>
    <row r="89">
      <c r="A89" s="22" t="inlineStr">
        <is>
          <t>SDU Odense</t>
        </is>
      </c>
      <c r="B89" s="126" t="inlineStr">
        <is>
          <t>دانمارک / Odense</t>
        </is>
      </c>
      <c r="C89" s="37" t="inlineStr">
        <is>
          <t>SDU Housing (کمک با kollegium)</t>
        </is>
      </c>
      <c r="D89" s="71" t="inlineStr">
        <is>
          <t>❌ کمک، بدون تضمین</t>
        </is>
      </c>
      <c r="E89" s="37" t="inlineStr">
        <is>
          <t>$535–840 (≈)</t>
        </is>
      </c>
      <c r="F89" s="71" t="inlineStr">
        <is>
          <t>❌</t>
        </is>
      </c>
      <c r="G89" s="37" t="inlineStr">
        <is>
          <t>Odense خیلی ارزان‌تر از کپنهاگ</t>
        </is>
      </c>
      <c r="H89" s="70" t="inlineStr">
        <is>
          <t>sdu.dk (≈)</t>
        </is>
      </c>
      <c r="I89" s="116" t="n"/>
    </row>
    <row r="90">
      <c r="A90" s="118" t="inlineStr">
        <is>
          <t>ETH Zürich / UZH / ZHAW</t>
        </is>
      </c>
      <c r="B90" s="127" t="inlineStr">
        <is>
          <t>سوئیس / Zürich</t>
        </is>
      </c>
      <c r="C90" s="82" t="inlineStr">
        <is>
          <t>WOKO، Juwo (تعاونی‌ها)؛ دانشگاه فقط معرفی می‌کند</t>
        </is>
      </c>
      <c r="D90" s="130" t="inlineStr">
        <is>
          <t>❌ لیست انتظار ۳–۱۲ ماه</t>
        </is>
      </c>
      <c r="E90" s="82" t="inlineStr">
        <is>
          <t>WOKO $355–1,430 (اکثر $545–1,030)؛ WG خصوصی $845–1,450</t>
        </is>
      </c>
      <c r="F90" s="130" t="inlineStr">
        <is>
          <t>❌</t>
        </is>
      </c>
      <c r="G90" s="82" t="inlineStr">
        <is>
          <t>روز پذیرش در WOKO ثبت‌نام کنید؛ اجارهٔ خصوصی: ضامن/بیمهٔ ودیعه</t>
        </is>
      </c>
      <c r="H90" s="131" t="inlineStr">
        <is>
          <t>woko.ch</t>
        </is>
      </c>
      <c r="I90" s="124" t="n"/>
    </row>
    <row r="91">
      <c r="A91" s="22" t="inlineStr">
        <is>
          <t>EPFL</t>
        </is>
      </c>
      <c r="B91" s="36" t="inlineStr">
        <is>
          <t>سوئیس / Lausanne</t>
        </is>
      </c>
      <c r="C91" s="37" t="inlineStr">
        <is>
          <t>FMEL (بنیاد خوابگاه‌های لوزان)</t>
        </is>
      </c>
      <c r="D91" s="71" t="inlineStr">
        <is>
          <t>❌ زود پر می‌شود</t>
        </is>
      </c>
      <c r="E91" s="37" t="inlineStr">
        <is>
          <t>≈ $605–1,090</t>
        </is>
      </c>
      <c r="F91" s="71" t="inlineStr">
        <is>
          <t>❌</t>
        </is>
      </c>
      <c r="G91" s="37" t="inlineStr">
        <is>
          <t>بلافاصله بعد از پذیرش دور اول (مارس)</t>
        </is>
      </c>
      <c r="H91" s="70" t="inlineStr">
        <is>
          <t>fmel.ch (≈)</t>
        </is>
      </c>
      <c r="I91" s="116" t="n"/>
    </row>
    <row r="92">
      <c r="A92" s="22" t="inlineStr">
        <is>
          <t>USI / Bern / Fribourg / Neuchâtel / Basel / HSLU</t>
        </is>
      </c>
      <c r="B92" s="36" t="inlineStr">
        <is>
          <t>سوئیس / شهرهای کوچک‌تر</t>
        </is>
      </c>
      <c r="C92" s="77" t="inlineStr">
        <is>
          <t>خوابگاه‌های دانشجویی محلی + معرفی دانشگاه</t>
        </is>
      </c>
      <c r="D92" s="71" t="inlineStr">
        <is>
          <t>❌ ولی بازار آسان‌تر از زوریخ</t>
        </is>
      </c>
      <c r="E92" s="77" t="inlineStr">
        <is>
          <t>≈ $545–970؛ WG $725–1,090</t>
        </is>
      </c>
      <c r="F92" s="71" t="inlineStr">
        <is>
          <t>❌</t>
        </is>
      </c>
      <c r="G92" s="77" t="inlineStr">
        <is>
          <t>لوگانو/فریبورگ/نوشاتل ارزان‌ترین سوئیس</t>
        </is>
      </c>
      <c r="H92" s="100" t="inlineStr">
        <is>
          <t>برآورد</t>
        </is>
      </c>
      <c r="I92" s="117" t="n"/>
    </row>
    <row r="93">
      <c r="A93" s="118" t="inlineStr">
        <is>
          <t>Teesside University</t>
        </is>
      </c>
      <c r="B93" s="129" t="inlineStr">
        <is>
          <t>انگلستان / Middlesbrough</t>
        </is>
      </c>
      <c r="C93" s="92" t="inlineStr">
        <is>
          <t>خوابگاه دانشگاه + PBSA خصوصی</t>
        </is>
      </c>
      <c r="D93" s="92" t="inlineStr">
        <is>
          <t>معمولاً بله برای دانشجویان جدید (تأیید کنید)</t>
        </is>
      </c>
      <c r="E93" s="92" t="inlineStr">
        <is>
          <t>$115 (حمام مشترک) تا $165 (en-suite) و $205–210 (KES) در هفته؛ ودیعه $200؛ ۴۰/۴۵/۵۰ هفته (رسمی 2026/27)</t>
        </is>
      </c>
      <c r="F93" s="130" t="inlineStr">
        <is>
          <t>❌ (PG)</t>
        </is>
      </c>
      <c r="G93" s="92" t="inlineStr">
        <is>
          <t>ارزان‌ترین شهر جدول انگلستان</t>
        </is>
      </c>
      <c r="H93" s="132" t="inlineStr">
        <is>
          <t>tees.ac.uk رسمی</t>
        </is>
      </c>
      <c r="I93" s="121" t="n"/>
    </row>
    <row r="94">
      <c r="A94" s="22" t="inlineStr">
        <is>
          <t>Northumbria University</t>
        </is>
      </c>
      <c r="B94" s="47" t="inlineStr">
        <is>
          <t>انگلستان / Newcastle</t>
        </is>
      </c>
      <c r="C94" s="77" t="inlineStr">
        <is>
          <t>خوابگاه دانشگاه</t>
        </is>
      </c>
      <c r="D94" s="77" t="inlineStr">
        <is>
          <t>معمولاً بله (تأیید کنید)</t>
        </is>
      </c>
      <c r="E94" s="77" t="inlineStr">
        <is>
          <t>$125–210/هفته با قبوض (رسمی) = $545–915/ماه</t>
        </is>
      </c>
      <c r="F94" s="39" t="inlineStr">
        <is>
          <t>✅ گزینهٔ catered دارد</t>
        </is>
      </c>
      <c r="G94" s="77" t="inlineStr">
        <is>
          <t>حداقل زندگی ≈ $1,340/ماه (خود دانشگاه)</t>
        </is>
      </c>
      <c r="H94" s="100" t="inlineStr">
        <is>
          <t>northumbria.ac.uk</t>
        </is>
      </c>
      <c r="I94" s="117" t="n"/>
    </row>
    <row r="95">
      <c r="A95" s="22" t="inlineStr">
        <is>
          <t>Newcastle University</t>
        </is>
      </c>
      <c r="B95" s="47" t="inlineStr">
        <is>
          <t>انگلستان / Newcastle</t>
        </is>
      </c>
      <c r="C95" s="37" t="inlineStr">
        <is>
          <t>خوابگاه‌های دانشگاه (Bowsden Court، Grand Hotel، Bernicia…)</t>
        </is>
      </c>
      <c r="D95" s="37" t="inlineStr">
        <is>
          <t>برای PG جدید معمولاً بله (تأیید کنید)</t>
        </is>
      </c>
      <c r="E95" s="37" t="inlineStr">
        <is>
          <t>$155–320/هفته (رسمی 2026/27)</t>
        </is>
      </c>
      <c r="F95" s="71" t="inlineStr">
        <is>
          <t>❌ (PG)</t>
        </is>
      </c>
      <c r="G95" s="37" t="inlineStr">
        <is>
          <t>Bowsden Court برای PG/خانواده</t>
        </is>
      </c>
      <c r="H95" s="70" t="inlineStr">
        <is>
          <t>ncl.ac.uk</t>
        </is>
      </c>
      <c r="I95" s="116" t="n"/>
    </row>
    <row r="96">
      <c r="A96" s="22" t="inlineStr">
        <is>
          <t>University of York</t>
        </is>
      </c>
      <c r="B96" s="47" t="inlineStr">
        <is>
          <t>انگلستان / York</t>
        </is>
      </c>
      <c r="C96" s="77" t="inlineStr">
        <is>
          <t>خوابگاه کمپوس (Wentworth Graduate College، Halifax)</t>
        </is>
      </c>
      <c r="D96" s="39" t="inlineStr">
        <is>
          <t>✅ تضمین PG اگر تا ۳۱ ژوئیه اقدام کنید</t>
        </is>
      </c>
      <c r="E96" s="77" t="inlineStr">
        <is>
          <t>$245–295/هفته × ۵۱ هفته = $12,600–15,100/سال (رسمی 2026/27)</t>
        </is>
      </c>
      <c r="F96" s="71" t="inlineStr">
        <is>
          <t>❌ (PG self-catered)</t>
        </is>
      </c>
      <c r="G96" s="77" t="inlineStr">
        <is>
          <t>پیشنهاد بدون قید ویزا تا ۷ اوت</t>
        </is>
      </c>
      <c r="H96" s="100" t="inlineStr">
        <is>
          <t>york.ac.uk</t>
        </is>
      </c>
      <c r="I96" s="117" t="n"/>
    </row>
    <row r="97">
      <c r="A97" s="22" t="inlineStr">
        <is>
          <t>University of Essex</t>
        </is>
      </c>
      <c r="B97" s="47" t="inlineStr">
        <is>
          <t>انگلستان / Colchester</t>
        </is>
      </c>
      <c r="C97" s="37" t="inlineStr">
        <is>
          <t>خوابگاه کمپوس</t>
        </is>
      </c>
      <c r="D97" s="39" t="inlineStr">
        <is>
          <t>✅ تضمین برای PG برای کل دوره (اکتبر: مهلت ≈ ۱۲ سپتامبر؛ ژانویه: ۳۰ نوامبر)</t>
        </is>
      </c>
      <c r="E97" s="37" t="inlineStr">
        <is>
          <t>$225–265/هفته (حمام مشترک Meadows $225؛ en-suite $250–265؛ رسمی 2026-27)</t>
        </is>
      </c>
      <c r="F97" s="71" t="inlineStr">
        <is>
          <t>❌</t>
        </is>
      </c>
      <c r="G97" s="37" t="inlineStr">
        <is>
          <t>ورود زودهنگام رایگان برای ورودی ژانویه</t>
        </is>
      </c>
      <c r="H97" s="70" t="inlineStr">
        <is>
          <t>essex.ac.uk</t>
        </is>
      </c>
      <c r="I97" s="116" t="n"/>
    </row>
    <row r="98">
      <c r="A98" s="22" t="inlineStr">
        <is>
          <t>Brunel University London</t>
        </is>
      </c>
      <c r="B98" s="47" t="inlineStr">
        <is>
          <t>انگلستان / Uxbridge</t>
        </is>
      </c>
      <c r="C98" s="77" t="inlineStr">
        <is>
          <t>خوابگاه کمپوس</t>
        </is>
      </c>
      <c r="D98" s="39" t="inlineStr">
        <is>
          <t>✅ تضمین برای همهٔ دانشجویان جدید — مهلت ۱۵ مارس ۲۰۲۶ برای 2026/27</t>
        </is>
      </c>
      <c r="E98" s="77" t="inlineStr">
        <is>
          <t>en-suite از $240–245/هفته؛ استودیو $490 (رسمی 2026/27)</t>
        </is>
      </c>
      <c r="F98" s="71" t="inlineStr">
        <is>
          <t>❌</t>
        </is>
      </c>
      <c r="G98" s="77" t="inlineStr">
        <is>
          <t>پیش‌پرداخت $465 (اتاق) / $595 (استودیو)</t>
        </is>
      </c>
      <c r="H98" s="100" t="inlineStr">
        <is>
          <t>brunel.ac.uk</t>
        </is>
      </c>
      <c r="I98" s="117" t="n"/>
    </row>
    <row r="99">
      <c r="A99" s="22" t="inlineStr">
        <is>
          <t>Warwick / Sheffield / Lancaster / Leicester</t>
        </is>
      </c>
      <c r="B99" s="47" t="inlineStr">
        <is>
          <t>انگلستان / شهرهای متوسط</t>
        </is>
      </c>
      <c r="C99" s="37" t="inlineStr">
        <is>
          <t>خوابگاه دانشگاه</t>
        </is>
      </c>
      <c r="D99" s="37" t="inlineStr">
        <is>
          <t>Sheffield/Lancaster معمولاً بله برای PG؛ Warwick محدود (تأیید کنید)</t>
        </is>
      </c>
      <c r="E99" s="37" t="inlineStr">
        <is>
          <t>Sheffield PG $240–275 و Lancaster $185–275 (رسمی 2026/27)؛ Warwick/Leicester ≈ $170–280 (برآورد)</t>
        </is>
      </c>
      <c r="F99" s="71" t="inlineStr">
        <is>
          <t>❌ (PG)</t>
        </is>
      </c>
      <c r="G99" s="37" t="inlineStr">
        <is>
          <t>اتاق خصوصی $730–995/ماه</t>
        </is>
      </c>
      <c r="H99" s="70" t="inlineStr">
        <is>
          <t>sheffield.ac.uk، lancaster.ac.uk رسمی؛ بقیه برآورد</t>
        </is>
      </c>
      <c r="I99" s="116" t="n"/>
    </row>
    <row r="100">
      <c r="A100" s="22" t="inlineStr">
        <is>
          <t>Durham University</t>
        </is>
      </c>
      <c r="B100" s="47" t="inlineStr">
        <is>
          <t>انگلستان / Durham</t>
        </is>
      </c>
      <c r="C100" s="77" t="inlineStr">
        <is>
          <t>کالج‌ها (۱۷ کالج؛ Ustinov فقط PG)</t>
        </is>
      </c>
      <c r="D100" s="71" t="inlineStr">
        <is>
          <t>❌ PG بدون تضمین؛ کالج‌ها بعد از پذیرش تماس می‌گیرند</t>
        </is>
      </c>
      <c r="E100" s="77" t="inlineStr">
        <is>
          <t>PG self-catered ≈ $240–265/هفته (۳۹ هفته $9,470–10,300، 25/26) · catered $345/هفته ($13,600/سال)</t>
        </is>
      </c>
      <c r="F100" s="39" t="inlineStr">
        <is>
          <t>✅ کالج‌های catered (۳ وعده در ترم) — عمدتاً کارشناسی؛ بعضی کالج‌ها برای PG هم</t>
        </is>
      </c>
      <c r="G100" s="77" t="inlineStr">
        <is>
          <t>سهم غذا ≈ $4,090/سال؛ اجارهٔ خصوصی از $250/هفته</t>
        </is>
      </c>
      <c r="H100" s="100" t="inlineStr">
        <is>
          <t>durham.ac.uk؛ palatinate.org.uk</t>
        </is>
      </c>
      <c r="I100" s="117" t="n"/>
    </row>
    <row r="101">
      <c r="A101" s="22" t="inlineStr">
        <is>
          <t>University of Bristol</t>
        </is>
      </c>
      <c r="B101" s="47" t="inlineStr">
        <is>
          <t>انگلستان / Bristol</t>
        </is>
      </c>
      <c r="C101" s="37" t="inlineStr">
        <is>
          <t>خوابگاه دانشگاه (catered و self-catered)</t>
        </is>
      </c>
      <c r="D101" s="37" t="inlineStr">
        <is>
          <t>PG: محدود (تأیید کنید)</t>
        </is>
      </c>
      <c r="E101" s="37" t="inlineStr">
        <is>
          <t>≈ $200–345/هفته</t>
        </is>
      </c>
      <c r="F101" s="39" t="inlineStr">
        <is>
          <t>✅ catered halls (عمدتاً UG)</t>
        </is>
      </c>
      <c r="G101" s="37" t="inlineStr">
        <is>
          <t>بریستول یکی از گران‌ترین شهرهای خارج لندن</t>
        </is>
      </c>
      <c r="H101" s="70" t="inlineStr">
        <is>
          <t>برآورد</t>
        </is>
      </c>
      <c r="I101" s="116" t="n"/>
    </row>
    <row r="102">
      <c r="A102" s="22" t="inlineStr">
        <is>
          <t>UCL / King's College London</t>
        </is>
      </c>
      <c r="B102" s="47" t="inlineStr">
        <is>
          <t>انگلستان / London</t>
        </is>
      </c>
      <c r="C102" s="77" t="inlineStr">
        <is>
          <t>خوابگاه‌های دانشگاه و بین‌دانشگاهی</t>
        </is>
      </c>
      <c r="D102" s="71" t="inlineStr">
        <is>
          <t>❌ PG بدون تضمین</t>
        </is>
      </c>
      <c r="E102" s="77" t="inlineStr">
        <is>
          <t>≈ $250–465/هفته ($1,090–1,990/ماه)</t>
        </is>
      </c>
      <c r="F102" s="71" t="inlineStr">
        <is>
          <t>❌ (PG)</t>
        </is>
      </c>
      <c r="G102" s="77" t="inlineStr">
        <is>
          <t>UCL طرح ضامن اجاره $66 (سقف $2,010/ماه)</t>
        </is>
      </c>
      <c r="H102" s="100" t="inlineStr">
        <is>
          <t>harveywjames (≈)</t>
        </is>
      </c>
      <c r="I102" s="117" t="n"/>
    </row>
    <row r="103">
      <c r="A103" s="22" t="inlineStr">
        <is>
          <t>Imperial College London</t>
        </is>
      </c>
      <c r="B103" s="47" t="inlineStr">
        <is>
          <t>انگلستان / London</t>
        </is>
      </c>
      <c r="C103" s="37" t="inlineStr">
        <is>
          <t>خوابگاه (Beit، Holbein…) + GradPad</t>
        </is>
      </c>
      <c r="D103" s="71" t="inlineStr">
        <is>
          <t>❌ PG بدون تضمین</t>
        </is>
      </c>
      <c r="E103" s="37" t="inlineStr">
        <is>
          <t>$280–545/هفته (۲۰۲۶) = $1,190–2,390/ماه؛ خانهٔ مشترک $240–595/هفته</t>
        </is>
      </c>
      <c r="F103" s="71" t="inlineStr">
        <is>
          <t>❌ (PG)</t>
        </is>
      </c>
      <c r="G103" s="37" t="inlineStr">
        <is>
          <t>طرح ضامن اجاره فقط UG/PhD؛ برآورد خود Imperial برای زندگی: $21.7–22.5k / ۹ ماه</t>
        </is>
      </c>
      <c r="H103" s="70" t="inlineStr">
        <is>
          <t>harveywjames؛ ukfreshersguide (≈)</t>
        </is>
      </c>
      <c r="I103" s="116" t="n"/>
    </row>
    <row r="104"/>
    <row r="105">
      <c r="A105" s="15" t="inlineStr">
        <is>
          <t>شهر / کشور</t>
        </is>
      </c>
      <c r="B105" s="15" t="inlineStr">
        <is>
          <t>خوابگاه استاندارد (حمام مشترک) — سالانه</t>
        </is>
      </c>
      <c r="C105" s="15" t="inlineStr">
        <is>
          <t>خوابگاه en-suite — سالانه</t>
        </is>
      </c>
      <c r="D105" s="15" t="inlineStr">
        <is>
          <t>اتاق در خانهٔ مشترک خصوصی — سالانه (+ قبوض ≈ $105/ماه)</t>
        </is>
      </c>
      <c r="E105" s="15" t="inlineStr">
        <is>
          <t>en-suite در برابر اتاق خصوصی</t>
        </is>
      </c>
      <c r="F105" s="15" t="inlineStr">
        <is>
          <t>استاندارد در برابر en-suite (پول حمام اختصاصی)</t>
        </is>
      </c>
      <c r="G105" s="15" t="inlineStr">
        <is>
          <t>نکته</t>
        </is>
      </c>
      <c r="H105" s="114" t="n"/>
      <c r="I105" s="114" t="n"/>
    </row>
    <row r="106">
      <c r="A106" s="22" t="inlineStr">
        <is>
          <t>Newcastle / Middlesbrough (Northumbria، Newcastle، Teesside)</t>
        </is>
      </c>
      <c r="B106" s="37" t="inlineStr">
        <is>
          <t>$115–155/هفته × ۵۰–۵۱ = $5,630–7,950 (رسمی: Teesside Parkside $115، Northumbria $125، Newcastle $155)</t>
        </is>
      </c>
      <c r="C106" s="37" t="inlineStr">
        <is>
          <t>$165–250/هفته × ۵۰–۵۱ = $8,280–12,900 (Teesside Woodlands $165 رسمی)</t>
        </is>
      </c>
      <c r="D106" s="37" t="inlineStr">
        <is>
          <t>$595–860/ماه × ۱۲ + $1,270 = $8,480–11,700 (+ ضامن ≈ $2,190 اگر لازم شود)</t>
        </is>
      </c>
      <c r="E106" s="37" t="inlineStr">
        <is>
          <t>≈ برابر (−$1,330 تا +$2,250)</t>
        </is>
      </c>
      <c r="F106" s="37" t="inlineStr">
        <is>
          <t>استاندارد $3,050–4,900 ارزان‌تر</t>
        </is>
      </c>
      <c r="G106" s="37" t="inlineStr">
        <is>
          <t>ارزان‌ترین راه واقعی: اتاق استاندارد ۵۱ هفته‌ای ≈ $6,490 با همهٔ قبوض</t>
        </is>
      </c>
      <c r="H106" s="116" t="n"/>
      <c r="I106" s="116" t="n"/>
    </row>
    <row r="107">
      <c r="A107" s="22" t="inlineStr">
        <is>
          <t>York (اعداد رسمی PG 2026/27)</t>
        </is>
      </c>
      <c r="B107" s="37" t="inlineStr">
        <is>
          <t>$245 × ۵۱ = $12,600</t>
        </is>
      </c>
      <c r="C107" s="77" t="inlineStr">
        <is>
          <t>$275 × ۵۱ = $13,900</t>
        </is>
      </c>
      <c r="D107" s="77" t="inlineStr">
        <is>
          <t>$730–995/ماه × ۱۲ + $1,270 = $10,000–13,200</t>
        </is>
      </c>
      <c r="E107" s="71" t="inlineStr">
        <is>
          <t>❌ en-suite $665–3,840 گران‌تر از اتاق خصوصی</t>
        </is>
      </c>
      <c r="F107" s="77" t="inlineStr">
        <is>
          <t>استاندارد $1,350 ارزان‌تر</t>
        </is>
      </c>
      <c r="G107" s="77" t="inlineStr">
        <is>
          <t>York خوابگاه گران دارد؛ مزیتش تضمین و بی‌ضامنی است، نه قیمت</t>
        </is>
      </c>
      <c r="H107" s="117" t="n"/>
      <c r="I107" s="117" t="n"/>
    </row>
    <row r="108">
      <c r="A108" s="22" t="inlineStr">
        <is>
          <t>Colchester (Essex)</t>
        </is>
      </c>
      <c r="B108" s="37" t="inlineStr">
        <is>
          <t>$225 (Meadows، حمام مشترک) × ۴۰–۵۱ = $8,880–11,400 (رسمی)</t>
        </is>
      </c>
      <c r="C108" s="37" t="inlineStr">
        <is>
          <t>$250–265 × ۴۰–۵۱ = $10,100–13,400 (رسمی)</t>
        </is>
      </c>
      <c r="D108" s="37" t="inlineStr">
        <is>
          <t>≈ $530–795/ماه × ۱۲ + $1,270 = $7,690–10,900</t>
        </is>
      </c>
      <c r="E108" s="71" t="inlineStr">
        <is>
          <t>❌ خوابگاه $1,330–3,980 گران‌تر از اتاق خصوصی</t>
        </is>
      </c>
      <c r="F108" s="37" t="inlineStr">
        <is>
          <t>استاندارد ≈ $1,190–1,990 ارزان‌تر</t>
        </is>
      </c>
      <c r="G108" s="37" t="inlineStr">
        <is>
          <t>قرارداد ۴۰ هفته‌ای برای ارشد ۱۲ ماهه کافی نیست → ۸–۱۲ هفتهٔ تابستان جدا</t>
        </is>
      </c>
      <c r="H108" s="116" t="n"/>
      <c r="I108" s="116" t="n"/>
    </row>
    <row r="109">
      <c r="A109" s="22" t="inlineStr">
        <is>
          <t>Uxbridge (Brunel) — غرب لندن</t>
        </is>
      </c>
      <c r="B109" s="37" t="inlineStr">
        <is>
          <t>— (Brunel تقریباً همه en-suite)</t>
        </is>
      </c>
      <c r="C109" s="77" t="inlineStr">
        <is>
          <t>$240–280 × ۴۰–۵۰ = $9,540–13,900 (رسمی 2026/27)</t>
        </is>
      </c>
      <c r="D109" s="77" t="inlineStr">
        <is>
          <t>$1,190–1,590/ماه × ۱۲ + $1,590 = $15,900–20,700</t>
        </is>
      </c>
      <c r="E109" s="39" t="inlineStr">
        <is>
          <t>✅ en-suite $2,650–6,630 ارزان‌تر</t>
        </is>
      </c>
      <c r="F109" s="77" t="inlineStr">
        <is>
          <t>—</t>
        </is>
      </c>
      <c r="G109" s="77" t="inlineStr">
        <is>
          <t>در لندن و حومه خوابگاه دانشگاه واقعاً می‌صرفد + تضمین Brunel (مهلت ۱۵ مارس)</t>
        </is>
      </c>
      <c r="H109" s="117" t="n"/>
      <c r="I109" s="117" t="n"/>
    </row>
    <row r="110">
      <c r="A110" s="22" t="inlineStr">
        <is>
          <t>Durham (کالج، PG self-catered)</t>
        </is>
      </c>
      <c r="B110" s="37" t="inlineStr">
        <is>
          <t>$240 × ۳۹ = $9,470 + ۱۳ هفته تابستان ≈ $2,580 = $12,100</t>
        </is>
      </c>
      <c r="C110" s="37" t="inlineStr">
        <is>
          <t>$265 × ۳۹ = $10,300 + تابستان ≈ $2,580 = $12,900</t>
        </is>
      </c>
      <c r="D110" s="37" t="inlineStr">
        <is>
          <t>$730–930/ماه × ۱۲ + $1,270 = $10,000–12,400</t>
        </is>
      </c>
      <c r="E110" s="37" t="inlineStr">
        <is>
          <t>≈ برابر تا $2,650 گران‌تر</t>
        </is>
      </c>
      <c r="F110" s="37" t="inlineStr">
        <is>
          <t>استاندارد $860 ارزان‌تر</t>
        </is>
      </c>
      <c r="G110" s="37" t="inlineStr">
        <is>
          <t>قرارداد ۳۹ هفته‌ای دورهام برای ارشد ۱۲ ماهه مشکل‌ساز است</t>
        </is>
      </c>
      <c r="H110" s="116" t="n"/>
      <c r="I110" s="116" t="n"/>
    </row>
    <row r="111">
      <c r="A111" s="22" t="inlineStr">
        <is>
          <t>London مرکز (UCL / KCL / Imperial)</t>
        </is>
      </c>
      <c r="B111" s="37" t="inlineStr">
        <is>
          <t>$280–330 × ۴۰–۵۱ = $11,100–16,900</t>
        </is>
      </c>
      <c r="C111" s="77" t="inlineStr">
        <is>
          <t>$345–465 × ۴۰–۵۱ = $13,800–23,700</t>
        </is>
      </c>
      <c r="D111" s="77" t="inlineStr">
        <is>
          <t>$1,330–1,860/ماه × ۱۲ + $1,590 = $17,500–23,900 (+ ضامن)</t>
        </is>
      </c>
      <c r="E111" s="39" t="inlineStr">
        <is>
          <t>✅ $0–3,980 ارزان‌تر (اگر گیرتان بیاید — PG بدون تضمین)</t>
        </is>
      </c>
      <c r="F111" s="77" t="inlineStr">
        <is>
          <t>استاندارد $2,650–6,630 ارزان‌تر</t>
        </is>
      </c>
      <c r="G111" s="77" t="inlineStr">
        <is>
          <t>در لندن هر دو گران‌اند؛ تفاوت اصلی «ضامن نخواستن» خوابگاه است</t>
        </is>
      </c>
      <c r="H111" s="117" t="n"/>
      <c r="I111" s="117" t="n"/>
    </row>
    <row r="112">
      <c r="A112" s="108" t="inlineStr">
        <is>
          <t>آلمان (Studierendenwerk در برابر WG)</t>
        </is>
      </c>
      <c r="B112" s="37" t="inlineStr">
        <is>
          <t>$260–515/ماه با قبوض = $3,190–6,160</t>
        </is>
      </c>
      <c r="C112" s="37" t="inlineStr">
        <is>
          <t>— (خوابگاه‌های آلمان معمولاً حمام مشترک یا آپارتمان تک‌نفره)</t>
        </is>
      </c>
      <c r="D112" s="37" t="inlineStr">
        <is>
          <t>$515–800 + $91 قبوض = $7,300–10,700</t>
        </is>
      </c>
      <c r="E112" s="39" t="inlineStr">
        <is>
          <t>✅ خوابگاه $1,710–5,130 ارزان‌تر</t>
        </is>
      </c>
      <c r="F112" s="37" t="inlineStr">
        <is>
          <t>—</t>
        </is>
      </c>
      <c r="G112" s="37" t="inlineStr">
        <is>
          <t>بزرگ‌ترین صرفه‌جویی نسبی — ولی لیست انتظار</t>
        </is>
      </c>
      <c r="H112" s="116" t="n"/>
      <c r="I112" s="116" t="n"/>
    </row>
    <row r="113">
      <c r="A113" s="109" t="inlineStr">
        <is>
          <t>هلند (اتاق رزروشده در برابر بازار)</t>
        </is>
      </c>
      <c r="B113" s="37" t="inlineStr">
        <is>
          <t>$420–740 = $5,020–8,890</t>
        </is>
      </c>
      <c r="C113" s="77" t="inlineStr">
        <is>
          <t>—</t>
        </is>
      </c>
      <c r="D113" s="77" t="inlineStr">
        <is>
          <t>$685–1,140 = $8,210–13,700</t>
        </is>
      </c>
      <c r="E113" s="39" t="inlineStr">
        <is>
          <t>✅ $1,710–4,560 ارزان‌تر</t>
        </is>
      </c>
      <c r="F113" s="77" t="inlineStr">
        <is>
          <t>—</t>
        </is>
      </c>
      <c r="G113" s="77" t="inlineStr">
        <is>
          <t>اتاق رزروشده فقط سال اول و بدون تضمین</t>
        </is>
      </c>
      <c r="H113" s="117" t="n"/>
      <c r="I113" s="117" t="n"/>
    </row>
    <row r="114">
      <c r="A114" s="110" t="inlineStr">
        <is>
          <t>سوئد (کریدوری در برابر خصوصی)</t>
        </is>
      </c>
      <c r="B114" s="37" t="inlineStr">
        <is>
          <t>$355–655 = $4.2–7.9k</t>
        </is>
      </c>
      <c r="C114" s="37" t="inlineStr">
        <is>
          <t>—</t>
        </is>
      </c>
      <c r="D114" s="37" t="inlineStr">
        <is>
          <t>$505–810 (+ برق) = $6.3–10.1k</t>
        </is>
      </c>
      <c r="E114" s="39" t="inlineStr">
        <is>
          <t>✅ $1.5–2.5k ارزان‌تر</t>
        </is>
      </c>
      <c r="F114" s="37" t="inlineStr">
        <is>
          <t>—</t>
        </is>
      </c>
      <c r="G114" s="37" t="inlineStr">
        <is>
          <t>Uppsala/LiU تضمین؛ استکهلم صف</t>
        </is>
      </c>
      <c r="H114" s="116" t="n"/>
      <c r="I114" s="116" t="n"/>
    </row>
    <row r="115">
      <c r="A115" s="111" t="inlineStr">
        <is>
          <t>دانمارک (kollegium در برابر خصوصی)</t>
        </is>
      </c>
      <c r="B115" s="37" t="inlineStr">
        <is>
          <t>$490–720 = $5.8–8.5k</t>
        </is>
      </c>
      <c r="C115" s="77" t="inlineStr">
        <is>
          <t>—</t>
        </is>
      </c>
      <c r="D115" s="77" t="inlineStr">
        <is>
          <t>$685–1,070 = $8.2–12.8k</t>
        </is>
      </c>
      <c r="E115" s="39" t="inlineStr">
        <is>
          <t>✅ $2.3–4.6k ارزان‌تر</t>
        </is>
      </c>
      <c r="F115" s="77" t="inlineStr">
        <is>
          <t>—</t>
        </is>
      </c>
      <c r="G115" s="77" t="inlineStr">
        <is>
          <t>Aalborg تضمین؛ کپنهاگ نه</t>
        </is>
      </c>
      <c r="H115" s="117" t="n"/>
      <c r="I115" s="117" t="n"/>
    </row>
    <row r="116">
      <c r="A116" s="112" t="inlineStr">
        <is>
          <t>سوئیس (WOKO/FMEL در برابر WG)</t>
        </is>
      </c>
      <c r="B116" s="37" t="inlineStr">
        <is>
          <t>$580–1,090 = $7,020–13,100</t>
        </is>
      </c>
      <c r="C116" s="37" t="inlineStr">
        <is>
          <t>—</t>
        </is>
      </c>
      <c r="D116" s="37" t="inlineStr">
        <is>
          <t>$845–1,450 = $10,200–17,400</t>
        </is>
      </c>
      <c r="E116" s="39" t="inlineStr">
        <is>
          <t>✅ $3,030–6,050 ارزان‌تر</t>
        </is>
      </c>
      <c r="F116" s="37" t="inlineStr">
        <is>
          <t>—</t>
        </is>
      </c>
      <c r="G116" s="37" t="inlineStr">
        <is>
          <t>بزرگ‌ترین صرفه‌جویی مطلق — ولی زوریخ ۳–۱۲ ماه صف</t>
        </is>
      </c>
      <c r="H116" s="116" t="n"/>
      <c r="I116" s="116" t="n"/>
    </row>
    <row r="117"/>
    <row r="118" ht="48" customHeight="1">
      <c r="A118" s="101" t="inlineStr">
        <is>
          <t>پاسخ کوتاه به «انگلیس خوابگاه با ناهار و شام می‌دهد»: بله، «catered halls» وجود دارد (معمولاً صبحانه + شام، در Durham سه وعده)، ولی (۱) تقریباً همه‌جا فقط برای سال اول کارشناسی است و برای ارشد فقط چند جا (Durham، Northumbria، بعضی کالج‌های Bristol)، (۲) فقط در هفته‌های ترم (≈ ۳۰ هفته) غذا می‌دهند، (۳) هیچ‌جا داخل شهریه نیست — Durham ≈ $4,090 در سال برای غذا جدا می‌گیرد و اجارهٔ catered ≈ $345/هفته است.</t>
        </is>
      </c>
    </row>
    <row r="119" ht="48" customHeight="1">
      <c r="A119" s="34" t="inlineStr">
        <is>
          <t>• در هیچ‌یک از ۶ کشور خوابگاه داخل شهریه نیست. ارزان‌ترین خوابگاه‌ها: آلمان ($260–515 با قبوض) و شهرهای کوچک سوئد/دانمارک؛ گران‌ترین: لندن ($1,190–2,390/ماه) و زوریخ ($845–1,450 اتاق).</t>
        </is>
      </c>
    </row>
    <row r="120" ht="48" customHeight="1">
      <c r="A120" s="34" t="inlineStr">
        <is>
          <t>• تضمین واقعی برای دانشجوی ارشد بین‌المللی فقط در: Uppsala، LiU (یک پیشنهاد)، AAU Aalborg، و دانشگاه‌های انگلستان با مهلت (York ۳۱ ژوئیه، Essex، Brunel ۱۵ مارس، احتمالاً Teesside/Northumbria/Newcastle/Sheffield/Lancaster). آلمان، هلند، سوئیس و لندن: هیچ تضمینی.</t>
        </is>
      </c>
    </row>
    <row r="121" ht="48" customHeight="1">
      <c r="A121" s="34" t="inlineStr">
        <is>
          <t>• برای ایرانی‌ها: خوابگاه دانشگاه در انگلستان ضامن بریتانیایی نمی‌خواهد — اجارهٔ خصوصی می‌خواهد (یا ۶–۱۲ ماه پیش‌پرداخت). در هلند/سوئیس/آلمان ودیعهٔ ۲–۳ ماه + گاهی پیش‌پرداخت ۳ ماه را در «نقد روز صفر» حساب کنید. آدرس ثبت‌شده در آلمان (Anmeldung)، هلند (BSN) و سوئیس شرط گرفتن کارت اقامت/بانک است.</t>
        </is>
      </c>
    </row>
    <row r="122" ht="48" customHeight="1">
      <c r="A122" s="34" t="inlineStr">
        <is>
          <t>• اعداد «رسمی» از صفحهٔ دانشگاه (۲۰۲۶/۲۷) و اعداد با «≈» برآورد از منابع ثانویه‌اند؛ اجاره‌ها هر سال ۳–۸٪ بالا می‌رود.</t>
        </is>
      </c>
    </row>
    <row r="123" ht="48" customHeight="1">
      <c r="A123" s="34" t="inlineStr">
        <is>
          <t>• en-suite در برابر اتاق خصوصی (جدول سوم): در شمال انگلستان و York خوابگاه en-suite تقریباً هم‌قیمت یا حتی گران‌تر از اتاق در خانهٔ مشترک است؛ صرفه‌جویی واقعی از (۱) اتاق استاندارد با حمام مشترک ($1,330–4,900 در سال کمتر از en-suite) و (۲) نخواستن ضامن/پیش‌پرداخت و قبوض ثابت می‌آید. در لندن، حومهٔ لندن و در آلمان/سوئیس/هلند/سوئد/دانمارک خوابگاه واقعاً ارزان‌تر از بازار است.</t>
        </is>
      </c>
    </row>
  </sheetData>
  <mergeCells count="6">
    <mergeCell ref="A121:I121"/>
    <mergeCell ref="A123:I123"/>
    <mergeCell ref="A118:I118"/>
    <mergeCell ref="A120:I120"/>
    <mergeCell ref="A122:I122"/>
    <mergeCell ref="A119:I119"/>
  </mergeCells>
  <pageMargins left="0.75" right="0.75" top="1" bottom="1" header="0.5" footer="0.5"/>
  <pageSetup orientation="landscape" fitToHeight="0" fitToWidth="1"/>
</worksheet>
</file>

<file path=xl/worksheets/sheet7.xml><?xml version="1.0" encoding="utf-8"?>
<worksheet xmlns="http://schemas.openxmlformats.org/spreadsheetml/2006/main">
  <sheetPr>
    <tabColor rgb="002E75B6"/>
    <outlinePr summaryBelow="1" summaryRight="1"/>
    <pageSetUpPr fitToPage="1"/>
  </sheetPr>
  <dimension ref="A1:B14"/>
  <sheetViews>
    <sheetView showGridLines="0" rightToLeft="1" tabSelected="0" workbookViewId="0">
      <pane xSplit="1" ySplit="1" topLeftCell="B2" activePane="bottomRight" state="frozen"/>
      <selection pane="topRight"/>
      <selection pane="bottomLeft"/>
      <selection pane="bottomRight" activeCell="A1" sqref="A1"/>
    </sheetView>
  </sheetViews>
  <sheetFormatPr baseColWidth="8" defaultRowHeight="15"/>
  <cols>
    <col width="34" customWidth="1" min="1" max="1"/>
    <col width="130" customWidth="1" min="2" max="2"/>
  </cols>
  <sheetData>
    <row r="1">
      <c r="A1" s="15" t="inlineStr">
        <is>
          <t>موضوع</t>
        </is>
      </c>
      <c r="B1" s="15" t="inlineStr">
        <is>
          <t>جمع‌بندی</t>
        </is>
      </c>
    </row>
    <row r="2">
      <c r="A2" s="37" t="inlineStr">
        <is>
          <t>رتبه‌بندی هزینه کل تا فارغ‌التحصیلی</t>
        </is>
      </c>
      <c r="B2" s="37" t="inlineStr">
        <is>
          <t>به ترتیب هزینهٔ کل تا مدرک (میانهٔ بازه): آلمان $27–36k (۲ سال) ‹ سوئیس–Neuchâtel/Fribourg $35–47k (۱.۵ سال) ‹ انگلستان $38–65k (۱ سال) ‹ سوئیس–UZH $45–58k ‹ سوئیس–HSLU $53–64k ≈ سوئد $54–65k ‹ سوئیس–USI/EPFL $60–75k ‹ دانمارک $63–76k ‹ سوئیس–ETH $66–84k ‹ هلند $75–90k. سوئیس بسته به دانشگاه از رتبهٔ ۲ تا ۹ را می‌گیرد: شهریه‌اش بعد از آلمان کمترین است ($1,900–9,700/سال) ولی زندگی‌اش گران‌ترین جدول ($1,630–3,030/ماه) — و چون ۶ ماه اول کار دانشجویی ممنوع است، سال اول تماماً از جیب می‌رود.</t>
        </is>
      </c>
    </row>
    <row r="3">
      <c r="A3" s="77" t="inlineStr">
        <is>
          <t>فقط با انگلیسی (تحصیل + کار + اداری + اقامت)</t>
        </is>
      </c>
      <c r="B3" s="77" t="inlineStr">
        <is>
          <t>انگلستان کامل؛ هلند و سوئد برای زندگی/کار خوب ولی برای اقامت دائم/تابعیت زبان می‌خواهند (هلند B1 در راه، سوئد آزمون تابعیت)؛ سوئیس (امتیاز انگلیسی ۶/۱۰): تحصیل ۱۰۰٪ انگلیسی؛ Big Tech، بانک‌ها و استارتاپ‌های زوریخ انگلیسی، ولی حدود نیمی از آگهی‌های SMEها آلمانی/فرانسه می‌خواهند؛ همهٔ امور اداری به زبان کانتون (DE/FR/IT)؛ اجازهٔ C بعد از ۱۰ سال با A2 شفاهی/A1 کتبی و تابعیت با B1/A2 — یعنی برای «کار» بهتر از آلمان/دانمارک، برای «اقامت دائم» بدتر از هلند/سوئد؛ دانمارک و آلمان بدون زبان محلی هم بازار کار و هم PR محدود.</t>
        </is>
      </c>
    </row>
    <row r="4">
      <c r="A4" s="37" t="inlineStr">
        <is>
          <t>بازار کار و حقوق جونیور</t>
        </is>
      </c>
      <c r="B4" s="37" t="inlineStr">
        <is>
          <t>حقوق ناخالص جونیور: سوئیس $103–127k (میانهٔ زوریخ $111k) ≫ دانمارک $76–82k &gt; آلمان $55–63k &gt; هلند $46–57k ≈ سوئد $42–55k &gt; انگلستان $37–46k. خالص ماهانه: سوئیس $6,900–8,110 (بیمهٔ درمانی $425–545 جدا) &gt; دانمارک $3,760–4,220 &gt; هلند/آلمان $3,080–3,530 &gt; سوئد $2,850–3,310 &gt; انگلستان $2,650–3,310. دسترسی برای جونیورِ فقط‌انگلیسی: هلند &gt; آلمان ≈ سوئیس (فقط شرکت‌های بزرگ زوریخ؛ فقط ۶ ماه مجوز L برای کاریابی؛ سهمیهٔ غیر-EU ۸,۵۰۰ در ۲۰۲۶؛ بیکاری ICT ۳.۲٪ و استخدام ۲۰۲۶ گزینشی) &gt; سوئد ≈ دانمارک ≈ انگلستان. کار حین تحصیل: سوئیس ۶ ماه اول صفر، بعد ۱۵ ساعت/هفته — ضعیف‌ترین جدول در سال اول.</t>
        </is>
      </c>
    </row>
    <row r="5">
      <c r="A5" s="77" t="inlineStr">
        <is>
          <t>نتیجه با وزن‌های شما (کار ۲۷.۵ = حقوق ۲۷.۵ / انگلیسی ۳۰ / هزینه ۱۵) و بودجهٔ $40,000 در دو گام: شهریه + تمکن یک‌سال، بعد زندگی واقعی + کار با حداکثر ساعت مجاز — ۲۸ سپتامبر</t>
        </is>
      </c>
      <c r="B5" s="77" t="inlineStr">
        <is>
          <t>گام ۱ (آنچه سفارت می‌بیند: شهریهٔ کل + تمکن رسمی سال اول ≤ $40k): آلمان همه ✅ ($14–21k) · سوئیس Neuchâtel $28.3k، Fribourg $29k، Basel $32.1k، HSLU $33k ✅، USI $44.8k ❌ · انگلستان فقط Teesside $36.9k ✅؛ Essex $41.1k، MMU $42.2k، Northumbria $42.8k ⚠️ (با حساب والدین ۲۸ روز)، Leicester/لندن/Russell Group ❌ · سوئد BTH $39k، MDU $38k ✅، LiU $44.3k ❌ · هلند ❌ ($55–65k) · دانمارک روی کاغذ ✅ (معاف با پرداخت شهریه). گام ۲ (زندگی واقعی: n = (۴۰,۰۰۰ − شهریه) ÷ زندگی؛ بعد کار با حداکثر ساعت قانونی × کف دستمزد): آلمان شهریه + تمام ۲۴ ماه (Stuttgart ۲۳.۱) و ۲۰ ساعت × $16.6 ≈ $1,305 ≥ زندگی ✅ · انگلستان ۲۰ ساعت × $16.8 ≈ $1,440 ≈ زندگی → کسری ماهانه $20–150 ✅ · سوئیس کار از ماه ۷، ۱۵ ساعت × کف کانتونی ≈ $1,530–1,590 در برابر $1,875–2,240 → Neuchâtel/Fribourg بدون کار ✅، Basel کسری ≈ $200 ✅، HSLU ≈ $4.3k ⚠️ (کار ۱۰۰٪ تعطیلات ترم) · سوئد روی کاغذ صفر کسری ولی کار انگلیسی‌زبان نایاب ⚠️ · دانمارک AAU ۳.۸ ماه ❌ + ویزا. امتیاز برنامه‌های شدنی: Basel ۷۱.۳ › HSLU ۶۸.۳ › Neuchâtel ۶۷ › Fribourg ۶۵.۵ › Stuttgart ۶۴ = Manchester Met ۶۴ › Teesside ۶۱.۵ › Northumbria = Essex ۶۱.۳ › Darmstadt ۶۰ › Saarland ۵۷.۳ › BTH = MDU ۵۵ › Passau ۵۱.۵. استقلال مالی (فقط زندگی، شیت «تصمیم» پ-۳): با کف دستمزد و داخل سقف قانونی فقط در Saarbrücken/Passau (۱۷.۵ ساعت)، Middlesbrough (۱۹.۳) و سوئد روی کاغذ؛ Stuttgart/Darmstadt/Newcastle/Colchester با نرخ IT (۱۸–۲۰ ساعت)؛ سوئیس در ترم با ۱۵ ساعت نمی‌شود مگر ≥ $34–39 در ساعت یا میانگین سالانه با کار تمام‌وقت در تعطیلات — و هرگز قبل از ماه ۷. توصیه: ۸ درخواست — ۳ سوئیس (HSLU، Basel، Neuchâtel) + ۳ آلمان (Stuttgart، Darmstadt، Saarland) + ۲ انگلستان (Essex + Northumbria یا Manchester Met؛ Teesside اگر کمک ۲۸ روزهٔ خانواده ممکن نیست).</t>
        </is>
      </c>
    </row>
    <row r="6">
      <c r="A6" s="37" t="inlineStr">
        <is>
          <t>نتیجه با وزن برابر برای ۳ معیار</t>
        </is>
      </c>
      <c r="B6" s="37" t="inlineStr">
        <is>
          <t>آلمان ۲۲ › سوئد ۱۹ = انگلستان ۱۹ › هلند ۱۸ = سوئیس ۱۸ (هزینه ۵ / انگلیسی ۶ / بازار ۷) › دانمارک ۱۶.  با حذف ایرلند، هیچ کشوری هر سه معیار را با هم نمی‌دهد: آلمان ارزان‌ترین (ولی آلمانی)، انگلستان تنها گزینهٔ کاملاً انگلیسی (ولی گران و بازار جونیور ضعیف)، سوئیس بالاترین حقوق (ولی گران‌ترین زندگی، ۶ ماه فرصت کار، زبان محلی برای PR). پیشنهاد: ۲ برنامه آلمان (Stuttgart + Passau/Saarland) + ۲ برنامه سوئیس با شانس واقعی (USI Lugano + HSLU یا Joint MSc CS در Neuchâtel/Fribourg) + ۱–۲ گزینهٔ ارزان انگلستان (Teesside/Northumbria) به‌عنوان مسیر تماماً انگلیسی؛ ETH/EPFL فقط اگر حاضرید $180 را برای یک شانس کم خرج کنید. تصمیم نهایی با پذیرش/بورس و وضعیت سفارت‌ها در بهار ۲۰۲۷.</t>
        </is>
      </c>
    </row>
    <row r="7">
      <c r="A7" s="77" t="inlineStr">
        <is>
          <t>سوئیس در یک نگاه (جایگزین ایرلند — همهٔ ۲۸ ردیف در یک پاراگراف)</t>
        </is>
      </c>
      <c r="B7" s="77" t="inlineStr">
        <is>
          <t>دانشگاه‌های واقع‌بینانه با معدل ۱۵.۷۷: USI Lugano (Informatics / AI / Software &amp; Data Eng؛ ورود با B2؛ $4,840/ترم) · HSLU Applied Data Science &amp; AI (Safe/Target؛ $1,570/ترم؛ مهلت ویزایی‌ها ۱ آوریل) · Swiss Joint MSc CS در Neuchâtel ($955/ترم) یا Fribourg ($1,190/ترم؛ ویزایی‌ها ۲۸ فوریه) — بدون آزمون زبان؛ Bern همان مدرک با $3,160/ترم از پاییز ۲۰۲۶ · Basel MSc CS ($1,030؛ Target/Reach) · ZHAW MSE ($1,550؛ نمرهٔ A/B) · UZH / EPFL / ETH Reach (ETH فقط ۱–۳۰ نوامبر ۲۰۲۶؛ EPFL دور اول ۱۵ دسامبر). QS 2027: ETH 8 · EPFL 22 · UZH 98 · Basel 150 · Bern 191 · USI 456 · Fribourg 670 · ZHAW 851–900. طول دوره ۱.۵ سال (90 ECTS) یا ۲ سال (120 ECTS). زندگی: زوریخ $2,300–3,030/ماه · لوزان $2,060–2,660 · برن/بازل/لوسرن $1,880–2,540 · لوگانو/فریبورگ/نوشاتل $1,630–2,180؛ تمکن رسمی $25,400/سال (Basel $29,000). سال اول $23–42k؛ کل دوره $35–84k — گام ۱ (شهریه + $25,400): همه ✅ جز USI ($44.8k ❌)؛ گام ۲: Neuchâtel/Fribourg/Basel ✅، HSLU ⚠️ (کسری ≈ $4.3k → کار تعطیلات)، UZH Reach، ETH ❌. کار: ۶ ماه اول صفر، بعد ۱۵ ساعت/هفته (≈ $1,570–2,180/ماه)؛ بعد از مدرک فقط ۶ ماه مجوز L؛ اجازهٔ کار بدون کف حقوق ولی داخل سهمیهٔ غیر-EU (۲۰۲۶: ۴,۵۰۰ B + ۴,۰۰۰ L). حقوق جونیور $103–127k (میانهٔ زوریخ $111k)، خالص $6,900–8,110/ماه، پس‌انداز $1,820–3,630/ماه. اقامت: اجازهٔ C بعد از ۱۰ سال + A2 شفاهی/A1 کتبی؛ تابعیت ۱۰ سال + B1/A2 — طولانی‌ترین جدول. ویزا: سفارت تهران باز، ویزای D با وقت قبلی، تصمیم کانتون ۸–۱۲ هفته؛ زوریخ تمکن را فقط در بانک سوئیسی به نام خودتان یا با ضامن مقیم می‌پذیرد. IELTS: USI B2→C1 · HSLU C1 (B2 مشروط) · Joint MSc بدون آزمون · ZHAW B2–C1 · UZH/ETH 7.0 · EPFL بدون آزمون. بورس: عملاً هیچ (ETH/EPFL Excellence برای ۱۰٪ بالا؛ USI $4,840 با ≥ ۸۰/۱۰۰ — مرزی). خوابگاه: هیچ‌جا تضمین ندارد؛ زوریخ ۳–۱۲ ماه صف (WOKO $355–1,430)، لوزان زود پر می‌شود، لوگانو/فریبورگ/نوشاتل آسان (≈ $545–970). ریسک سیاستی متوسط (ابتکار ۱۰ میلیونی رد شد؛ EP27؛ Bilaterals III). امتیاز ۱۸/۳۰ = هلند. یک جمله: اگر شغل بگیرید بالاترین درآمد جدول، اگر در ۶ ماه نگیرید باید بروید — گزینهٔ پربازده/پرریسک، نه گزینهٔ امن.</t>
        </is>
      </c>
    </row>
    <row r="8">
      <c r="A8" s="37" t="inlineStr">
        <is>
          <t>ریسک شماره یک</t>
        </is>
      </c>
      <c r="B8" s="37" t="inlineStr">
        <is>
          <t>دسترسی به سفارت‌ها از داخل ایران (ردیف ۲۳): در سپتامبر ۲۰۲۶ فقط سوئیس (ویزای D با وقت قبلی) و تا حدی سوئد (آنلاین) از تهران قابل اقدام‌اند؛ آلمان، هلند، دانمارک و انگلستان خدمات عادی ندارند. برای سوئیس گلوگاه به‌جای سفارت، اثبات تمکن $25,400 در بانک سوئیسی (کانتون زوریخ) است؛ کانتون‌های تیچینو/فریبورگ/نوشاتل/برن/لوسرن انعطاف‌پذیرترند — قبل از اقدام کتباً بپرسید. ریسک سیاستی سوئیس متوسط: ابتکار «سوئیس ۱۰ میلیونی» در ۱۴ ژوئن ۲۰۲۶ رد شد (۵۴.۸٪ نه)، ولی بستهٔ صرفه‌جویی EP27 می‌تواند شهریهٔ ETH/EPFL را دوباره بالا ببرد و طرح معافیت فارغ‌التحصیلان از سهمیه (22.067) متوقف است. از الان هزینه «برنامه B» (اقدام از ترکیه/ارمنستان/امارات) را در بودجه ببینید.</t>
        </is>
      </c>
    </row>
    <row r="9">
      <c r="A9" s="77" t="inlineStr">
        <is>
          <t>برنامه زمانی ورودی سپتامبر ۲۰۲۷ (فشرده — جزئیات در شیت «برنامهٔ زمانی ۲۰۲۷»)</t>
        </is>
      </c>
      <c r="B9" s="77" t="inlineStr">
        <is>
          <t>اکتبر ۲۰۲۶: نظام‌وظیفه + رزرو IELTS خارج از ایران + مدارک · ۱۶ اکتبر: باز شدن سوئد · ۱–۳۰ نوامبر: پنجرهٔ ETH (Reach) · نوامبر–دسامبر: IELTS + VPD uni-assist · ۱۵ دسامبر: دور اول EPFL · ۱۵ ژانویه ۲۰۲۷: مهلت سوئد / AAU / Stuttgart · ۱ فوریه: مدارک سوئد + SDU · ۲۸ فوریه: UZH و Fribourg (ویزایی‌ها) · فوریه–مارس: انگلستان + پرونده‌های سوئیس · ۱ آوریل: Radboud + HSLU (ویزایی‌ها) · ۳۰ آوریل: USI / Neuchâtel / Bern / Basel / ZHAW · ۱ می: Twente · ۳۱ می: Passau · می–ژوئن: پول (سوئیس $25,400 + شهریه) + ویزا یا برنامهٔ B · اوت–اکتبر: شروع (سوئیس اواسط سپتامبر).</t>
        </is>
      </c>
    </row>
    <row r="10">
      <c r="A10" s="37" t="inlineStr">
        <is>
          <t>سه پیش‌نیاز عملی ورودی ۲۰۲۷</t>
        </is>
      </c>
      <c r="B10" s="37" t="inlineStr">
        <is>
          <t>(۱) آزمون زبان: IELTS و TOEFL در ایران برگزار نمی‌شوند → سفر به ترکیه/ارمنستان/امارات/گرجستان تا دسامبر ۲۰۲۶. (۲) نظام‌وظیفه: بدون کارت/معافیت، خروج تحصیلی فقط با مجوز سخا + وثیقهٔ ۲۰۰ میلیون تومان + پذیرش از دانشگاه مورد تأیید وزارت علوم. (۳) نقدینگی: شهریه/تمکن سال اول باید تا می–ژوئن ۲۰۲۷ قابل انتقال باشد (SDU یک سال کامل پیش‌پرداخت). اگر یکی از این سه تا ژانویه ۲۰۲۷ حل نشود، هدف واقع‌بینانه سوئیس (USI/Bern/Basel/ZHAW تا ۳۰ آوریل)، انگلستان، هلند و آلمان با مهلت‌های بهار ۲۰۲۷ است — یا ورودی ۲۰۲۸. برای سوئیس علاوه بر این سه، «ضامن مقیم یا حساب بانکی قابل قبول کانتون» پیش‌نیاز چهارم است.</t>
        </is>
      </c>
    </row>
    <row r="11">
      <c r="A11" s="77" t="inlineStr">
        <is>
          <t>تغییرات اصلی نسبت به جدول اول</t>
        </is>
      </c>
      <c r="B11" s="77" t="inlineStr">
        <is>
          <t>• ردیف ۵ب (بورس/تخفیف شهریهٔ واقعاً در دسترس شما) اضافه شد — ۲۸ سپتامبر ۲۰۲۶؛ امتیازها را عوض نمی‌کند
• هزینه کل دوره اضافه شد (هلند از «نیاز به تأمین سال دوم» به گران‌ترین گزینه تبدیل شد)
• فقط انگلستان (به خواست شما): Strathclyde و Swansea حذف شدند؛ گزینه‌ها Teesside $22,500 · Northumbria $28,500 · Leicester $32,100 · Essex $32,700 · Brunel $32,900 · York $43,600؛ Graduate visa ۱۸ ماه؛ کف اسپانسری $72,500 / $50,700؛ طرح PR ۱۰ ساله؛ عوارض $1,230 از ۲۰۲۸ شامل همهٔ گزینه‌ها
• کف حقوق ۲۰۲۶ همه کشورها به‌روز شد (آلمان $57,800/$52,400؛ هلند $3,560/ماه؛ سوئد $3,480)
• ایرلند به خواست شما به‌کلی حذف و سوئیس جایگزین شد (سپتامبر ۲۰۲۶): شهریه‌های 2026/27 ETH/EPFL/UZH/USI/ZHAW/HSLU، تمکن $25,400، ۶ ماه جست‌وجوی کار، سهمیهٔ غیر-EU، اجازهٔ C ۱۰ ساله، حقوق جونیور $103–127k، سفارت تهران (ویزای D فعال)
• سوئد: کار دانشجویی ۱۵ ساعت/هفته (ژوئن ۲۰۲۶)؛ شهروندی ۸ سال؛ «BTH یک‌ساله» حذف شد؛ خوابگاه فقط LiU
• QS 2027؛ شهریه‌های واقعی 2026/27؛ «۷۵٪ قبولی» حذف شد
• «۱۰۰٪ انگلیسی» برای هلند/سوئد/دانمارک تعدیل شد؛ دانمارک PD2/PD3 تفکیک شد
• ردیف ویزا برای وضعیت ۲۰۲۶ بازنویسی شد؛ ردیف‌های IELTS، تمکن مالی، پس‌انداز، شهروندی و امتیاز اضافه شد</t>
        </is>
      </c>
    </row>
    <row r="12">
      <c r="A12" s="37" t="inlineStr">
        <is>
          <t>چرا «انگلستان» و نه «بریتانیا»</t>
        </is>
      </c>
      <c r="B12" s="37" t="inlineStr">
        <is>
          <t>به خواست شما فقط دانشگاه‌های انگلستان مقایسه شده‌اند. قوانین ویزا، کار و اقامت در کل بریتانیا یکسان است؛ سه تفاوت عملی: (۱) ارزان‌ترین گزینه‌های انگلستان (Teesside $22,500، Northumbria $28,500) از Swansea/Strathclyde ارزان‌ترند → کل دوره از $48–71k به $38–65k رسید؛ (۲) عوارض $1,230 به ازای هر دانشجو از اوت ۲۰۲۸ فقط دانشگاه‌های انگلستان را می‌گیرد — یعنی همهٔ گزینه‌های شما؛ (۳) بازار کار فناوری بریتانیا عملاً در انگلستان است (London، Manchester، Cambridge، Bristol، Leeds) — حذف اسکاتلند/ولز به فرصت شغلی لطمه نمی‌زند. برای شهریهٔ کمتر باید رتبهٔ پایین‌تر را بپذیرید: Teesside/Chester بدون رتبه QS، Northumbria ≈ ۵۲۸، Essex ≈ ۴۳۸؛ York (۱۵۸) و Newcastle (۱۴۹) تقریباً دوبرابر گران‌ترند.</t>
        </is>
      </c>
    </row>
    <row r="13">
      <c r="A13" s="77" t="inlineStr">
        <is>
          <t>نکته پروفایل</t>
        </is>
      </c>
      <c r="B13" s="77" t="inlineStr">
        <is>
          <t>معدل (۱۵.۷۷ طبق جدول اول؛ ۱۵.۷۰ طبق نقد دوم — تفاوتی در نتیجه ندارد) برای همه برنامه‌های بالا بالاتر از حداقل است. مهم‌تر از معدل، تطابق ریزنمرات با پیش‌نیازها (ریاضی، الگوریتم، CS نظری) و SOP با تکیه بر ۲ سال سابقه کار + بازی‌سازی + پروژه‌های گیت‌هاب است. سوئیس: معدل شما در مقیاس ۶ ≈ ۵.۲ — USI (بررسی موردی) و Joint MSc CS در Neuchâtel/Fribourg/Bern (ممکن است تا ۶۰ ECTS تکمیلی بخواهد که گاهی به آلمانی/فرانسه است) واقع‌بینانه‌اند؛ ZHAW نمرهٔ ECTS A/B (یک‌سوم بالای کلاس) می‌خواهد؛ ETH/EPFL «۱۰٪ بالای کلاس» → Reach؛ نامهٔ رتبهٔ کلاسی از دانشگاه سمنان اینجا بیشترین اثر را دارد.</t>
        </is>
      </c>
    </row>
    <row r="14">
      <c r="A14" s="37" t="inlineStr">
        <is>
          <t>اعداد را چگونه بخوانم</t>
        </is>
      </c>
      <c r="B14" s="37" t="inlineStr">
        <is>
          <t>مبالغ سطح 2026/27 هستند؛ نرخ 2027/28 (سال ورود شما) بین اکتبر ۲۰۲۶ تا بهار ۲۰۲۷ منتشر می‌شود — جایی که رسمی بود (TU/e $25,500، Surrey $35,600، Gothenburg $30k کل) در جدول آمده؛ برای بقیه فعلاً ۳–۵٪ اضافه کنید. همهٔ مبالغ این فایل به دلار آمریکا تبدیل شده‌اند تا لازم نباشد چیزی را خودتان تبدیل کنید. نرخ‌های ۲۸ سپتامبر ۲۰۲۶: ۱ یورو = ۱.۱۴ دلار · ۱ پوند = ۱.۳۲۵ دلار · ۱ فرانک سوئیس = ۱.۲۱ دلار · ۱ کرون سوئد = ۰.۱۰ دلار · ۱ کرون دانمارک = ۰.۱۵ دلار. اعداد گرد شده‌اند (زیر ۱۰ هزار به ۱۰ دلار، بالاتر به ۱۰۰ دلار)؛ رقم رسمی به ارز محلی فقط در شیت «راستی‌آزمایی» داخل پرانتز آمده است. شهریه‌ها سطح 2026/27 هستند (Bristol 2027/28)؛ نرخ سال ورود شما (2027/28) بین اکتبر ۲۰۲۶ تا بهار ۲۰۲۷ منتشر می‌شود — ۳ تا ۵ درصد بالاتر بگیرید؛ ⚠️ ETH/EPFL ممکن است با بستهٔ EP27 از ۲۰۲۷ دوباره گران شوند. واحد پول همهٔ شیت‌ها یکی است (دلار)؛ اگر یورو می‌خواهید فقط TARGET را در catalogue_data.py عوض کنید.</t>
        </is>
      </c>
    </row>
  </sheetData>
  <pageMargins left="0.75" right="0.75" top="1" bottom="1" header="0.5" footer="0.5"/>
  <pageSetup orientation="landscape" fitToHeight="0" fitToWidth="1"/>
</worksheet>
</file>

<file path=xl/worksheets/sheet8.xml><?xml version="1.0" encoding="utf-8"?>
<worksheet xmlns="http://schemas.openxmlformats.org/spreadsheetml/2006/main">
  <sheetPr>
    <tabColor rgb="007F7F7F"/>
    <outlinePr summaryBelow="1" summaryRight="1"/>
    <pageSetUpPr fitToPage="1"/>
  </sheetPr>
  <dimension ref="A1:F29"/>
  <sheetViews>
    <sheetView showGridLines="0" rightToLeft="1" tabSelected="0" workbookViewId="0">
      <pane xSplit="1" ySplit="1" topLeftCell="B2" activePane="bottomRight" state="frozen"/>
      <selection pane="topRight"/>
      <selection pane="bottomLeft"/>
      <selection pane="bottomRight" activeCell="A1" sqref="A1"/>
    </sheetView>
  </sheetViews>
  <sheetFormatPr baseColWidth="8" defaultRowHeight="15"/>
  <cols>
    <col width="26" customWidth="1" min="1" max="1"/>
    <col width="60" customWidth="1" min="2" max="2"/>
    <col width="40" customWidth="1" min="3" max="3"/>
    <col width="20" customWidth="1" min="4" max="4"/>
    <col width="16" customWidth="1" min="5" max="5"/>
    <col width="60" customWidth="1" min="6" max="6"/>
  </cols>
  <sheetData>
    <row r="1" ht="30" customHeight="1">
      <c r="A1" s="15" t="inlineStr">
        <is>
          <t>حوزه</t>
        </is>
      </c>
      <c r="B1" s="15" t="inlineStr">
        <is>
          <t>عدد / بازه در فایل</t>
        </is>
      </c>
      <c r="C1" s="15" t="inlineStr">
        <is>
          <t>منبع</t>
        </is>
      </c>
      <c r="D1" s="15" t="inlineStr">
        <is>
          <t>نوع منبع</t>
        </is>
      </c>
      <c r="E1" s="15" t="inlineStr">
        <is>
          <t>آخرین بررسی</t>
        </is>
      </c>
      <c r="F1" s="15" t="inlineStr">
        <is>
          <t>نتیجهٔ بازبینی ۲۸ سپتامبر ۲۰۲۶</t>
        </is>
      </c>
    </row>
    <row r="2">
      <c r="A2" s="22" t="inlineStr">
        <is>
          <t>نرخ ارز (مبنای همهٔ تبدیل‌ها)</t>
        </is>
      </c>
      <c r="B2" s="37" t="inlineStr">
        <is>
          <t>۱ یورو = ۱.۱۴ دلار · ۱ پوند = ۱.۳۲۵ دلار · ۱ فرانک = ۱.۲۱ دلار · ۱ کرون سوئد = ۰.۱۰۱ دلار · ۱ کرون دانمارک = ۰.۱۵۳ دلار</t>
        </is>
      </c>
      <c r="C2" s="37" t="inlineStr">
        <is>
          <t>xe.com / tradingeconomics</t>
        </is>
      </c>
      <c r="D2" s="37" t="inlineStr">
        <is>
          <t>رسمی (بازار)</t>
        </is>
      </c>
      <c r="E2" s="37" t="inlineStr">
        <is>
          <t>۲۸ سپتامبر ۲۰۲۶</t>
        </is>
      </c>
      <c r="F2" s="39" t="inlineStr">
        <is>
          <t>✅ تأیید: یورو/دلار ۱.۱۳۷، پوند/دلار ۱.۳۲۱، دلار/فرانک ۰.۸۲۹ (انحراف &lt; ۰.۵٪)</t>
        </is>
      </c>
    </row>
    <row r="3">
      <c r="A3" s="22" t="inlineStr">
        <is>
          <t>جدول اصلی – شهریه‌ها (ردیف ۴/۵)</t>
        </is>
      </c>
      <c r="B3" s="77" t="inlineStr">
        <is>
          <t>آلمان $340–910 (€300–800) (Stuttgart $3,420 (€3,000)؛ FAU $9,120 (€8,000) از ۲۰۲۷) · هلند $22,500–25,500 (€19,714–22,400) · سوئد $14–19k (SEK 140–190k) · دانمارک $17,000–19,700 (€14,900–17,300) · سوئیس $955–9,680 (CHF 790–8,000)/سال · انگلستان $22,500–61,000 (£17,000–46,000)</t>
        </is>
      </c>
      <c r="C3" s="77" t="inlineStr">
        <is>
          <t>صفحات رسمی دانشگاه‌ها</t>
        </is>
      </c>
      <c r="D3" s="77" t="inlineStr">
        <is>
          <t>رسمی 2026/27 (Bristol 2027/28)</t>
        </is>
      </c>
      <c r="E3" s="77" t="inlineStr">
        <is>
          <t>۲۷–۲۸ سپتامبر ۲۰۲۶</t>
        </is>
      </c>
      <c r="F3" s="39" t="inlineStr">
        <is>
          <t>✅ همه از صفحهٔ رسمی؛ نرخ 2027/28 اکثراً هنوز منتشر نشده (اکتبر–دسامبر ۲۰۲۶ اعلام می‌شود)</t>
        </is>
      </c>
    </row>
    <row r="4">
      <c r="A4" s="22" t="inlineStr">
        <is>
          <t>جدول اصلی – ویزا و تمکن (ردیف ۲۳/۲۵)</t>
        </is>
      </c>
      <c r="B4" s="37" t="inlineStr">
        <is>
          <t>DE $13,600 (€11,904) · NL $15,500 (€13,569) · SE $1,080 (SEK 10,656)/ماه · DK $1,130 (DKK 7,426)/ماه · CH $25,400 (CHF 21,000) (Basel $29,000 (CHF 24,000)) · UK $1,590 (£1,203)/$2,080 (£1,570) از ۳۰ نوامبر ۲۰۲۶</t>
        </is>
      </c>
      <c r="C4" s="37" t="inlineStr">
        <is>
          <t>make-it-in-germany، ind.nl، migrationsverket، nyidanmark، sem.admin.ch، gov.uk</t>
        </is>
      </c>
      <c r="D4" s="37" t="inlineStr">
        <is>
          <t>رسمی</t>
        </is>
      </c>
      <c r="E4" s="37" t="inlineStr">
        <is>
          <t>۲۷ سپتامبر ۲۰۲۶</t>
        </is>
      </c>
      <c r="F4" s="39" t="inlineStr">
        <is>
          <t>✅ بدون تغییر از بررسی قبلی</t>
        </is>
      </c>
    </row>
    <row r="5">
      <c r="A5" s="22" t="inlineStr">
        <is>
          <t>جدول اصلی – کف حقوق/ویزای کار (ردیف ۱۶)</t>
        </is>
      </c>
      <c r="B5" s="77" t="inlineStr">
        <is>
          <t>DE $52,400 (€45,934)/$57,800 (€50,700) · NL $3,560 (€3,122)/ماه · SE $3,480 (SEK 34,470) · UK $50,700 (£38,290) → $55,300 (£41,700) · CH بدون کف + سهمیه ۸,۵۰۰</t>
        </is>
      </c>
      <c r="C5" s="77" t="inlineStr">
        <is>
          <t>منابع دولتی</t>
        </is>
      </c>
      <c r="D5" s="77" t="inlineStr">
        <is>
          <t>رسمی</t>
        </is>
      </c>
      <c r="E5" s="77" t="inlineStr">
        <is>
          <t>۲۷ سپتامبر ۲۰۲۶</t>
        </is>
      </c>
      <c r="F5" s="39" t="inlineStr">
        <is>
          <t>✅ بدون تغییر</t>
        </is>
      </c>
    </row>
    <row r="6">
      <c r="A6" s="22" t="inlineStr">
        <is>
          <t>جدول اصلی – حقوق جونیور و خالص (ردیف ۱۷/۱۸/۱۹)</t>
        </is>
      </c>
      <c r="B6" s="37" t="inlineStr">
        <is>
          <t>DE $55–63k (€48–55k) · NL $46–57k (€40–50k) · SE $42–55k (SEK 420–540k) · DK $76–82k (DKK 500–540k) · CH $103–127k (CHF 85–105k) · UK $37–46k (£28–35k)</t>
        </is>
      </c>
      <c r="C6" s="37" t="inlineStr">
        <is>
          <t>Glassdoor، StepStone، اعلان‌های ۲۰۲۶</t>
        </is>
      </c>
      <c r="D6" s="37" t="inlineStr">
        <is>
          <t>ثانویه</t>
        </is>
      </c>
      <c r="E6" s="37" t="inlineStr">
        <is>
          <t>۲۷ سپتامبر ۲۰۲۶</t>
        </is>
      </c>
      <c r="F6" s="87" t="inlineStr">
        <is>
          <t>⚠️ بازهٔ منطقی ولی نه رسمی — تنها بخش جدول اصلی که ذاتاً برآورد است</t>
        </is>
      </c>
    </row>
    <row r="7">
      <c r="A7" s="22" t="inlineStr">
        <is>
          <t>جدول اصلی – هزینهٔ زندگی (ردیف ۶/۷/۸)</t>
        </is>
      </c>
      <c r="B7" s="77" t="inlineStr">
        <is>
          <t>بازه‌های شهری + مجموع سال اول/کل دوره</t>
        </is>
      </c>
      <c r="C7" s="77" t="inlineStr">
        <is>
          <t>برآورد دانشگاه‌ها + محاسبه</t>
        </is>
      </c>
      <c r="D7" s="77" t="inlineStr">
        <is>
          <t>رسمی (بازه) + محاسبهٔ خودم</t>
        </is>
      </c>
      <c r="E7" s="77" t="inlineStr">
        <is>
          <t>۲۷ سپتامبر ۲۰۲۶</t>
        </is>
      </c>
      <c r="F7" s="87" t="inlineStr">
        <is>
          <t>⚠️ ذاتاً تقریبی؛ با اجاره‌های رسمی خوابگاه‌ها (شیت خوابگاه) سازگار است</t>
        </is>
      </c>
    </row>
    <row r="8">
      <c r="A8" s="22" t="inlineStr">
        <is>
          <t>جدول اصلی – امتیاز (ردیف ۲۸)</t>
        </is>
      </c>
      <c r="B8" s="37" t="inlineStr">
        <is>
          <t>DE 22 › SE 19 = EN 19 › NL 18 = CH 18 › DK 16</t>
        </is>
      </c>
      <c r="C8" s="37" t="inlineStr">
        <is>
          <t>قضاوت بر اساس سه معیار شما</t>
        </is>
      </c>
      <c r="D8" s="37" t="inlineStr">
        <is>
          <t>تحلیلی</t>
        </is>
      </c>
      <c r="E8" s="37" t="inlineStr">
        <is>
          <t>—</t>
        </is>
      </c>
      <c r="F8" s="87" t="inlineStr">
        <is>
          <t>⚠️ عدد نیست، قضاوت وزنی است</t>
        </is>
      </c>
    </row>
    <row r="9">
      <c r="A9" s="22" t="inlineStr">
        <is>
          <t>شیت برنامه‌ها – شهریه‌ها</t>
        </is>
      </c>
      <c r="B9" s="77" t="inlineStr">
        <is>
          <t>۱۱۰ برنامه: ۶۴ رسمی، ۴۶ با «≈» (آلمان ۱۳ = فقط هزینهٔ ترم تقریبی، سوئد ۱۰، سوئیس ۸، انگلستان ۶، هلند ۵، دانمارک ۴)</t>
        </is>
      </c>
      <c r="C9" s="77" t="inlineStr">
        <is>
          <t>صفحات رسمی / mastersportal / IDP</t>
        </is>
      </c>
      <c r="D9" s="77" t="inlineStr">
        <is>
          <t>رسمی یا ثانویه (علامت‌گذاری‌شده)</t>
        </is>
      </c>
      <c r="E9" s="77" t="inlineStr">
        <is>
          <t>۲۷–۲۸ سپتامبر ۲۰۲۶</t>
        </is>
      </c>
      <c r="F9" s="39" t="inlineStr">
        <is>
          <t>✅ سوئیس همه امروز/دیروز از صفحهٔ رسمی؛ ⚠️ ردیف‌های «≈» خطای محتمل ±۵–۱۰٪</t>
        </is>
      </c>
    </row>
    <row r="10">
      <c r="A10" s="22" t="inlineStr">
        <is>
          <t>شیت برنامه‌ها – شرط ورود/تطبیق نمره</t>
        </is>
      </c>
      <c r="B10" s="37" t="inlineStr">
        <is>
          <t>Warwick 2:1 = ۱۵/۲۰ · Durham 2:1 = ۱۴–۱۶/۲۰ · KCL high 2:1 = ۱۷/۲۰ · Bristol حداقل ۱۵/۲۰ · Twente ۱۵/۲۰ · Imperial First</t>
        </is>
      </c>
      <c r="C10" s="37" t="inlineStr">
        <is>
          <t>صفحات رسمی دانشگاه‌ها</t>
        </is>
      </c>
      <c r="D10" s="37" t="inlineStr">
        <is>
          <t>رسمی</t>
        </is>
      </c>
      <c r="E10" s="37" t="inlineStr">
        <is>
          <t>۲۸ سپتامبر ۲۰۲۶</t>
        </is>
      </c>
      <c r="F10" s="39" t="inlineStr">
        <is>
          <t>✅ تأیید؛ UCL جدول ایران رسمی پیدا نشد (⚠️ برآورد ۱۵–۱۶/۲۰)</t>
        </is>
      </c>
    </row>
    <row r="11">
      <c r="A11" s="22" t="inlineStr">
        <is>
          <t>شیت برنامه‌ها – QS 2027</t>
        </is>
      </c>
      <c r="B11" s="77" t="inlineStr">
        <is>
          <t>ETH 8 … ZHAW 851–900؛ Warwick ≈ 69، Bristol ≈ 54، KCL ≈ 31، Durham ≈ 94</t>
        </is>
      </c>
      <c r="C11" s="77" t="inlineStr">
        <is>
          <t>QS WUR 2027 (via iamexpat/topuniversities)</t>
        </is>
      </c>
      <c r="D11" s="77" t="inlineStr">
        <is>
          <t>ثانویه از منبع رسمی</t>
        </is>
      </c>
      <c r="E11" s="77" t="inlineStr">
        <is>
          <t>۲۷–۲۸ سپتامبر ۲۰۲۶</t>
        </is>
      </c>
      <c r="F11" s="39" t="inlineStr">
        <is>
          <t>✅ (رتبه‌های حدودی با ≈)</t>
        </is>
      </c>
    </row>
    <row r="12">
      <c r="A12" s="22" t="inlineStr">
        <is>
          <t>ردیف ۵ب – بورس‌ها</t>
        </is>
      </c>
      <c r="B12" s="37" t="inlineStr">
        <is>
          <t>LiU ≥ 3.5/4 · Chalmers IPOET ≥ ۸۰٪ · Uppsala/Halmstad/MDU · NL Scholarship $5,700 (€5,000) · AAU ≈ ۱۵ بورس + $1,710 (DKK 11,225) · ETH ESOP $14,500 (CHF 12,000)/ترم · USI $4,840 (CHF 4,000) · Essex ایران ۱۴/۲۰ → $5,960 (£4,500) · Teesside $2,650 (£2,000) · Brunel $7,950 (£6,000) (2:1) · Chevening ✗ · SI ✗</t>
        </is>
      </c>
      <c r="C12" s="37" t="inlineStr">
        <is>
          <t>liu.se، chalmers.se، uu.se، si.se، en.aau.dk، ethz.ch، usi.ch، essex.ac.uk، tees.ac.uk، brunel.ac.uk، chevening.org</t>
        </is>
      </c>
      <c r="D12" s="37" t="inlineStr">
        <is>
          <t>رسمی (Halmstad/MDU ثانویه)</t>
        </is>
      </c>
      <c r="E12" s="37" t="inlineStr">
        <is>
          <t>۲۸ سپتامبر ۲۰۲۶</t>
        </is>
      </c>
      <c r="F12" s="39" t="inlineStr">
        <is>
          <t>✅ Essex $5,960 (£4,500) دوباره تأیید (جدول ۲۰۲۵–۲۶؛ ۲۰۲۶–۲۷ هنوز)؛ ⚠️ Halmstad/MDU از منبع ثانویه</t>
        </is>
      </c>
    </row>
    <row r="13">
      <c r="A13" s="22" t="inlineStr">
        <is>
          <t>شیت زمانی – مهلت‌ها</t>
        </is>
      </c>
      <c r="B13" s="77" t="inlineStr">
        <is>
          <t>ETH ۱–۳۰ نوامبر · EPFL ۱۵ دسامبر · سوئد ۱۵ ژانویه · UZH/Fribourg ۲۸ فوریه · HSLU ۱ آوریل · Radboud ۱ آوریل · USI/Neuchâtel/Basel ۳۰ آوریل · Twente ۱ می · Passau ۳۱ می</t>
        </is>
      </c>
      <c r="C13" s="77" t="inlineStr">
        <is>
          <t>صفحات رسمی</t>
        </is>
      </c>
      <c r="D13" s="77" t="inlineStr">
        <is>
          <t>رسمی (چرخهٔ ۲۰۲۶/۲۷ برای ۲۰۲۷)</t>
        </is>
      </c>
      <c r="E13" s="77" t="inlineStr">
        <is>
          <t>۲۷–۲۸ سپتامبر ۲۰۲۶</t>
        </is>
      </c>
      <c r="F13" s="39" t="inlineStr">
        <is>
          <t>✅؛ ⚠️ مهلت‌های ۲۰۲۷ بر اساس چرخهٔ قبلی — بهار ۲۰۲۷ دوباره ببینید</t>
        </is>
      </c>
    </row>
    <row r="14">
      <c r="A14" s="22" t="inlineStr">
        <is>
          <t>شیت خوابگاه – انگلستان (اجاره)</t>
        </is>
      </c>
      <c r="B14" s="37" t="inlineStr">
        <is>
          <t>Teesside $115–210 (£85–160) · Northumbria $125–210 (£94–158) · Newcastle $155–320 (£118–240) · Sheffield PG $240–275 (£180–209) · Lancaster $185–275 (£139–206) · York $245–295 (£186–224) · Essex $225–265 (£168–199) · Brunel $240–280 (£180–210) · Durham $240–345 (£183–262) · Imperial $280–545 (£210–410)</t>
        </is>
      </c>
      <c r="C14" s="37" t="inlineStr">
        <is>
          <t>صفحات رسمی 2026/27 (Imperial ثانویه)</t>
        </is>
      </c>
      <c r="D14" s="37" t="inlineStr">
        <is>
          <t>رسمی</t>
        </is>
      </c>
      <c r="E14" s="37" t="inlineStr">
        <is>
          <t>۲۸ سپتامبر ۲۰۲۶</t>
        </is>
      </c>
      <c r="F14" s="39" t="inlineStr">
        <is>
          <t>✅ امروز ۵ دانشگاه تازه تأیید و اصلاح شد (Teesside، Essex، Brunel، Sheffield، Lancaster)؛ ⚠️ Warwick، Leicester، Kent، Surrey، RHUL، NTU، MMU، Bristol، UCL/KCL هنوز برآورد</t>
        </is>
      </c>
    </row>
    <row r="15">
      <c r="A15" s="22" t="inlineStr">
        <is>
          <t>شیت خوابگاه – انگلستان (تضمین)</t>
        </is>
      </c>
      <c r="B15" s="77" t="inlineStr">
        <is>
          <t>York ۳۱ ژوئیه · Essex کل دوره · Brunel ۱۵ مارس · Manchester ۳۱ اوت · Imperial/UCL/KCL/Durham بدون تضمین PG</t>
        </is>
      </c>
      <c r="C15" s="77" t="inlineStr">
        <is>
          <t>صفحات رسمی</t>
        </is>
      </c>
      <c r="D15" s="77" t="inlineStr">
        <is>
          <t>رسمی</t>
        </is>
      </c>
      <c r="E15" s="77" t="inlineStr">
        <is>
          <t>۲۸ سپتامبر ۲۰۲۶</t>
        </is>
      </c>
      <c r="F15" s="39" t="inlineStr">
        <is>
          <t>✅؛ ⚠️ Teesside، Northumbria، Newcastle، Sheffield، Lancaster، Leicester، Kent، Surrey، RHUL، NTU، MMU: «احتمالاً بله» — تأیید نشده</t>
        </is>
      </c>
    </row>
    <row r="16">
      <c r="A16" s="22" t="inlineStr">
        <is>
          <t>شیت خوابگاه – آلمان</t>
        </is>
      </c>
      <c r="B16" s="37" t="inlineStr">
        <is>
          <t>خوابگاه: میانگین DSW 2023 هر شهر (Darmstadt $455 (€401) … Siegen $280 (€246)) · WG: MLP 2025 (Chemnitz $310 (€274) … München $900 (€790)) · Stuttgart صف ۶–۸ ماه</t>
        </is>
      </c>
      <c r="C16" s="37" t="inlineStr">
        <is>
          <t>Statista/DSW 2023، MLP Studentenwohnreport 2025، Studierendenwerk Stuttgart</t>
        </is>
      </c>
      <c r="D16" s="37" t="inlineStr">
        <is>
          <t>رسمی</t>
        </is>
      </c>
      <c r="E16" s="37" t="inlineStr">
        <is>
          <t>۲۸ سپتامبر ۲۰۲۶</t>
        </is>
      </c>
      <c r="F16" s="39" t="inlineStr">
        <is>
          <t>✅ امروز میانگین رسمی خوابگاه برای هر ۱۴ شهر جایگزین برآورد شد؛ ⚠️ اعداد ۲۰۲۳ است (۲۰۲۶ ≈ +۵–۱۰٪)؛ «شانس» قضاوتی است جز Stuttgart</t>
        </is>
      </c>
    </row>
    <row r="17">
      <c r="A17" s="22" t="inlineStr">
        <is>
          <t>شیت خوابگاه – هلند</t>
        </is>
      </c>
      <c r="B17" s="77" t="inlineStr">
        <is>
          <t>Radboud $420–740 (€370–650) · Utrecht $990 (€868) · Twente $340–910 (€300–800) · Enschede $455 (€397) · Groningen $585 (€515) · شهرهای پرفشار Kences</t>
        </is>
      </c>
      <c r="C17" s="77" t="inlineStr">
        <is>
          <t>ru.nl، uu.nl، utwente، Kences 2026، Kamernet</t>
        </is>
      </c>
      <c r="D17" s="77" t="inlineStr">
        <is>
          <t>رسمی/ثانویهٔ معتبر</t>
        </is>
      </c>
      <c r="E17" s="77" t="inlineStr">
        <is>
          <t>۲۸ سپتامبر ۲۰۲۶</t>
        </is>
      </c>
      <c r="F17" s="39" t="inlineStr">
        <is>
          <t>✅؛ ⚠️ Leiden/Delft/Eindhoven/Amsterdam/Breda بازه‌ها برآورد</t>
        </is>
      </c>
    </row>
    <row r="18">
      <c r="A18" s="22" t="inlineStr">
        <is>
          <t>شیت خوابگاه – سوئد</t>
        </is>
      </c>
      <c r="B18" s="37" t="inlineStr">
        <is>
          <t>رنگ شهرها SFS 2024/2025 · Uppsala تضمین · LiU یک پیشنهاد · اجاره $335–810 (SEK 3,300–8,000)</t>
        </is>
      </c>
      <c r="C18" s="37" t="inlineStr">
        <is>
          <t>SFS، uu.se، liu.se</t>
        </is>
      </c>
      <c r="D18" s="37" t="inlineStr">
        <is>
          <t>رسمی (رنگ‌ها) / برآورد (اجاره)</t>
        </is>
      </c>
      <c r="E18" s="37" t="inlineStr">
        <is>
          <t>۲۸ سپتامبر ۲۰۲۶</t>
        </is>
      </c>
      <c r="F18" s="39" t="inlineStr">
        <is>
          <t>✅ رنگ‌ها رسمی؛ ⚠️ اجاره‌ها برآورد کلی (SSSB/Studentbostäder چک نشد)</t>
        </is>
      </c>
    </row>
    <row r="19">
      <c r="A19" s="22" t="inlineStr">
        <is>
          <t>شیت خوابگاه – دانمارک</t>
        </is>
      </c>
      <c r="B19" s="77" t="inlineStr">
        <is>
          <t>Aalborg $490–720 (DKK 3,200–4,700) · Copenhagen $535–1,370 (DKK 3,500–9,000) · Odense/Kolding/Aarhus/Lyngby</t>
        </is>
      </c>
      <c r="C19" s="77" t="inlineStr">
        <is>
          <t>en.aau.dk، بروشور AAU</t>
        </is>
      </c>
      <c r="D19" s="77" t="inlineStr">
        <is>
          <t>رسمی (AAU) / برآورد (بقیه)</t>
        </is>
      </c>
      <c r="E19" s="77" t="inlineStr">
        <is>
          <t>۲۸ سپتامبر ۲۰۲۶</t>
        </is>
      </c>
      <c r="F19" s="87" t="inlineStr">
        <is>
          <t>⚠️ Odense/Kolding/Aarhus/Lyngby برآورد</t>
        </is>
      </c>
    </row>
    <row r="20">
      <c r="A20" s="22" t="inlineStr">
        <is>
          <t>شیت خوابگاه – سوئیس</t>
        </is>
      </c>
      <c r="B20" s="37" t="inlineStr">
        <is>
          <t>WOKO $355–1,430 (CHF 295–1,180) (اکثر $545–1,030 (CHF 450–850)) · FMEL/USI/Bern/Fribourg/Neuchâtel/Basel/Luzern ≈ $545–1,090 (CHF 450–900)</t>
        </is>
      </c>
      <c r="C20" s="37" t="inlineStr">
        <is>
          <t>woko.ch</t>
        </is>
      </c>
      <c r="D20" s="37" t="inlineStr">
        <is>
          <t>رسمی (WOKO) / برآورد (بقیه)</t>
        </is>
      </c>
      <c r="E20" s="37" t="inlineStr">
        <is>
          <t>۲۸ سپتامبر ۲۰۲۶</t>
        </is>
      </c>
      <c r="F20" s="39" t="inlineStr">
        <is>
          <t>✅ WOKO امروز اصلاح شد؛ ⚠️ بقیه برآورد</t>
        </is>
      </c>
    </row>
    <row r="21">
      <c r="A21" s="22" t="inlineStr">
        <is>
          <t>شیت خوابگاه – catered انگلستان</t>
        </is>
      </c>
      <c r="B21" s="77" t="inlineStr">
        <is>
          <t>Durham catered $345 (£262)/هفته، غذا $4,090 (£3,087) (25/26) · Lancaster catered $365 (£276) · Northumbria گزینهٔ catered</t>
        </is>
      </c>
      <c r="C21" s="77" t="inlineStr">
        <is>
          <t>durham.ac.uk، Palatinate، lancaster.ac.uk، northumbria.ac.uk</t>
        </is>
      </c>
      <c r="D21" s="77" t="inlineStr">
        <is>
          <t>رسمی</t>
        </is>
      </c>
      <c r="E21" s="77" t="inlineStr">
        <is>
          <t>۲۸ سپتامبر ۲۰۲۶</t>
        </is>
      </c>
      <c r="F21" s="39" t="inlineStr">
        <is>
          <t>✅</t>
        </is>
      </c>
    </row>
    <row r="22">
      <c r="A22" s="22" t="inlineStr">
        <is>
          <t>MD – ATAS، غربالگری هلند، Chevening</t>
        </is>
      </c>
      <c r="B22" s="37" t="inlineStr">
        <is>
          <t>ATAS برای ارشد آموزشی CS لازم نیست · غربالگری هلند «فعلاً» کنار گذاشته شد (ژوئن ۲۰۲۶) · Chevening: ۲ سال کار بعد از مدرک + بازگشت</t>
        </is>
      </c>
      <c r="C22" s="37" t="inlineStr">
        <is>
          <t>gov.uk Appendix ATAS، delta.tudelft، chevening.org</t>
        </is>
      </c>
      <c r="D22" s="37" t="inlineStr">
        <is>
          <t>رسمی</t>
        </is>
      </c>
      <c r="E22" s="37" t="inlineStr">
        <is>
          <t>۲۸ سپتامبر ۲۰۲۶</t>
        </is>
      </c>
      <c r="F22" s="39" t="inlineStr">
        <is>
          <t>✅</t>
        </is>
      </c>
    </row>
    <row r="23">
      <c r="A23" s="22" t="inlineStr">
        <is>
          <t>برنامه‌ها – UvA (هلند)</t>
        </is>
      </c>
      <c r="B23" s="77" t="inlineStr">
        <is>
          <t>MSc Software Engineering یک‌ساله $39,100 (€34,300) · MSc AI $29,600 (€26,000)</t>
        </is>
      </c>
      <c r="C23" s="77" t="inlineStr">
        <is>
          <t>uva.nl – Tuition fees 2026-2027 (Faculty of Science)</t>
        </is>
      </c>
      <c r="D23" s="77" t="inlineStr">
        <is>
          <t>رسمی 2026/27</t>
        </is>
      </c>
      <c r="E23" s="77" t="inlineStr">
        <is>
          <t>۲۸ سپتامبر ۲۰۲۶</t>
        </is>
      </c>
      <c r="F23" s="87" t="inlineStr">
        <is>
          <t>⚠️ اصلاح شد: رقم قبلی ≈ $26,800 (€23,540) (ثانویه) غلط بود؛ ارشد یک‌سالهٔ غیر-EEA دانشکدهٔ علوم $39,100 (€34,300) است</t>
        </is>
      </c>
    </row>
    <row r="24">
      <c r="A24" s="22" t="inlineStr">
        <is>
          <t>وزن‌دهی جدید (ردیف ۲۸ب / شیت تصمیم)</t>
        </is>
      </c>
      <c r="B24" s="37" t="inlineStr">
        <is>
          <t>کار ۳۰٪ / حقوق ۲۵٪ / انگلیسی ۳۰٪ / هزینه ۱۵٪ → هلند ۶۳.۵ › سوئیس ۶۲.۵ › آلمان ۶۰ = انگلستان ۶۰ › سوئد ۵۷.۵ › دانمارک ۵۶.۵</t>
        </is>
      </c>
      <c r="C24" s="37" t="inlineStr">
        <is>
          <t>ارزیابی بر پایهٔ ردیف‌های ۱۵–۱۹، ۲۶، ۲۸</t>
        </is>
      </c>
      <c r="D24" s="37" t="inlineStr">
        <is>
          <t>قضاوت (نه دادهٔ رسمی)</t>
        </is>
      </c>
      <c r="E24" s="37" t="inlineStr">
        <is>
          <t>۲۸ سپتامبر ۲۰۲۶</t>
        </is>
      </c>
      <c r="F24" s="87" t="inlineStr">
        <is>
          <t>⚠️ فاصلهٔ امتیازها کم است؛ وزن‌ها در شیت «تصمیم» قابل تغییرند</t>
        </is>
      </c>
    </row>
    <row r="25">
      <c r="A25" s="22" t="inlineStr">
        <is>
          <t>بودجه و وزن‌ها – نسخهٔ دوم (۲۸ سپتامبر)</t>
        </is>
      </c>
      <c r="B25" s="77" t="inlineStr">
        <is>
          <t>بودجه $32,000 → $40,000 در سال (⚠️ منسوخ — بودجه برای کل دوره است، ردیف بعد)؛ وزن‌ها کار ۲۷.۵ = حقوق ۲۷.۵ / انگلیسی ۳۰ / هزینه ۱۵؛ «کار» سوئیس ۴ → ۵</t>
        </is>
      </c>
      <c r="C25" s="77" t="inlineStr">
        <is>
          <t>گفتهٔ شما + مادهٔ ۲۱(۳) AIG (معافیت فارغ‌التحصیلان سوئیس از اولویت نیروی داخلی؛ سهمیه باقی است — SEM Weisungen §4.2)</t>
        </is>
      </c>
      <c r="D25" s="77" t="inlineStr">
        <is>
          <t>قضاوت + قانون</t>
        </is>
      </c>
      <c r="E25" s="77" t="inlineStr">
        <is>
          <t>۲۸ سپتامبر ۲۰۲۶</t>
        </is>
      </c>
      <c r="F25" s="87" t="inlineStr">
        <is>
          <t>⚠️ نتیجه: سوئیس ۶۶.۸ › هلند ۶۲.۸ › آلمان ۶۰ › انگلستان ۵۹.۵ › سوئد ۵۷.۸ › دانمارک ۵۷؛ ردیف ۹ جدول اصلی با بودجهٔ جدید بازنویسی شد</t>
        </is>
      </c>
    </row>
    <row r="26">
      <c r="A26" s="22" t="inlineStr">
        <is>
          <t>بودجه – اصلاح سوم (۲۸ سپتامبر)</t>
        </is>
      </c>
      <c r="B26" s="37" t="inlineStr">
        <is>
          <t>$40,000 برای کل دوره (نه در سال)</t>
        </is>
      </c>
      <c r="C26" s="37" t="inlineStr">
        <is>
          <t>گفتهٔ شما</t>
        </is>
      </c>
      <c r="D26" s="37" t="inlineStr">
        <is>
          <t>—</t>
        </is>
      </c>
      <c r="E26" s="37" t="inlineStr">
        <is>
          <t>۲۸ سپتامبر ۲۰۲۶</t>
        </is>
      </c>
      <c r="F26" s="87" t="inlineStr">
        <is>
          <t>⚠️ همهٔ «جور درمی‌آید؟»های قبلی (که سالانه فرض کرده بودند) منسوخ؛ ردیف ۹، شیت «تصمیم» (بخش‌های الف، پ، ت) و بخش ۲۱ گزارش با بودجهٔ کل بازنویسی شد؛ هلند/سوئد/دانمارک خارج از بودجه</t>
        </is>
      </c>
    </row>
    <row r="27">
      <c r="A27" s="22" t="inlineStr">
        <is>
          <t>بودجه – تعریف نهایی (۲۸ سپتامبر)</t>
        </is>
      </c>
      <c r="B27" s="77" t="inlineStr">
        <is>
          <t>$40,000 = کل شهریه + زندگی تا پیدا شدن کار دانشجویی</t>
        </is>
      </c>
      <c r="C27" s="77" t="inlineStr">
        <is>
          <t>گفتهٔ شما؛ سقف ساعت کار از منابع رسمی (SEM، BAMF، UKVI، IND)؛ حداقل دستمزد انگلستان $16.8 (£12.71) (gov.uk، ۱ آوریل ۲۰۲۶)</t>
        </is>
      </c>
      <c r="D27" s="77" t="inlineStr">
        <is>
          <t>قانون + برآورد درآمد</t>
        </is>
      </c>
      <c r="E27" s="77" t="inlineStr">
        <is>
          <t>۲۸ سپتامبر ۲۰۲۶</t>
        </is>
      </c>
      <c r="F27" s="87" t="inlineStr">
        <is>
          <t>⚠️ ردیف ۹، شیت «تصمیم» و بخش ۲۲ گزارش با این مدل بازنویسی شد؛ گام ۱ = شهریهٔ کل + تمکن رسمی سال اول ≤ $40k (Auswärtiges Amt $13,600 (€11,904) · UKVI $1,590 (£1,203) × ۹ · $25,400 (CHF 21,000) · $1,080 (SEK 10,656) × ۱۰ · IND $1,290 (€1,130.77) × ۱۲ · SIRI معاف با پرداخت شهریه)؛ گام ۲: n ماه = (۴۰,۰۰۰ − شهریه) ÷ میانهٔ زندگی شهر؛ کار دانشجویی با حداکثر ساعت قانونی × کف دستمزد: آلمان $16.6 (€14.60) (۲۰۲۷)، انگلستان $16.8 (£12.71)، هلند $16.8 (€14.71)، Basel-Stadt $26.9 (CHF 22.20)، Neuchâtel 21.35، Ticino 20.25، شهر لوسرن 22.00؛ سوئد/دانمارک بدون حداقل قانونی ($15 (SEK 150) / $21 (DKK 140) معمول)</t>
        </is>
      </c>
    </row>
    <row r="28">
      <c r="A28" s="22" t="inlineStr">
        <is>
          <t>شیت تصمیم – پ-۳ استقلال مالی (نسخهٔ ۳.۶)</t>
        </is>
      </c>
      <c r="B28" s="37" t="inlineStr">
        <is>
          <t>ساعت لازم در هفته = میانهٔ زندگی شهر ÷ (دستمزد خالص ساعتی × ۴.۳۳)؛ سقف قانونی: آلمان ۲۰ ساعت از ماه ۱ · انگلستان ۲۰ (میانگین سالانه ۲۲.۳ با کار تمام‌وقت کریسمس/ایستر) · سوئیس ۱۵ از ماه ۷ (میانگین ۲۱.۷۵ با تعطیلات ترم) · سوئد بدون سقف (۲۰ فرض)؛ کف دستمزد: $16.6 (€14.60) (ژانویهٔ ۲۰۲۷) · $16.8 (£12.71) (آوریل ۲۰۲۶) · $26.9 (CHF 22.20) Basel-Stadt / 22.00 شهر لوسرن / 21.35 Neuchâtel / 22 فرض Fribourg · $15 (SEK 150) فرض؛ نرخ کار IT دانشجویی: $19 (€17) · $19 (£14) · $34 (CHF 28) · $17 (SEK 170)؛ ضریب خالص: ۰.۹۰۵ · ۰.۹۸۶ · ۰.۹۱ · ۰.۸۶؛ ماه‌های کاریابی: ۲ · ۱ · ۱ (پس از ماه ۶) · ۴</t>
        </is>
      </c>
      <c r="C28" s="37" t="inlineStr">
        <is>
          <t>سقف ساعت و کف دستمزد: §16b AufenthG/BMAS، gov.uk (NLW)، SEM + قوانین کانتونی، Migrationsverket؛ نرخ IT: آگهی‌های Werkstudent (StepStone/Indeed)، Indeed UK، jobs.ch؛ ضریب خالص: محاسبهٔ خودم (Werkstudentenprivileg، Personal Allowance، AHV/ALV/کسر مالیات در مبدأ، jobbskatteavdrag)</t>
        </is>
      </c>
      <c r="D28" s="37" t="inlineStr">
        <is>
          <t>قانون (رسمی) + برآورد (نرخ IT، ضریب خالص، ماه‌های کاریابی، میانگین سالانه)</t>
        </is>
      </c>
      <c r="E28" s="37" t="inlineStr">
        <is>
          <t>۲۸ سپتامبر ۲۰۲۶</t>
        </is>
      </c>
      <c r="F28" s="39" t="inlineStr">
        <is>
          <t>✅ سقف‌ها و کف‌های دستمزد رسمی‌اند؛ ⚠️ نرخ IT، ضریب خالص، ماه‌های کاریابی و «میانگین سالانه با کار تمام‌وقت در تعطیلات» فرض‌اند (خطای محتمل ±۵–۱۰٪)؛ حکم‌های سر مرز با ±۵٪ تغییر اجاره یا دستمزد جابه‌جا می‌شوند: Newcastle ۹۹٪، Darmstadt ۹۷٪، Manchester (میانگین) ۱۰۱٪، Västerås ۱۰۲٪، Basel (میانگین) ۱۰۳٪، Middlesbrough ۱۰۳٪؛ پایدار: Saarbrücken/Passau ۱۱۴٪، Luzern (میانگین) ۱۰۸٪، Karlskrona ۱۰۶٪</t>
        </is>
      </c>
    </row>
    <row r="29">
      <c r="A29" s="22" t="inlineStr">
        <is>
          <t>کل فایل – وضعیت</t>
        </is>
      </c>
      <c r="B29" s="77" t="inlineStr">
        <is>
          <t>≈ ۱,۶۰۰ سلول عددی؛ ≈ ۳۴۰ سلول با علامت ≈/برآورد</t>
        </is>
      </c>
      <c r="C29" s="77" t="inlineStr">
        <is>
          <t>—</t>
        </is>
      </c>
      <c r="D29" s="77" t="inlineStr">
        <is>
          <t>—</t>
        </is>
      </c>
      <c r="E29" s="77" t="inlineStr">
        <is>
          <t>۲۸ سپتامبر ۲۰۲۶</t>
        </is>
      </c>
      <c r="F29" s="77" t="inlineStr">
        <is>
          <t>خلاصه: تصمیم‌سازها (شهریه، ویزا، تمکن، مهلت، تطبیق نمره، بورس‌های اصلی، خوابگاه‌های اصلی) رسمی‌اند؛ حقوق، هزینهٔ زندگی، شانس خوابگاه و اجاره‌های شهرهای فرعی برآوردند و همان‌طور علامت خورده‌اند</t>
        </is>
      </c>
    </row>
  </sheetData>
  <pageMargins left="0.75" right="0.75" top="1" bottom="1" header="0.5" footer="0.5"/>
  <pageSetup orientation="landscape" fitToHeight="0" fitToWidth="1"/>
</worksheet>
</file>

<file path=xl/worksheets/sheet9.xml><?xml version="1.0" encoding="utf-8"?>
<worksheet xmlns="http://schemas.openxmlformats.org/spreadsheetml/2006/main">
  <sheetPr>
    <tabColor rgb="007F7F7F"/>
    <outlinePr summaryBelow="1" summaryRight="1"/>
    <pageSetUpPr fitToPage="1"/>
  </sheetPr>
  <dimension ref="A1:B224"/>
  <sheetViews>
    <sheetView showGridLines="0" rightToLeft="1" tabSelected="0" workbookViewId="0">
      <pane xSplit="1" ySplit="1" topLeftCell="B2" activePane="bottomRight" state="frozen"/>
      <selection pane="topRight"/>
      <selection pane="bottomLeft"/>
      <selection pane="bottomRight" activeCell="A1" sqref="A1"/>
    </sheetView>
  </sheetViews>
  <sheetFormatPr baseColWidth="8" defaultRowHeight="15"/>
  <cols>
    <col width="60" customWidth="1" min="1" max="1"/>
    <col width="110" customWidth="1" min="2" max="2"/>
  </cols>
  <sheetData>
    <row r="1">
      <c r="A1" s="15" t="inlineStr">
        <is>
          <t>موضوع</t>
        </is>
      </c>
      <c r="B1" s="15" t="inlineStr">
        <is>
          <t>لینک (بازدید ۲۷–۲۸ سپتامبر ۲۰۲۶)</t>
        </is>
      </c>
    </row>
    <row r="2">
      <c r="A2" s="105" t="inlineStr">
        <is>
          <t>آلمان – EU Blue Card 2026 (€50,700 / €45,934.20)</t>
        </is>
      </c>
      <c r="B2" s="75" t="inlineStr">
        <is>
          <t>https://www.make-it-in-germany.com/en/visa-residence/types/eu-blue-card</t>
        </is>
      </c>
    </row>
    <row r="3">
      <c r="A3" s="105" t="inlineStr">
        <is>
          <t>آلمان – Sperrkonto €992/ماه (2026)</t>
        </is>
      </c>
      <c r="B3" s="78" t="inlineStr">
        <is>
          <t>https://www.make-it-in-germany.com/en/study-training/study/financing</t>
        </is>
      </c>
    </row>
    <row r="4">
      <c r="A4" s="105" t="inlineStr">
        <is>
          <t>آلمان – Niederlassungserlaubnis §18c (فارغ‌التحصیلان، ۲ سال، B1)</t>
        </is>
      </c>
      <c r="B4" s="75" t="inlineStr">
        <is>
          <t>https://www.make-it-in-germany.com/en/visa-residence/living-permanently/permanent-residence</t>
        </is>
      </c>
    </row>
    <row r="5">
      <c r="A5" s="105" t="inlineStr">
        <is>
          <t>آلمان – Stuttgart MSc Computer Science (انگلیسی، IELTS 7، €1,500/ترم)</t>
        </is>
      </c>
      <c r="B5" s="78" t="inlineStr">
        <is>
          <t>https://www.uni-stuttgart.de/en/study/study-programs/Computer-Science-M.Sc./</t>
        </is>
      </c>
    </row>
    <row r="6">
      <c r="A6" s="105" t="inlineStr">
        <is>
          <t>آلمان – FAU MSc Artificial Intelligence (انگلیسی، B2)</t>
        </is>
      </c>
      <c r="B6" s="75" t="inlineStr">
        <is>
          <t>https://www.ai.study.fau.eu/prospective-students/living-studying-in-germany/language-proficiency/</t>
        </is>
      </c>
    </row>
    <row r="7">
      <c r="A7" s="105" t="inlineStr">
        <is>
          <t>آلمان – TU Darmstadt MSc Computer Science</t>
        </is>
      </c>
      <c r="B7" s="78" t="inlineStr">
        <is>
          <t>https://www.informatik.tu-darmstadt.de/studium_fb20/im_studium/studiengaenge_liste/computer_science_msc.en.jsp</t>
        </is>
      </c>
    </row>
    <row r="8">
      <c r="A8" s="105" t="inlineStr">
        <is>
          <t>آلمان – TU Dresden MSc Computer Science admission</t>
        </is>
      </c>
      <c r="B8" s="75" t="inlineStr">
        <is>
          <t>https://tu-dresden.de/ing/informatik/studium/studienangebot/master-studiengaenge/m-sc-computer-science/admission?set_language=en</t>
        </is>
      </c>
    </row>
    <row r="9">
      <c r="A9" s="105" t="inlineStr">
        <is>
          <t>آلمان – TLScontact Tehran (لیست انتظار دانشجویی)</t>
        </is>
      </c>
      <c r="B9" s="78" t="inlineStr">
        <is>
          <t>https://visas-de.tlscontact.com/en-us/country/ir/vac/irTHR2de</t>
        </is>
      </c>
    </row>
    <row r="10">
      <c r="A10" s="105" t="inlineStr">
        <is>
          <t>آلمان – وضعیت سفارت تهران (Iran International، اوت ۲۰۲۶)</t>
        </is>
      </c>
      <c r="B10" s="75" t="inlineStr">
        <is>
          <t>https://www.iranintl.com/en/202608115899</t>
        </is>
      </c>
    </row>
    <row r="11">
      <c r="A11" s="105" t="inlineStr">
        <is>
          <t>آلمان – Fintiba: ساکنان ایران پذیرفته نمی‌شوند</t>
        </is>
      </c>
      <c r="B11" s="78" t="inlineStr">
        <is>
          <t>https://www.simplegermany.com/best-blocked-account-germany/</t>
        </is>
      </c>
    </row>
    <row r="12">
      <c r="A12" s="105" t="inlineStr">
        <is>
          <t>آلمان – حقوق توسعه‌دهنده (StepStone)</t>
        </is>
      </c>
      <c r="B12" s="75" t="inlineStr">
        <is>
          <t>https://www.stepstone.de/gehalt/Software-Entwickler-in.html</t>
        </is>
      </c>
    </row>
    <row r="13">
      <c r="A13" s="107" t="inlineStr">
        <is>
          <t>هلند – IND مبالغ ۲۰۲۶ (HSM €3,122 / €4,357؛ دانشجو €1,130.77)</t>
        </is>
      </c>
      <c r="B13" s="78" t="inlineStr">
        <is>
          <t>https://ind.nl/en/required-amounts-income-requirements</t>
        </is>
      </c>
    </row>
    <row r="14">
      <c r="A14" s="107" t="inlineStr">
        <is>
          <t>هلند – Twente شهریه 2026/27 €21,700</t>
        </is>
      </c>
      <c r="B14" s="75" t="inlineStr">
        <is>
          <t>https://www.utwente.nl/en/education/master/programmes/computer-science/finance/</t>
        </is>
      </c>
    </row>
    <row r="15">
      <c r="A15" s="107" t="inlineStr">
        <is>
          <t>هلند – Twente حداقل معدل برای مدرک ایرانی (۱۵/۲۰)</t>
        </is>
      </c>
      <c r="B15" s="78" t="inlineStr">
        <is>
          <t>https://www.utwente.nl/en/education/master/programmes/european-studies/admission/international/</t>
        </is>
      </c>
    </row>
    <row r="16">
      <c r="A16" s="107" t="inlineStr">
        <is>
          <t>هلند – Twente QS 2027 = 223</t>
        </is>
      </c>
      <c r="B16" s="75" t="inlineStr">
        <is>
          <t>https://www.utwente.nl/en/about-us/impact-ambitions/rankings/</t>
        </is>
      </c>
    </row>
    <row r="17">
      <c r="A17" s="107" t="inlineStr">
        <is>
          <t>هلند – Radboud شهریهٔ رسمی 2026/27 غیر-EEA €19,714 (Data Science and AI؛ دانشکدهٔ علوم)</t>
        </is>
      </c>
      <c r="B17" s="78" t="inlineStr">
        <is>
          <t>https://www.ru.nl/en/education/masters/data-science-and-ai/tuition</t>
        </is>
      </c>
    </row>
    <row r="18">
      <c r="A18" s="107" t="inlineStr">
        <is>
          <t>هلند – MVV در ایران (سفارت در باکو)</t>
        </is>
      </c>
      <c r="B18" s="75" t="inlineStr">
        <is>
          <t>https://www.netherlandsworldwide.nl/visa-the-netherlands/mvv-long-stay/apply-iran</t>
        </is>
      </c>
    </row>
    <row r="19">
      <c r="A19" s="107" t="inlineStr">
        <is>
          <t>هلند – B1 برای PR/تابعیت (تصمیم کابینه ۲۰۲۶)</t>
        </is>
      </c>
      <c r="B19" s="78" t="inlineStr">
        <is>
          <t>https://thedutchdaily.nl/dutch-citizenship-b1-language-requirement-confirmed-2026/</t>
        </is>
      </c>
    </row>
    <row r="20">
      <c r="A20" s="102" t="inlineStr">
        <is>
          <t>سوئد – قوانین جدید اقامت تحصیلی از ۱۱ ژوئن ۲۰۲۶ (۱۵ ساعت/هفته)</t>
        </is>
      </c>
      <c r="B20" s="75" t="inlineStr">
        <is>
          <t>https://www.migrationsverket.se/nyheter/news-archive/2026-05-25-new-rules-for-residence-permits-for-studies-in-higher-education.html</t>
        </is>
      </c>
    </row>
    <row r="21">
      <c r="A21" s="102" t="inlineStr">
        <is>
          <t>سوئد – قوانین جدید مجوز کار از ۱ ژوئن ۲۰۲۶ (SEK 34,470)</t>
        </is>
      </c>
      <c r="B21" s="78" t="inlineStr">
        <is>
          <t>https://www.migrationsverket.se/nyheter/news-archive/2026-04-17-new-rules-for-work-permits-from-1-june-2026.html</t>
        </is>
      </c>
    </row>
    <row r="22">
      <c r="A22" s="102" t="inlineStr">
        <is>
          <t>سوئد – گروه‌های معاف (فارغ‌التحصیلان ۷۵٪)</t>
        </is>
      </c>
      <c r="B22" s="75" t="inlineStr">
        <is>
          <t>https://eiglaw.com/sweden-publishes-exempt-occupations-for-new-salary-rule/</t>
        </is>
      </c>
    </row>
    <row r="23">
      <c r="A23" s="102" t="inlineStr">
        <is>
          <t>سوئد – مجوز ۱۲ ماهه جست‌وجوی کار و تمکن SEK 10,656</t>
        </is>
      </c>
      <c r="B23" s="78" t="inlineStr">
        <is>
          <t>https://www.migrationsverket.se/en/you-want-to-extend/study/look-for-work-after-completing-your-studies-in-sweden.html</t>
        </is>
      </c>
    </row>
    <row r="24">
      <c r="A24" s="102" t="inlineStr">
        <is>
          <t>سوئد – Linköping MSc CS شهریه SEK 332,000 (کل)</t>
        </is>
      </c>
      <c r="B24" s="75" t="inlineStr">
        <is>
          <t>https://liu.se/en/education/program/6mics</t>
        </is>
      </c>
    </row>
    <row r="25">
      <c r="A25" s="102" t="inlineStr">
        <is>
          <t>سوئد – BTH MSc Software Engineering 120 credits (SEK 70,000/ترم)</t>
        </is>
      </c>
      <c r="B25" s="78" t="inlineStr">
        <is>
          <t>https://www.bth.se/english/education/programmes/masters-programme-in-software-engineering-120-credits</t>
        </is>
      </c>
    </row>
    <row r="26">
      <c r="A26" s="102" t="inlineStr">
        <is>
          <t>سوئد – BTH برنامه ۶۰ واحدی (از راه دور، نیمه‌وقت، ۲ سال سابقه)</t>
        </is>
      </c>
      <c r="B26" s="75" t="inlineStr">
        <is>
          <t>https://www.bth.se/english/education/programmes/masters-programme-in-software-engineering-60-credits</t>
        </is>
      </c>
    </row>
    <row r="27">
      <c r="A27" s="102" t="inlineStr">
        <is>
          <t>سوئد – Halmstad MSc Information Technology شهریه</t>
        </is>
      </c>
      <c r="B27" s="78" t="inlineStr">
        <is>
          <t>https://www.mastersportal.com/studies/22787/information-technology.html</t>
        </is>
      </c>
    </row>
    <row r="28">
      <c r="A28" s="102" t="inlineStr">
        <is>
          <t>سوئد – Halmstad مسکن (بدون تضمین)</t>
        </is>
      </c>
      <c r="B28" s="75" t="inlineStr">
        <is>
          <t>https://www.hh.se/english/education/student-life/find-accommodation.html</t>
        </is>
      </c>
    </row>
    <row r="29">
      <c r="A29" s="102" t="inlineStr">
        <is>
          <t>سوئد – شهروندی ۸ ساله از ژوئن ۲۰۲۶</t>
        </is>
      </c>
      <c r="B29" s="78" t="inlineStr">
        <is>
          <t>https://www.imidaily.com/europe/sweden-passes-law-curtailing-naturalization-8-year-wait-income-floor/</t>
        </is>
      </c>
    </row>
    <row r="30">
      <c r="A30" s="102" t="inlineStr">
        <is>
          <t>سوئد – اطلاعیه مهاجرتی سفارت تهران</t>
        </is>
      </c>
      <c r="B30" s="75" t="inlineStr">
        <is>
          <t>https://www.swedenabroad.se/globalassets/ambassader/iran-teheran/documents/migration-issues/new-folder/english-versin.pdf</t>
        </is>
      </c>
    </row>
    <row r="31">
      <c r="A31" s="106" t="inlineStr">
        <is>
          <t>دانمارک – Pay Limit Scheme 2026</t>
        </is>
      </c>
      <c r="B31" s="78" t="inlineStr">
        <is>
          <t>https://www.nyidanmark.dk/pl-PL/You-want-to-apply/Work/Pay-limit-scheme</t>
        </is>
      </c>
    </row>
    <row r="32">
      <c r="A32" s="106" t="inlineStr">
        <is>
          <t>دانمارک – برنامه‌های آموزش عالی: ۹۰ ساعت/ماه، ۶ ماه یا ۳ سال جست‌وجوی کار</t>
        </is>
      </c>
      <c r="B32" s="75" t="inlineStr">
        <is>
          <t>https://www.nyidanmark.dk/en-GB/You-want-to-apply/Study/Higher-Education</t>
        </is>
      </c>
    </row>
    <row r="33">
      <c r="A33" s="106" t="inlineStr">
        <is>
          <t>دانمارک – مجوز ۳ ساله جست‌وجوی کار</t>
        </is>
      </c>
      <c r="B33" s="78" t="inlineStr">
        <is>
          <t>https://www.nyidanmark.dk/de-DE/You-want-to-apply/Study/Study---job-seeking/Study---3-years-job-seeking</t>
        </is>
      </c>
    </row>
    <row r="34">
      <c r="A34" s="106" t="inlineStr">
        <is>
          <t>دانمارک – اقامت دائم</t>
        </is>
      </c>
      <c r="B34" s="75" t="inlineStr">
        <is>
          <t>https://www.nyidanmark.dk/de-DE/You-want-to-apply/Permanent-residence-permit/Permanent-residence</t>
        </is>
      </c>
    </row>
    <row r="35">
      <c r="A35" s="106" t="inlineStr">
        <is>
          <t>دانمارک – تمکن DKK 7,426 (2026)</t>
        </is>
      </c>
      <c r="B35" s="78" t="inlineStr">
        <is>
          <t>https://nyidanmark.dk/en-GB/Words-and-concepts/SIRI/Self-support---SIRI</t>
        </is>
      </c>
    </row>
    <row r="36">
      <c r="A36" s="106" t="inlineStr">
        <is>
          <t>دانمارک – AAU Computer Science (IT) شهریه €7,455/ترم</t>
        </is>
      </c>
      <c r="B36" s="75" t="inlineStr">
        <is>
          <t>https://studyindenmark.dk/portal/aalborg-university-aau/aalborg/computer-science-it-msc</t>
        </is>
      </c>
    </row>
    <row r="37">
      <c r="A37" s="106" t="inlineStr">
        <is>
          <t>دانمارک – SDU شهریهٔ رسمی از ورودی ۲۰۲۶: Science/Engineering €17,300 در سال</t>
        </is>
      </c>
      <c r="B37" s="78" t="inlineStr">
        <is>
          <t>https://www.sdu.dk/en/uddannelse/fees_and_funding/tuition</t>
        </is>
      </c>
    </row>
    <row r="38">
      <c r="A38" s="106" t="inlineStr">
        <is>
          <t>دانمارک – SDU MSc Computer Science (ظرفیت محدود، €17,300)</t>
        </is>
      </c>
      <c r="B38" s="75" t="inlineStr">
        <is>
          <t>https://www.sdu.dk/en/uddannelse/kandidat/datalogi/adgangskrav</t>
        </is>
      </c>
    </row>
    <row r="39">
      <c r="A39" s="106" t="inlineStr">
        <is>
          <t>دانمارک – سفارت تهران (درخواست از ایران ممکن نیست)</t>
        </is>
      </c>
      <c r="B39" s="78" t="inlineStr">
        <is>
          <t>https://iran.um.dk/en</t>
        </is>
      </c>
    </row>
    <row r="40">
      <c r="A40" s="106" t="inlineStr">
        <is>
          <t>دانمارک – IDA حقوق شروع ۲۰۲۶</t>
        </is>
      </c>
      <c r="B40" s="75" t="inlineStr">
        <is>
          <t>https://studerende.ida.dk/snart-nyuddannet/loen/softwareingenioer-loen-saa-meget-kommer-du-til-at-tjene/</t>
        </is>
      </c>
    </row>
    <row r="41">
      <c r="A41" s="37" t="inlineStr">
        <is>
          <t>مسکن – DSW: میانگین اجارهٔ خوابگاه Studierendenwerk ≈ €306 با قبوض؛ ۱,۷۰۰ خوابگاه / ۱۹۶ هزار جا</t>
        </is>
      </c>
      <c r="B41" s="78" t="inlineStr">
        <is>
          <t>https://www.studierendenwerke.de/en/topics/accomodation/accommodation-and-studies</t>
        </is>
      </c>
    </row>
    <row r="42">
      <c r="A42" s="37" t="inlineStr">
        <is>
          <t>مسکن – Studierendenwerk Stuttgart: €229–399 با قبوض، لیست انتظار معمول ۶–۸ ماه (اطلاعیهٔ رسمی)</t>
        </is>
      </c>
      <c r="B42" s="75" t="inlineStr">
        <is>
          <t>https://www.studierendenwerk-stuttgart.de/ueber-uns/presse/pressemitteilungen/mitteilung/wohnraum-fuer-studierende-in-der-hochschulregion-stuttgart</t>
        </is>
      </c>
    </row>
    <row r="43">
      <c r="A43" s="37" t="inlineStr">
        <is>
          <t>مسکن – Radboud: کمک مسکن (فرم PAS تا ۱ ژوئن)، بدون تضمین، گاهی ۳ ماه پیش‌پرداخت</t>
        </is>
      </c>
      <c r="B43" s="78" t="inlineStr">
        <is>
          <t>https://www.ru.nl/en/students/international-students/housing/housing-options/apply-for-help-with-housing</t>
        </is>
      </c>
    </row>
    <row r="44">
      <c r="A44" s="37" t="inlineStr">
        <is>
          <t>مسکن – Radboud بروشور 2026–27: اتاق مبلهٔ €370–650؛ زندگی €1,100–1,200</t>
        </is>
      </c>
      <c r="B44" s="75" t="inlineStr">
        <is>
          <t>https://www.timeshighereducation.com/cms-academic/sites/default/files/institution_downloads/2025-08/OM_BAMA_intbrochure_2026-2027_interactieve_3.pdf</t>
        </is>
      </c>
    </row>
    <row r="45">
      <c r="A45" s="37" t="inlineStr">
        <is>
          <t>مسکن – Utrecht: استودیوهای رزروشدهٔ ارشد €868 با قبوض، ودیعه €1,306؛ ۲۸ می ۲۰۲۶ تمام شد</t>
        </is>
      </c>
      <c r="B45" s="78" t="inlineStr">
        <is>
          <t>https://www.uu.nl/en/education/welcome-to-utrecht/prepare-your-stay/arrange-housing/ways-to-find-housing/uu-reserved-accommodation-progamme/reserved-accommodation-for-masters-sep-26/reserved-housing-plaza</t>
        </is>
      </c>
    </row>
    <row r="46">
      <c r="A46" s="37" t="inlineStr">
        <is>
          <t>مسکن – Twente: اجاره €300–800؛ Roomspot؛ پیشنهاد برای دانشجویان ویزایی اول‌آمده‌اول‌گرفته</t>
        </is>
      </c>
      <c r="B46" s="75" t="inlineStr">
        <is>
          <t>https://issuu.com/utwente/docs/master_programmes_university_of_twente/s/16597294</t>
        </is>
      </c>
    </row>
    <row r="47">
      <c r="A47" s="37" t="inlineStr">
        <is>
          <t>مسکن – Uppsala: تضمین رسمی خوابگاه برای شهریه‌پردازها</t>
        </is>
      </c>
      <c r="B47" s="78" t="inlineStr">
        <is>
          <t>https://www.uu.se/en/study/masters-studies/living-in-sweden/housing</t>
        </is>
      </c>
    </row>
    <row r="48">
      <c r="A48" s="37" t="inlineStr">
        <is>
          <t>مسکن – Stockholm University: بدون تضمین؛ ≈ ۶۰۰ واحد برای بین‌المللی‌ها</t>
        </is>
      </c>
      <c r="B48" s="75" t="inlineStr">
        <is>
          <t>https://medarbetare.su.se/en/education/first-and-second-level/internationalisation-for-students/housing-for-international-students</t>
        </is>
      </c>
    </row>
    <row r="49">
      <c r="A49" s="37" t="inlineStr">
        <is>
          <t>مسکن – AAU Copenhagen: صریحاً بدون تضمین؛ KKIK/CIU DKK 3,500–6,000؛ خوابگاه 5,000–9,000</t>
        </is>
      </c>
      <c r="B49" s="78" t="inlineStr">
        <is>
          <t>https://www.en.aau.dk/living-in-denmark/accommodation/international-students-in-copenhagen</t>
        </is>
      </c>
    </row>
    <row r="50">
      <c r="A50" s="37" t="inlineStr">
        <is>
          <t>مسکن – AAU Aalborg: دفتر مسکن بین‌الملل، ۲۲۰+ واحد مبله، «تقریباً ۱۰۰٪ تضمین»، DKK 3,200–4,700 (ثانویه + بروشور AAU)</t>
        </is>
      </c>
      <c r="B50" s="75" t="inlineStr">
        <is>
          <t>https://www.findunirooms.com/denmark/aalborg-university/</t>
        </is>
      </c>
    </row>
    <row r="51">
      <c r="A51" s="37" t="inlineStr">
        <is>
          <t>مسکن – York: تضمین PG تا ۳۱ ژوئیه؛ اجارهٔ 2026/27 £186–224/هفته (۵۱ هفته)</t>
        </is>
      </c>
      <c r="B51" s="78" t="inlineStr">
        <is>
          <t>https://www.york.ac.uk/study/accommodation/postgraduate/</t>
        </is>
      </c>
    </row>
    <row r="52">
      <c r="A52" s="37" t="inlineStr">
        <is>
          <t>مسکن – Essex: تضمین خوابگاه PG برای کل دوره با اقدام تا مهلت</t>
        </is>
      </c>
      <c r="B52" s="75" t="inlineStr">
        <is>
          <t>https://www.essex.ac.uk/life/accommodation/apply/new-students/postgraduate</t>
        </is>
      </c>
    </row>
    <row r="53">
      <c r="A53" s="37" t="inlineStr">
        <is>
          <t>مسکن – Brunel: تضمین برای همهٔ دانشجویان جدید؛ مهلت ۱۵ مارس ۲۰۲۶؛ پیش‌پرداخت £350/£450</t>
        </is>
      </c>
      <c r="B53" s="78" t="inlineStr">
        <is>
          <t>https://www.brunel.ac.uk/life/accommodation/how-to-apply</t>
        </is>
      </c>
    </row>
    <row r="54">
      <c r="A54" s="37" t="inlineStr">
        <is>
          <t>مسکن – Newcastle: فهرست خوابگاه‌های PG 2026/27 (£117.60–239.75/هفته)</t>
        </is>
      </c>
      <c r="B54" s="75" t="inlineStr">
        <is>
          <t>https://www.ncl.ac.uk/accommodation/university/</t>
        </is>
      </c>
    </row>
    <row r="55">
      <c r="A55" s="37" t="inlineStr">
        <is>
          <t>مسکن – Northumbria: خوابگاه £94.19–158.31/هفته با قبوض؛ catered و self-catered؛ حداقل زندگی £1,015/ماه</t>
        </is>
      </c>
      <c r="B55" s="78" t="inlineStr">
        <is>
          <t>https://www.northumbria.ac.uk/study-at-northumbria/postgraduate-study/pg-info-new/postgraduate-study-living-costs/</t>
        </is>
      </c>
    </row>
    <row r="56">
      <c r="A56" s="37" t="inlineStr">
        <is>
          <t>مسکن – Durham: catered فقط برای کارشناسی (University College)؛ PG self-catered؛ راهنمای کالج PG</t>
        </is>
      </c>
      <c r="B56" s="75" t="inlineStr">
        <is>
          <t>https://www.durham.ac.uk/colleges-and-student-experience/colleges/university/accommodation/</t>
        </is>
      </c>
    </row>
    <row r="57">
      <c r="A57" s="37" t="inlineStr">
        <is>
          <t>مسکن – Durham قیمت 25/26: catered £10,233/سال، self-catered £7,146–7,801 (۳۹ هفته)، سهم غذا £3,087</t>
        </is>
      </c>
      <c r="B57" s="78" t="inlineStr">
        <is>
          <t>https://www.palatinate.org.uk/college-accommodation-prices-increase-by-5/</t>
        </is>
      </c>
    </row>
    <row r="58">
      <c r="A58" s="37" t="inlineStr">
        <is>
          <t>مسکن – Imperial: PG بدون تضمین؛ خوابگاه £210–410/هفته (۲۰۲۶)؛ طرح ضامن اجاره فقط UG/PhD؛ UCL طرح ضامن £50</t>
        </is>
      </c>
      <c r="B58" s="75" t="inlineStr">
        <is>
          <t>https://www.harveywjames.com/news-imperial-college-rent-guarantee-scheme-london</t>
        </is>
      </c>
    </row>
    <row r="59">
      <c r="A59" s="37" t="inlineStr">
        <is>
          <t>مسکن – SFS Bostadsrapport 2024: شهرهای سبز/زرد/قرمز سوئد (Linköping، Västerås، Karlskrona، Skövde سبز؛ Halmstad، Umeå، Uppsala، Stockholm، Göteborg قرمز)</t>
        </is>
      </c>
      <c r="B59" s="78" t="inlineStr">
        <is>
          <t>https://www.svt.se/nyheter/inrikes/rapport-flera-kommuner-med-bostadsgaranti-kan-inte-erbjuda-studenter-bostad</t>
        </is>
      </c>
    </row>
    <row r="60">
      <c r="A60" s="37" t="inlineStr">
        <is>
          <t>مسکن – SFS Bostadsrapport 2025: ۱۴ شهر سبز (از جمله Linköping، Västerås)، ۱۰ قرمز (Lund، Göteborg، Stockholm، Uppsala)</t>
        </is>
      </c>
      <c r="B60" s="75" t="inlineStr">
        <is>
          <t>https://www.kau.se/nyheter/karlstad-fortsatt-gront-i-studentbostadsrapport</t>
        </is>
      </c>
    </row>
    <row r="61">
      <c r="A61" s="37" t="inlineStr">
        <is>
          <t>مسکن – MLP Studentenwohnreport 2025: اجارهٔ اتاق WG به تفکیک شهر (München 790، Köln 641، Stuttgart 593، Darmstadt/Aachen 483، Saarbrücken 480، Tübingen 464، Dresden 435، Magdeburg 339، Chemnitz 274)</t>
        </is>
      </c>
      <c r="B61" s="78" t="inlineStr">
        <is>
          <t>https://de.marketscreener.com/boerse-nachrichten/mlp-studentenwohnreport-2025-wohnen-bleibt-fuer-studierende-zu-teuer-a-und-wird-zunehmend-zum-stan-ce7d5bd9d88ef62c</t>
        </is>
      </c>
    </row>
    <row r="62">
      <c r="A62" s="37" t="inlineStr">
        <is>
          <t>مسکن – Kences Landelijke Monitor 2026: کمبود ۲۰,۲۰۰؛ بیشترین فشار Amsterdam، Delft، Eindhoven، Leiden، Nijmegen، Utrecht؛ اتاق میانگین €540</t>
        </is>
      </c>
      <c r="B62" s="75" t="inlineStr">
        <is>
          <t>https://delta.tudelft.nl/en/article/kences-housing-shortage-remains-severe-delft-believes-it-has-found-a-solution</t>
        </is>
      </c>
    </row>
    <row r="63">
      <c r="A63" s="37" t="inlineStr">
        <is>
          <t>مسکن – Kamernet Q1 2025: Enschede ارزان‌ترین (€397)، Amsterdam گران‌ترین (€979)</t>
        </is>
      </c>
      <c r="B63" s="78" t="inlineStr">
        <is>
          <t>https://kamernet.nl/tips/verhuurders/huurprijs/kamernet-verhuurrapportage-q1-2025</t>
        </is>
      </c>
    </row>
    <row r="64">
      <c r="A64" s="37" t="inlineStr">
        <is>
          <t>مسکن – University of Manchester: تضمین خوابگاه برای هر PG بین‌المللی برای کل دوره (اقدام تا ۳۱ اوت)</t>
        </is>
      </c>
      <c r="B64" s="75" t="inlineStr">
        <is>
          <t>https://www.manchester.ac.uk/study/international/accommodation/guarantee/</t>
        </is>
      </c>
    </row>
    <row r="65">
      <c r="A65" s="37" t="inlineStr">
        <is>
          <t>مسکن – Statista/DSW: میانگین اجارهٔ خوابگاه هر Studierendenwerk ۲۰۲۳ با قبوض (Darmstadt €401 … Siegen €246؛ میانگین €306)</t>
        </is>
      </c>
      <c r="B65" s="78" t="inlineStr">
        <is>
          <t>https://de.statista.com/statistik/daten/studie/1447630/umfrage/durchschnittsmiete-in-studierendenwerken/</t>
        </is>
      </c>
    </row>
    <row r="66">
      <c r="A66" s="37" t="inlineStr">
        <is>
          <t>مسکن – Teesside: قیمت‌های رسمی 2026/27 (Parkside £85، Woodlands £125، KES £155–160؛ ودیعه £150)</t>
        </is>
      </c>
      <c r="B66" s="75" t="inlineStr">
        <is>
          <t>https://www.tees.ac.uk/sections/accommodation/buildings/kes.cfm</t>
        </is>
      </c>
    </row>
    <row r="67">
      <c r="A67" s="37" t="inlineStr">
        <is>
          <t>مسکن – Essex Colchester: اجاره‌های رسمی 2026-27 (Meadows £168 حمام مشترک؛ en-suite £189–199)</t>
        </is>
      </c>
      <c r="B67" s="78" t="inlineStr">
        <is>
          <t>https://www.essex.ac.uk/life/accommodation/colchester/rent-charges</t>
        </is>
      </c>
    </row>
    <row r="68">
      <c r="A68" s="37" t="inlineStr">
        <is>
          <t>مسکن – Brunel Mill Hall از £179.97/هفته (2026/27)</t>
        </is>
      </c>
      <c r="B68" s="75" t="inlineStr">
        <is>
          <t>https://www.brunel.ac.uk/life/accommodation/residences/residence?id=bd97a78a-03f2-4ed9-bce8-146d2e3ad8fc</t>
        </is>
      </c>
    </row>
    <row r="69">
      <c r="A69" s="37" t="inlineStr">
        <is>
          <t>مسکن – Sheffield: اجاره‌های PG 2026/27 (Allen Court £194–209؛ ۴۲/۵۱ هفته)</t>
        </is>
      </c>
      <c r="B69" s="78" t="inlineStr">
        <is>
          <t>https://sheffield.ac.uk/accommodation/rents</t>
        </is>
      </c>
    </row>
    <row r="70">
      <c r="A70" s="37" t="inlineStr">
        <is>
          <t>مسکن – Lancaster: قیمت‌های 2026/27 (حمام مشترک £139–168، en-suite £203–206، استودیو £241، catered £276)</t>
        </is>
      </c>
      <c r="B70" s="75" t="inlineStr">
        <is>
          <t>https://features.lancaster-university.uk/accommodation/</t>
        </is>
      </c>
    </row>
    <row r="71">
      <c r="A71" s="37" t="inlineStr">
        <is>
          <t>مسکن – WOKO زوریخ: فهرست ساختمان‌ها و اجاره (CHF 295–1,180)</t>
        </is>
      </c>
      <c r="B71" s="78" t="inlineStr">
        <is>
          <t>https://www.woko.ch/unser-angebot/liegenschaften</t>
        </is>
      </c>
    </row>
    <row r="72">
      <c r="A72" s="37" t="inlineStr">
        <is>
          <t>Russell Group – فهرست رسمی ۲۴ عضو (۲۰ در انگلستان)</t>
        </is>
      </c>
      <c r="B72" s="75" t="inlineStr">
        <is>
          <t>https://russellgroup.ac.uk/about/our-universities/</t>
        </is>
      </c>
    </row>
    <row r="73">
      <c r="A73" s="133" t="inlineStr">
        <is>
          <t>انگلستان – Warwick: جدول رسمی تطبیق مدرک ایرانی (1st ۱۷/۲۰، 2:1 ۱۵/۲۰، 2:2 ۱۳/۲۰)</t>
        </is>
      </c>
      <c r="B73" s="78" t="inlineStr">
        <is>
          <t>https://warwick.ac.uk/study/international/countryinformation/middleeast/iran/</t>
        </is>
      </c>
    </row>
    <row r="74">
      <c r="A74" s="133" t="inlineStr">
        <is>
          <t>انگلستان – Durham MSc Advanced Computer Science: £34,500 (2026)؛ جدول ایران (2:1 = ۱۴–۱۶/۲۰؛ Ecctis)</t>
        </is>
      </c>
      <c r="B74" s="75" t="inlineStr">
        <is>
          <t>https://www.durham.ac.uk/study/courses/advanced-computer-science-g5t609/</t>
        </is>
      </c>
    </row>
    <row r="75">
      <c r="A75" s="133" t="inlineStr">
        <is>
          <t>انگلستان – KCL: جدول رسمی ایران (First ۱۸، high 2:1 ۱۷، 2:1 ۱۵، high 2:2 ۱۳ از ۲۰)؛ Advanced Computing high 2:1، £40,450 (2026)</t>
        </is>
      </c>
      <c r="B75" s="78" t="inlineStr">
        <is>
          <t>https://www.kcl.ac.uk/study-legacy/postgraduate/apply/entry-requirements/international</t>
        </is>
      </c>
    </row>
    <row r="76">
      <c r="A76" s="133" t="inlineStr">
        <is>
          <t>انگلستان – Imperial MSc Computing (AI &amp; ML): First-class؛ £46,000 (2026/27)</t>
        </is>
      </c>
      <c r="B76" s="75" t="inlineStr">
        <is>
          <t>https://www.imperial.ac.uk/study/courses/postgraduate-taught/computing-artificial-intelligence-msc/</t>
        </is>
      </c>
    </row>
    <row r="77">
      <c r="A77" s="133" t="inlineStr">
        <is>
          <t>انگلستان – UCL MSc Computer Science (تبدیلی): £42,700 (2026/27)، 2:1 در رشتهٔ غیر CS</t>
        </is>
      </c>
      <c r="B77" s="78" t="inlineStr">
        <is>
          <t>https://www.ucl.ac.uk/prospective-students/graduate/taught-degrees/computer-science-msc-2026</t>
        </is>
      </c>
    </row>
    <row r="78">
      <c r="A78" s="133" t="inlineStr">
        <is>
          <t>انگلستان – Bristol MSc Data Science: £37,900 (سپتامبر ۲۰۲۷)، strong 2:1 (۶۵٪)</t>
        </is>
      </c>
      <c r="B78" s="75" t="inlineStr">
        <is>
          <t>https://www.bristol.ac.uk/study/postgraduate/taught/msc-data-science/</t>
        </is>
      </c>
    </row>
    <row r="79">
      <c r="A79" s="133" t="inlineStr">
        <is>
          <t>انگلستان – Bristol صفحهٔ ایران: کارشناسی ۴ ساله با حداقل ۱۵/۲۰ از دانشگاه مورد تأیید</t>
        </is>
      </c>
      <c r="B79" s="78" t="inlineStr">
        <is>
          <t>https://www.bristol.ac.uk/international/countries/iran.html</t>
        </is>
      </c>
    </row>
    <row r="80">
      <c r="A80" s="133" t="inlineStr">
        <is>
          <t>انگلستان – High Fliers «The Graduate Market in 2026»: دانشگاه‌های هدف کارفرمایان (Manchester، Birmingham، Nottingham، Warwick، UCL)؛ استخدام فارغ‌التحصیل در پایین‌ترین سطح از ۲۰۱۲</t>
        </is>
      </c>
      <c r="B80" s="75" t="inlineStr">
        <is>
          <t>https://www.manchester.ac.uk/about/news/university-of-manchester-tops-uk-rankings-for-graduate-employer-interest/</t>
        </is>
      </c>
    </row>
    <row r="81">
      <c r="A81" s="133" t="inlineStr">
        <is>
          <t>انگلستان – LEO (DfE) درآمد ۵ سال بعد: Imperial Computing £79,600؛ Bristol Computing £70,300؛ میانهٔ کل بخش ≈ £31–34k (ثانویه: unilens/campusquant)</t>
        </is>
      </c>
      <c r="B81" s="78" t="inlineStr">
        <is>
          <t>https://unilens.co.uk/insights/highest-graduate-earnings-uk-universities-2026</t>
        </is>
      </c>
    </row>
    <row r="82">
      <c r="A82" s="133" t="inlineStr">
        <is>
          <t>انگلستان – Appendix ATAS: ارشد آموزشی CS/AI نیاز به ATAS ندارد (فقط پژوهشی/PhD در CS و ارشد آموزشی فیزیک/مواد/مکانیک/هوافضا/شیمی)</t>
        </is>
      </c>
      <c r="B82" s="75" t="inlineStr">
        <is>
          <t>https://www.gov.uk/guidance/immigration-rules/immigration-rules-appendix-atas-academic-technology-approval-scheme-atas</t>
        </is>
      </c>
    </row>
    <row r="83">
      <c r="A83" s="37" t="inlineStr">
        <is>
          <t>بورس – LiU International Scholarship: معمولاً ۵۰٪؛ شرط جدید ۲۰۲۶ (GPA ≥ 3.5/4 یا first/high second class)؛ فقط اولویت ۱</t>
        </is>
      </c>
      <c r="B83" s="78" t="inlineStr">
        <is>
          <t>https://liu.se/en/article/scholarships</t>
        </is>
      </c>
    </row>
    <row r="84">
      <c r="A84" s="37" t="inlineStr">
        <is>
          <t>بورس – Chalmers: بورس‌های شهریه‌پردازها (IPOET ۷۵٪ با حداقل معدل ۸۰٪، Avancez)</t>
        </is>
      </c>
      <c r="B84" s="75" t="inlineStr">
        <is>
          <t>https://www.chalmers.se/en/education/application-and-admission/scholarships-for-fee-paying-students/</t>
        </is>
      </c>
    </row>
    <row r="85">
      <c r="A85" s="37" t="inlineStr">
        <is>
          <t>بورس – Halmstad University Scholarship ۲۵٪/۵۰٪ برای غیر-EU (ثانویه؛ hh.se را چک کنید)</t>
        </is>
      </c>
      <c r="B85" s="78" t="inlineStr">
        <is>
          <t>https://www.mastersportal.com/scholarships/10077/halmstad-university-scholarships.html</t>
        </is>
      </c>
    </row>
    <row r="86">
      <c r="A86" s="37" t="inlineStr">
        <is>
          <t>بورس – MDU: بورس تا ۱۰۰٪ شهریه برای متقاضیان اولویت ۱ (ثانویه؛ mdu.se را چک کنید)</t>
        </is>
      </c>
      <c r="B86" s="75" t="inlineStr">
        <is>
          <t>https://daadscholarship.com/malardalen-university-scholarships-2026-to-study-for-free-in-sweden/</t>
        </is>
      </c>
    </row>
    <row r="87">
      <c r="A87" s="37" t="inlineStr">
        <is>
          <t>بورس – SI Scholarship for Global Professionals: ۳۴ کشور واجد شرایط — ایران نیست (رسمی)</t>
        </is>
      </c>
      <c r="B87" s="78" t="inlineStr">
        <is>
          <t>https://si.se/en/apply/scholarships/swedish-institute-scholarships-for-global-professionals/</t>
        </is>
      </c>
    </row>
    <row r="88">
      <c r="A88" s="37" t="inlineStr">
        <is>
          <t>بورس – NL Scholarship (سابقاً Holland Scholarship): €5,000 سال اول برای غیر-EEA، از طریق دانشگاه‌های عضو</t>
        </is>
      </c>
      <c r="B88" s="75" t="inlineStr">
        <is>
          <t>https://www.mastersportal.com/scholarships/988/holland-scholarship-for-non-eea-international-students.html</t>
        </is>
      </c>
    </row>
    <row r="89">
      <c r="A89" s="37" t="inlineStr">
        <is>
          <t>بورس – AAU: ≈ ۱۵ بورس دولتی در سال، معافیت شهریه + DKK 11,225/ماه (۲۰۲۶)، بررسی خودکار (رسمی)</t>
        </is>
      </c>
      <c r="B89" s="78" t="inlineStr">
        <is>
          <t>https://www.en.aau.dk/education/apply/master/finance-and-fees</t>
        </is>
      </c>
    </row>
    <row r="90">
      <c r="A90" s="37" t="inlineStr">
        <is>
          <t>بورس – ETH Excellence Scholarship &amp; Opportunity Programme: CHF 12,000/ترم + معافیت؛ ۱۰٪ بالای کلاس؛ ۱–۳۰ نوامبر</t>
        </is>
      </c>
      <c r="B90" s="75" t="inlineStr">
        <is>
          <t>https://ethz.ch/en/studies/financial/scholarships/excellencescholarship.html</t>
        </is>
      </c>
    </row>
    <row r="91">
      <c r="A91" s="37" t="inlineStr">
        <is>
          <t>بورس – USI: بورس‌های Fondazione per le Facoltà di Lugano (CHF 4,000؛ سال اول با معدل ≥ ۸۰/۱۰۰؛ سال دوم بهترینِ هر برنامه) — خبر رسمی USI</t>
        </is>
      </c>
      <c r="B91" s="78" t="inlineStr">
        <is>
          <t>https://www.eco.usi.ch/en/feeds/9861</t>
        </is>
      </c>
    </row>
    <row r="92">
      <c r="A92" s="37" t="inlineStr">
        <is>
          <t>بورس – Essex Academic Excellence International Masters Scholarship: جدول کشوری (ایران ۱۴/۲۰ → £4,500؛ جدول ۲۰۲۵–۲۶)</t>
        </is>
      </c>
      <c r="B92" s="75" t="inlineStr">
        <is>
          <t>https://www.essex.ac.uk/scholarships</t>
        </is>
      </c>
    </row>
    <row r="93">
      <c r="A93" s="37" t="inlineStr">
        <is>
          <t>بورس – Teesside Global Excellence Scholarship £2,000 (پیشنهاد تا ۳۰ آوریل؛ رسمی)</t>
        </is>
      </c>
      <c r="B93" s="78" t="inlineStr">
        <is>
          <t>https://www.tees.ac.uk/sections/international/global_excellence_scholarship.cfm</t>
        </is>
      </c>
    </row>
    <row r="94">
      <c r="A94" s="37" t="inlineStr">
        <is>
          <t>بورس – Brunel Vice-Chancellor's Postgraduate International Excellence Award £6,000 (حداقل 2:1؛ ودیعهٔ £5,000)</t>
        </is>
      </c>
      <c r="B94" s="75" t="inlineStr">
        <is>
          <t>https://www.brunel.ac.uk/scholarships</t>
        </is>
      </c>
    </row>
    <row r="95">
      <c r="A95" s="37" t="inlineStr">
        <is>
          <t>بورس – Northumbria PGT International Scholarship £3,000: فهرست کشوری/ادامه‌تحصیلی‌های داخل UK — ایران نیست</t>
        </is>
      </c>
      <c r="B95" s="78" t="inlineStr">
        <is>
          <t>https://www.mastersportal.com/scholarships/3890/pgt-international-scholarships.html</t>
        </is>
      </c>
    </row>
    <row r="96">
      <c r="A96" s="37" t="inlineStr">
        <is>
          <t>بورس – Chevening eligibility (رسمی): ۲ سال کار بعد از مدرک کارشناسی + تعهد بازگشت ۲ ساله؛ مهلت ۶ اکتبر ۲۰۲۶</t>
        </is>
      </c>
      <c r="B96" s="75" t="inlineStr">
        <is>
          <t>https://www.chevening.org/resource-hub/guidance/eligibility/</t>
        </is>
      </c>
    </row>
    <row r="97">
      <c r="A97" s="37" t="inlineStr">
        <is>
          <t>بورس – Deutschlandstipendium €300/ماه (رسمی)</t>
        </is>
      </c>
      <c r="B97" s="78" t="inlineStr">
        <is>
          <t>https://www.deutschlandstipendium.de/</t>
        </is>
      </c>
    </row>
    <row r="98">
      <c r="A98" s="104" t="inlineStr">
        <is>
          <t>سوئیس – ETH: تاریخ‌های اپلای ارشد پاییز ۲۰۲۷ (۱–۳۰ نوامبر ۲۰۲۶؛ پاسخ تا پایان مارس؛ شروع ۲۰ سپتامبر ۲۰۲۷)</t>
        </is>
      </c>
      <c r="B98" s="75" t="inlineStr">
        <is>
          <t>https://ethz.ch/en/studies/master/application/dates.html</t>
        </is>
      </c>
    </row>
    <row r="99">
      <c r="A99" s="104" t="inlineStr">
        <is>
          <t>سوئیس – EPFL: شهریه CHF 2,240/ترم برای خارجی‌های غیرمقیم از پاییز ۲۰۲۵ (CHF 780 برای بقیه)</t>
        </is>
      </c>
      <c r="B99" s="78" t="inlineStr">
        <is>
          <t>https://www.epfl.ch/education/studies/en/rules-and-procedures/study-taxes/tuition-fee-other-fees/</t>
        </is>
      </c>
    </row>
    <row r="100">
      <c r="A100" s="104" t="inlineStr">
        <is>
          <t>سوئیس – EPFL: پنجره‌های اپلای ارشد (۱۵ دسامبر / ۳۱ مارس؛ یک برنامه در سال)</t>
        </is>
      </c>
      <c r="B100" s="75" t="inlineStr">
        <is>
          <t>https://www.epfl.ch/education/admission/admission-2/master-admission-criteria-application/online-application/</t>
        </is>
      </c>
    </row>
    <row r="101">
      <c r="A101" s="104" t="inlineStr">
        <is>
          <t>سوئیس – UZH: شهریه CHF 720 + 100 (خارجی، ارشد) + 59؛ هزینهٔ درخواست CHF 150</t>
        </is>
      </c>
      <c r="B101" s="78" t="inlineStr">
        <is>
          <t>https://www.uzh.ch/en/studies/application/fees.html</t>
        </is>
      </c>
    </row>
    <row r="102">
      <c r="A102" s="104" t="inlineStr">
        <is>
          <t>سوئیس – UZH: مهلت ویزایی‌ها ۲۸ فوریه / بدون ویزا ۳۰ آوریل (پاییز)</t>
        </is>
      </c>
      <c r="B102" s="75" t="inlineStr">
        <is>
          <t>https://www.oec.uzh.ch/en/studies/general/admission/master/faq-master-admission.html</t>
        </is>
      </c>
    </row>
    <row r="103">
      <c r="A103" s="104" t="inlineStr">
        <is>
          <t>سوئیس – USI MSc Informatics: CHF 4,000/ترم غیرمقیم، B2 در ورود → C1، مهلت غیر-EU ۳۰ آوریل</t>
        </is>
      </c>
      <c r="B103" s="78" t="inlineStr">
        <is>
          <t>https://www.usi.ch/en/education/master/informatics</t>
        </is>
      </c>
    </row>
    <row r="104">
      <c r="A104" s="104" t="inlineStr">
        <is>
          <t>سوئیس – USI MSc Artificial Intelligence: CHF 4,000/ترم، IELTS 6.5</t>
        </is>
      </c>
      <c r="B104" s="75" t="inlineStr">
        <is>
          <t>https://www.topuniversities.com/universities/usi-universita-della-svizzera-italiana/postgrad/master-science-artificial-intelligence</t>
        </is>
      </c>
    </row>
    <row r="105">
      <c r="A105" s="104" t="inlineStr">
        <is>
          <t>سوئیس – swissuniversities: شهریهٔ دانشگاه‌های علوم کاربردی 2026–27 (ZHAW 1,220؛ HSLU 1,300؛ OST 1,500؛ FHNW 1,000–5,000)</t>
        </is>
      </c>
      <c r="B105" s="78" t="inlineStr">
        <is>
          <t>https://www.swissuniversities.ch/en/themen/lehre-studium/information-on-studies/tuition-fees/tuition-fees-at-uas</t>
        </is>
      </c>
    </row>
    <row r="106">
      <c r="A106" s="104" t="inlineStr">
        <is>
          <t>سوئیس – ZHAW MSE: انگلیسی، 90 ECTS، پروفایل‌های CS/Data Science/Cyber، معدل A/B، مهلت پایان آوریل</t>
        </is>
      </c>
      <c r="B106" s="75" t="inlineStr">
        <is>
          <t>https://www.zhaw.ch/en/engineering/study/masters-degree-programme</t>
        </is>
      </c>
    </row>
    <row r="107">
      <c r="A107" s="104" t="inlineStr">
        <is>
          <t>سوئیس – HSLU MSc Applied Information &amp; Data Science: C1 (B2 مشروط)، آلمانی لازم نیست، هر کارشناسی</t>
        </is>
      </c>
      <c r="B107" s="78" t="inlineStr">
        <is>
          <t>https://www.hslu.ch/en/lucerne-school-of-business/degree-programmes/master/applied-information-and-data-science/haeufig-gestellte-fragen/</t>
        </is>
      </c>
    </row>
    <row r="108">
      <c r="A108" s="104" t="inlineStr">
        <is>
          <t>سوئیس – Bern: Swiss Joint MSc Computer Science (90 ECTS، انگلیسی، شرط کارشناسی CS)</t>
        </is>
      </c>
      <c r="B108" s="75" t="inlineStr">
        <is>
          <t>https://www.philnat.unibe.ch/studies/study_programs/master_s_in_computer_science/index_eng.html</t>
        </is>
      </c>
    </row>
    <row r="109">
      <c r="A109" s="104" t="inlineStr">
        <is>
          <t>سوئیس – Bern شهریه از پاییز ۲۰۲۶: CHF 850 + 1,700 اضافهٔ غیرسوئیسی‌ها + 34 + 25 در ترم (رسمی)</t>
        </is>
      </c>
      <c r="B109" s="78" t="inlineStr">
        <is>
          <t>https://www.unibe.ch/studies/organizational_matters/renewal_of_semester_registration/fees/index_eng.html</t>
        </is>
      </c>
    </row>
    <row r="110">
      <c r="A110" s="104" t="inlineStr">
        <is>
          <t>سوئیس – Joint MSc CS (Bern/Neuchâtel/Fribourg) FAQ رسمی: بدون آزمون زبان (B2 توصیه)، شرط کارشناسی CS یا معادل با حداکثر ۶۰ ECTS تکمیلی، مهلت‌های دیرهنگام</t>
        </is>
      </c>
      <c r="B110" s="75" t="inlineStr">
        <is>
          <t>https://mcs.unibnf.ch/faq/</t>
        </is>
      </c>
    </row>
    <row r="111">
      <c r="A111" s="104" t="inlineStr">
        <is>
          <t>سوئیس – Neuchâtel شهریهٔ خارجی‌ها CHF 790/ترم (رسمی)</t>
        </is>
      </c>
      <c r="B111" s="78" t="inlineStr">
        <is>
          <t>https://www.unine.ch/admission/taxes-universitaires/</t>
        </is>
      </c>
    </row>
    <row r="112">
      <c r="A112" s="104" t="inlineStr">
        <is>
          <t>سوئیس – Neuchâtel مهلت ارشد ۳۰ آوریل؛ خارجی‌ها یک ماه زودتر؛ هزینهٔ پرونده CHF 100 (رسمی)</t>
        </is>
      </c>
      <c r="B112" s="75" t="inlineStr">
        <is>
          <t>https://www.unine.ch/admission/admission-master/delais-et-frais-dinscription-pour-les-masters/</t>
        </is>
      </c>
    </row>
    <row r="113">
      <c r="A113" s="104" t="inlineStr">
        <is>
          <t>سوئیس – Fribourg شهریهٔ خارجی‌ها CHF 870 + 115 = 985/ترم (رسمی)</t>
        </is>
      </c>
      <c r="B113" s="78" t="inlineStr">
        <is>
          <t>https://www.unifr.ch/studies/en/organisation/administrative-services-unifr-students/university-fees/</t>
        </is>
      </c>
    </row>
    <row r="114">
      <c r="A114" s="104" t="inlineStr">
        <is>
          <t>سوئیس – Fribourg مهلت ارشد با مدرک خارجی: ویزایی‌ها ۱–۲۸ فوریه، بقیه تا ۳۰ آوریل (رسمی)</t>
        </is>
      </c>
      <c r="B114" s="75" t="inlineStr">
        <is>
          <t>https://www.unifr.ch/studies/en/admission/admission-master/admission-master-foreign.html</t>
        </is>
      </c>
    </row>
    <row r="115">
      <c r="A115" s="104" t="inlineStr">
        <is>
          <t>سوئیس – Basel MSc CS: 90 ECTS، انگلیسی، مهلت ۳۰ آوریل / ۳۰ نوامبر (رسمی)</t>
        </is>
      </c>
      <c r="B115" s="78" t="inlineStr">
        <is>
          <t>https://dmi.unibas.ch/en/studies/computer-science/masters/</t>
        </is>
      </c>
    </row>
    <row r="116">
      <c r="A116" s="104" t="inlineStr">
        <is>
          <t>سوئیس – Basel شهریه CHF 850/ترم برای همه + CHF 100 هزینهٔ درخواست (Uni Info 2026/27)</t>
        </is>
      </c>
      <c r="B116" s="75" t="inlineStr">
        <is>
          <t>https://www.unibas.ch/dam/jcr:28672e66-8562-4988-9e38-b1c944ed22bf/COMPUTER%20SCIENCE%202026.2026-02-05-09-53-32.pdf</t>
        </is>
      </c>
    </row>
    <row r="117">
      <c r="A117" s="104" t="inlineStr">
        <is>
          <t>سوئیس – HSLU MSc Applied Data Science and AI (نام جدید): مهلت ویزایی‌ها ۱ آوریل، CHF 1,300/ترم خارجی، CHF 250 درخواست، 120 ECTS (رسمی)</t>
        </is>
      </c>
      <c r="B117" s="78" t="inlineStr">
        <is>
          <t>https://www.hslu.ch/en/lucerne-school-of-business/degree-programmes/master/applied-data-science-and-ai/</t>
        </is>
      </c>
    </row>
    <row r="118">
      <c r="A118" s="104" t="inlineStr">
        <is>
          <t>سوئیس – USI مهلت‌های 2026/27: غیر-EU ۳۰ آوریل؛ هزینهٔ پرونده CHF 100 برای مدارک خارج از کنوانسیون لیسبون (رسمی)</t>
        </is>
      </c>
      <c r="B118" s="75" t="inlineStr">
        <is>
          <t>https://www.usi.ch/en/education/master/informatics/application</t>
        </is>
      </c>
    </row>
    <row r="119">
      <c r="A119" s="104" t="inlineStr">
        <is>
          <t>سوئیس – SEM FAQ: ۶ ماه جست‌وجوی کار برای فارغ‌التحصیلان؛ اولویت داخلی/EU؛ سهمیه</t>
        </is>
      </c>
      <c r="B119" s="78" t="inlineStr">
        <is>
          <t>https://www.sem.admin.ch/sem/en/home/themen/arbeit/faq.html</t>
        </is>
      </c>
    </row>
    <row r="120">
      <c r="A120" s="104" t="inlineStr">
        <is>
          <t>سوئیس – سهمیهٔ ۲۰۲۶ اتباع غیر-EU: ۴,۵۰۰ B + ۴,۰۰۰ L؛ شرایط FNIA</t>
        </is>
      </c>
      <c r="B120" s="75" t="inlineStr">
        <is>
          <t>https://goldblum.ch/knowledgebase/residence-permit-in-switzerland-obtain/</t>
        </is>
      </c>
    </row>
    <row r="121">
      <c r="A121" s="104" t="inlineStr">
        <is>
          <t>سوئیس – Art. 21(3) FNIA: معافیت از آزمون بازار کار ولی نه از سهمیه؛ طرح 22.067 اجرا نشده</t>
        </is>
      </c>
      <c r="B121" s="78" t="inlineStr">
        <is>
          <t>https://vshcherbakov.com/2025/06/26/Path-to-working-permit-for-Swiss-graduates/</t>
        </is>
      </c>
    </row>
    <row r="122">
      <c r="A122" s="104" t="inlineStr">
        <is>
          <t>سوئیس – اقامت تحصیلی ۲۰۲۶: CHF 21,000/سال، ۱۵ ساعت کار بعد از ۶ ماه، پردازش ۸–۱۲ هفته</t>
        </is>
      </c>
      <c r="B122" s="75" t="inlineStr">
        <is>
          <t>https://www.study-abroad.org/blog/ch-student-visa-guide/</t>
        </is>
      </c>
    </row>
    <row r="123">
      <c r="A123" s="104" t="inlineStr">
        <is>
          <t>سوئیس – کانتون زوریخ: تمکن فقط در بانک مستقر در سوئیس به نام خودتان یا ضامن مقیم (راهنمای ZHAW)</t>
        </is>
      </c>
      <c r="B123" s="78" t="inlineStr">
        <is>
          <t>https://www.zhaw.ch/storage/sml/master/msc-bf-pie-information-for-international-students.pdf</t>
        </is>
      </c>
    </row>
    <row r="124">
      <c r="A124" s="104" t="inlineStr">
        <is>
          <t>سوئیس – تفاوت کانتون‌ها: Basel CHF 24,000؛ زوریخ حساب سوئیسی</t>
        </is>
      </c>
      <c r="B124" s="75" t="inlineStr">
        <is>
          <t>https://gradpilot.com/news/switzerland-student-visa-motivation-letter-canton-guide</t>
        </is>
      </c>
    </row>
    <row r="125">
      <c r="A125" s="104" t="inlineStr">
        <is>
          <t>سوئیس – اجازهٔ C: ۱۰ سال برای اتباع کشور ثالث، A2 شفاهی/A1 کتبی؛ ۵ سال با B1</t>
        </is>
      </c>
      <c r="B125" s="78" t="inlineStr">
        <is>
          <t>https://relofinder.ch/blog/swiss-c-permit-permanent-residence-2026-guide/</t>
        </is>
      </c>
    </row>
    <row r="126">
      <c r="A126" s="104" t="inlineStr">
        <is>
          <t>سوئیس – اجازهٔ C: احتساب سال‌های تحصیل و شرایط ادغام</t>
        </is>
      </c>
      <c r="B126" s="75" t="inlineStr">
        <is>
          <t>https://www.richmondchambers.ch/post/swiss-c-permit-eligibility-required-years-of-residence-integration-expectations-and-fast-track-pa</t>
        </is>
      </c>
    </row>
    <row r="127">
      <c r="A127" s="104" t="inlineStr">
        <is>
          <t>سوئیس – سفارت تهران: ویزای D با وقت قبلی، ویزای C فعلاً نه (۳۰ ژانویه ۲۰۲۶)</t>
        </is>
      </c>
      <c r="B127" s="78" t="inlineStr">
        <is>
          <t>https://www.eda.admin.ch/countries/iran/en/home.html</t>
        </is>
      </c>
    </row>
    <row r="128">
      <c r="A128" s="104" t="inlineStr">
        <is>
          <t>سوئیس – حقوق مهندس نرم‌افزار ۲۰۲۶ (جونیور CHF 85–105k؛ خالص زوریخ)</t>
        </is>
      </c>
      <c r="B128" s="75" t="inlineStr">
        <is>
          <t>https://whatisthesalary.com/it-salaries/software-engineer-salary-in-switzerland/</t>
        </is>
      </c>
    </row>
    <row r="129">
      <c r="A129" s="104" t="inlineStr">
        <is>
          <t>سوئیس – Glassdoor: میانهٔ Junior Software Engineer زوریخ CHF 92k</t>
        </is>
      </c>
      <c r="B129" s="78" t="inlineStr">
        <is>
          <t>https://www.glassdoor.com/Salaries/z%C3%BCrich-junior-software-engineer-salary-SRCH_IL.0,6_IC3297851_KO7,31.htm</t>
        </is>
      </c>
    </row>
    <row r="130">
      <c r="A130" s="104" t="inlineStr">
        <is>
          <t>سوئیس – بازهٔ حقوق زوریخ ۲۰۲۶ بر اساس نوع کارفرما</t>
        </is>
      </c>
      <c r="B130" s="75" t="inlineStr">
        <is>
          <t>https://upreer.ch/en/salaries/software-engineer-salary-zurich/</t>
        </is>
      </c>
    </row>
    <row r="131">
      <c r="A131" s="104" t="inlineStr">
        <is>
          <t>سوئیس – هزینهٔ زندگی زوریخ CHF 2,000–2,200/ماه (UZH)</t>
        </is>
      </c>
      <c r="B131" s="78" t="inlineStr">
        <is>
          <t>https://www.msfinance.uzh.ch/en/studyinginzurich/accommodation.html</t>
        </is>
      </c>
    </row>
    <row r="132">
      <c r="A132" s="104" t="inlineStr">
        <is>
          <t>سوئیس – QS 2027: ETH 8، EPFL 22، UZH 98، Basel 150، Bern 191، USI 456، Fribourg 670، ZHAW 851–900</t>
        </is>
      </c>
      <c r="B132" s="75" t="inlineStr">
        <is>
          <t>https://www.iamexpat.ch/education/education-news/eth-zurich-makes-top-universities-world</t>
        </is>
      </c>
    </row>
    <row r="133">
      <c r="A133" s="104" t="inlineStr">
        <is>
          <t>سوئیس – رد ابتکار «سوئیس ۱۰ میلیونی» SVP در ۱۴ ژوئن ۲۰۲۶ (۵۴.۸٪ نه)</t>
        </is>
      </c>
      <c r="B133" s="78" t="inlineStr">
        <is>
          <t>https://www.tagesanzeiger.ch/10-millionen-schweiz-resultate-der-svp-initiative-im-ticker-935664202454</t>
        </is>
      </c>
    </row>
    <row r="134">
      <c r="A134" s="104" t="inlineStr">
        <is>
          <t>سوئیس – EP27: کاهش ۷۸ میلیون فرانک بودجهٔ ETH؛ سناریوی چهاربرابر شدن شهریهٔ خارجی‌ها</t>
        </is>
      </c>
      <c r="B134" s="75" t="inlineStr">
        <is>
          <t>https://www.efd.admin.ch/de/entlastungspaket-27</t>
        </is>
      </c>
    </row>
    <row r="135">
      <c r="A135" s="104" t="inlineStr">
        <is>
          <t>سوئیس – بازار IT ۲۰۲۶: استخدام گزینشی‌تر، بیکاری ≈ ۳.۲٪، کمبود ساختاری ICT</t>
        </is>
      </c>
      <c r="B135" s="78" t="inlineStr">
        <is>
          <t>https://capiwell.ch/swiss-it-labour-market-2026-specialised-skills-slower-growth-and-new-openings-for-start-ups/</t>
        </is>
      </c>
    </row>
    <row r="136">
      <c r="A136" s="37" t="inlineStr">
        <is>
          <t>نرخ CHF/USD ۲۷ سپتامبر ۲۰۲۶ (1.207)</t>
        </is>
      </c>
      <c r="B136" s="75" t="inlineStr">
        <is>
          <t>https://www.xe.com/en-us/currencyconverter/convert/?Amount=1&amp;From=CHF&amp;To=USD</t>
        </is>
      </c>
    </row>
    <row r="137">
      <c r="A137" s="37" t="inlineStr">
        <is>
          <t>بریتانیا – Graduate visa ۱۸ ماه (از ژانویه ۲۰۲۷)</t>
        </is>
      </c>
      <c r="B137" s="78" t="inlineStr">
        <is>
          <t>https://students.leeds.ac.uk/visa-information-after-studies/doc/graduate-visas</t>
        </is>
      </c>
    </row>
    <row r="138">
      <c r="A138" s="37" t="inlineStr">
        <is>
          <t>بریتانیا – HC 584 (۳ سپتامبر ۲۰۲۶): تمکن £1,570 / £1,203 از ۳۰ نوامبر ۲۰۲۶</t>
        </is>
      </c>
      <c r="B138" s="75" t="inlineStr">
        <is>
          <t>https://www.gov.uk/government/publications/statement-of-changes-to-the-immigration-rules-hc-584-3-september-2026</t>
        </is>
      </c>
    </row>
    <row r="139">
      <c r="A139" s="37" t="inlineStr">
        <is>
          <t>بریتانیا – Skilled Worker نرخ شغل SOC 2134 £54,700</t>
        </is>
      </c>
      <c r="B139" s="78" t="inlineStr">
        <is>
          <t>https://withrowan.co.uk/guides/skilled-worker-software-engineers</t>
        </is>
      </c>
    </row>
    <row r="140">
      <c r="A140" s="37" t="inlineStr">
        <is>
          <t>بریتانیا – Earned Settlement (وضعیت سپتامبر ۲۰۲۶)</t>
        </is>
      </c>
      <c r="B140" s="75" t="inlineStr">
        <is>
          <t>https://www.ukimmigration.law/earned-settlement-ilr-uk-plans/</t>
        </is>
      </c>
    </row>
    <row r="141">
      <c r="A141" s="133" t="inlineStr">
        <is>
          <t>انگلستان – Teesside MSc Computer Science 2026-27: £17,000، 2:2، IELTS 6.0</t>
        </is>
      </c>
      <c r="B141" s="78" t="inlineStr">
        <is>
          <t>https://www.tees.ac.uk/postgraduate_courses/computing_&amp;_cyber_security/msc_computer_science.cfm</t>
        </is>
      </c>
    </row>
    <row r="142">
      <c r="A142" s="133" t="inlineStr">
        <is>
          <t>انگلستان – Northumbria MSc Advanced Computer Science 2026/27: £21,500، 2:2</t>
        </is>
      </c>
      <c r="B142" s="75" t="inlineStr">
        <is>
          <t>https://www.northumbria.ac.uk/study-at-northumbria/courses/msc-advanced-computer-science-dtfava6/</t>
        </is>
      </c>
    </row>
    <row r="143">
      <c r="A143" s="133" t="inlineStr">
        <is>
          <t>انگلستان – Leicester MSc Advanced Computer Science سپتامبر ۲۰۲۶: £24,250، 2:1</t>
        </is>
      </c>
      <c r="B143" s="78" t="inlineStr">
        <is>
          <t>https://le.ac.uk/courses/advanced-computer-science-msc/2026</t>
        </is>
      </c>
    </row>
    <row r="144">
      <c r="A144" s="133" t="inlineStr">
        <is>
          <t>انگلستان – Essex MSc Advanced Computer Science 2026: £24,675، 2:2 (شامل Computer Engineering)</t>
        </is>
      </c>
      <c r="B144" s="75" t="inlineStr">
        <is>
          <t>https://www.essex.ac.uk/courses/pg00435/1/msc-advanced-computer-science</t>
        </is>
      </c>
    </row>
    <row r="145">
      <c r="A145" s="133" t="inlineStr">
        <is>
          <t>انگلستان – York MSc Advanced Computer Science 2026/27: £32,900، 2:2، IELTS 6.5</t>
        </is>
      </c>
      <c r="B145" s="78" t="inlineStr">
        <is>
          <t>https://www.york.ac.uk/study/postgraduate-taught/courses/msc-advanced-computer-science/</t>
        </is>
      </c>
    </row>
    <row r="146">
      <c r="A146" s="133" t="inlineStr">
        <is>
          <t>انگلستان – Chester MSc Advanced Computer Science 2026/27: £15,500 (کف قیمت انگلستان)</t>
        </is>
      </c>
      <c r="B146" s="75" t="inlineStr">
        <is>
          <t>https://www.chester.ac.uk/study/course-search/advanced-computer-science-msc/</t>
        </is>
      </c>
    </row>
    <row r="147">
      <c r="A147" s="37" t="inlineStr">
        <is>
          <t>بریتانیا – Brunel MSc AI 2026/27 £24,795</t>
        </is>
      </c>
      <c r="B147" s="78" t="inlineStr">
        <is>
          <t>https://www.brunel.ac.uk/study/courses/artificial-intelligence-msc</t>
        </is>
      </c>
    </row>
    <row r="148">
      <c r="A148" s="37" t="inlineStr">
        <is>
          <t>بریتانیا – عوارض £925 به ازای هر دانشجوی بین‌المللی (انگلستان، از 2028-29)</t>
        </is>
      </c>
      <c r="B148" s="75" t="inlineStr">
        <is>
          <t>https://www.researchprofessionalnews.com/rr-news-uk-politics-2025-11-international-levy-to-be-flat-fee-of-925-per-student/</t>
        </is>
      </c>
    </row>
    <row r="149">
      <c r="A149" s="37" t="inlineStr">
        <is>
          <t>بریتانیا – وضعیت VAC تهران</t>
        </is>
      </c>
      <c r="B149" s="78" t="inlineStr">
        <is>
          <t>https://livingintehran.com/2026/02/03/tehran-diplomatic-update-recent-embassy-reopenings-current-status-feb-2026/</t>
        </is>
      </c>
    </row>
    <row r="150">
      <c r="A150" s="37" t="inlineStr">
        <is>
          <t>QS WUR 2027 – TU Dresden</t>
        </is>
      </c>
      <c r="B150" s="75" t="inlineStr">
        <is>
          <t>https://tu-dresden.de/tu-dresden/newsportal/news/qs-ranking-2027-tud-gehoert-erneut-zu-den-zehn-besten-universitaeten-deutschlands-und-baut-internationalen-erfolg-weiter-aus</t>
        </is>
      </c>
    </row>
    <row r="151">
      <c r="A151" s="37" t="inlineStr">
        <is>
          <t>QS WUR 2027 – Stuttgart</t>
        </is>
      </c>
      <c r="B151" s="78" t="inlineStr">
        <is>
          <t>https://www.uni-stuttgart.de/en/university/news/all/QS-World-University-Rankings-2027-The-University-of-Stuttgart-is-recognized-for-its-strong-research-performance-and-commitment-to-sustainability/</t>
        </is>
      </c>
    </row>
    <row r="152">
      <c r="A152" s="37" t="inlineStr">
        <is>
          <t>QS WUR 2027 – Newcastle 149</t>
        </is>
      </c>
      <c r="B152" s="75" t="inlineStr">
        <is>
          <t>https://www.ncl.ac.uk/press/articles/latest/2026/06/qs2027/</t>
        </is>
      </c>
    </row>
    <row r="153">
      <c r="A153" s="37" t="inlineStr">
        <is>
          <t>QS WUR 2027 – York =158</t>
        </is>
      </c>
      <c r="B153" s="78" t="inlineStr">
        <is>
          <t>https://www.york.ac.uk/about/rankings/</t>
        </is>
      </c>
    </row>
    <row r="154">
      <c r="A154" s="37" t="inlineStr">
        <is>
          <t>QS WUR 2027 – Leicester =314</t>
        </is>
      </c>
      <c r="B154" s="75" t="inlineStr">
        <is>
          <t>https://www.topuniversities.com/universities/university-leicester</t>
        </is>
      </c>
    </row>
    <row r="155">
      <c r="A155" s="37" t="inlineStr">
        <is>
          <t>QS WUR 2027 – Essex =438</t>
        </is>
      </c>
      <c r="B155" s="78" t="inlineStr">
        <is>
          <t>https://www.topuniversities.com/universities/essex-university</t>
        </is>
      </c>
    </row>
    <row r="156">
      <c r="A156" s="37" t="inlineStr">
        <is>
          <t>QS WUR 2027 – Northumbria =528</t>
        </is>
      </c>
      <c r="B156" s="75" t="inlineStr">
        <is>
          <t>https://www.topuniversities.com/universities/northumbria-university-newcastle</t>
        </is>
      </c>
    </row>
    <row r="157">
      <c r="A157" s="37" t="inlineStr">
        <is>
          <t>QS WUR 2027 – Brunel</t>
        </is>
      </c>
      <c r="B157" s="78" t="inlineStr">
        <is>
          <t>https://students.brunel.ac.uk/campus-news/brunel-climbs-global-qs-rankings-after-strong-year-for-research-and-graduate-outcomes</t>
        </is>
      </c>
    </row>
    <row r="158">
      <c r="A158" s="37" t="inlineStr">
        <is>
          <t>QS WUR 2027 – سایر</t>
        </is>
      </c>
      <c r="B158" s="75" t="inlineStr">
        <is>
          <t>https://www.topuniversities.com/world-university-rankings</t>
        </is>
      </c>
    </row>
    <row r="159">
      <c r="A159" s="107" t="inlineStr">
        <is>
          <t>حداقل دستمزد ۲۰۲۶ هلند (€14.71)</t>
        </is>
      </c>
      <c r="B159" s="78" t="inlineStr">
        <is>
          <t>https://arlettipartners.com/new-increase-in-the-dutch-minimum-hourly-wage-from-january-1st-2026/</t>
        </is>
      </c>
    </row>
    <row r="160">
      <c r="A160" s="37" t="inlineStr">
        <is>
          <t>نرخ ارز (xe.com، ۲۷ سپتامبر ۲۰۲۶)</t>
        </is>
      </c>
      <c r="B160" s="75" t="inlineStr">
        <is>
          <t>https://www.xe.com/</t>
        </is>
      </c>
    </row>
    <row r="161">
      <c r="A161" s="37" t="inlineStr">
        <is>
          <t>بازار کار – LinkedIn/WEF ژانویه ۲۰۲۶: ۱.۳ میلیون شغل جدید AI؛ AI Engineer سریع‌ترین‌رشد</t>
        </is>
      </c>
      <c r="B161" s="78" t="inlineStr">
        <is>
          <t>https://www.weforum.org/stories/jobs-and-the-future-of-work/ai-has-already-added-1-3-million-new-jobs-according-to-linkedin-data/</t>
        </is>
      </c>
    </row>
    <row r="162">
      <c r="A162" s="37" t="inlineStr">
        <is>
          <t>بازار کار – Bitkom 2025: ۱۰۹ هزار جای خالی IT در آلمان، ۷.۷ ماه زمان پرکردن</t>
        </is>
      </c>
      <c r="B162" s="75" t="inlineStr">
        <is>
          <t>https://www.bitkom.org/Bitkom/Publikationen/Der-Arbeitsmarkt-fuer-IT-Fachkraefte</t>
        </is>
      </c>
    </row>
    <row r="163">
      <c r="A163" s="37" t="inlineStr">
        <is>
          <t>بازار کار – ISC2 Cybersecurity Workforce Study 2024/2025 (حذف عدد کمبود؛ کمبود بودجه دلیل اول؛ ۳۱٪ تیم‌ها بدون جونیور)</t>
        </is>
      </c>
      <c r="B163" s="78" t="inlineStr">
        <is>
          <t>https://www.isc2.org/research</t>
        </is>
      </c>
    </row>
    <row r="164">
      <c r="A164" s="37" t="inlineStr">
        <is>
          <t>بازار کار – اخراج‌های صنعت بازی ۲۰۲۲–۲۰۲۶ (≈۴۵ هزار؛ افت حقوق Unity)</t>
        </is>
      </c>
      <c r="B164" s="75" t="inlineStr">
        <is>
          <t>https://en.wikipedia.org/wiki/2022%E2%80%932026_video_game_industry_layoffs</t>
        </is>
      </c>
    </row>
    <row r="165">
      <c r="A165" s="37" t="inlineStr">
        <is>
          <t>بازار کار – آگهی‌های UX/UXR (Indeed تا Q4 2025)</t>
        </is>
      </c>
      <c r="B165" s="78" t="inlineStr">
        <is>
          <t>https://www.thevoiceofuser.com/everyone-knows-the-uxr-hiring-market-is-bad-how-bad-is-it-though/</t>
        </is>
      </c>
    </row>
    <row r="166">
      <c r="A166" s="37" t="inlineStr">
        <is>
          <t>بازار کار – اشباع جونیور علم داده ۲۰۲۶</t>
        </is>
      </c>
      <c r="B166" s="75" t="inlineStr">
        <is>
          <t>https://research.com/advice/are-too-many-students-choosing-data-science-oversaturation-competition-hiring-reality</t>
        </is>
      </c>
    </row>
    <row r="167">
      <c r="A167" s="105" t="inlineStr">
        <is>
          <t>آلمان – Saarland MSc Cybersecurity (C1، بدون شهریه)</t>
        </is>
      </c>
      <c r="B167" s="78" t="inlineStr">
        <is>
          <t>https://www.uni-saarland.de/en/study/programmes/master/cybersecurity.html</t>
        </is>
      </c>
    </row>
    <row r="168">
      <c r="A168" s="105" t="inlineStr">
        <is>
          <t>آلمان – Passau MSc AI Engineering (B2، معدل ≤ 2.7، A1 آلمانی سال اول)</t>
        </is>
      </c>
      <c r="B168" s="75" t="inlineStr">
        <is>
          <t>https://www.uni-passau.de/en/msc-ai-eng</t>
        </is>
      </c>
    </row>
    <row r="169">
      <c r="A169" s="105" t="inlineStr">
        <is>
          <t>آلمان – Cologne Game Lab MA Game Development &amp; Research (€2,500/ترم غیر-EU)</t>
        </is>
      </c>
      <c r="B169" s="78" t="inlineStr">
        <is>
          <t>https://colognegamelab.de/study-programs/post-graduate-programs/game-development-research-ma/faqs/</t>
        </is>
      </c>
    </row>
    <row r="170">
      <c r="A170" s="105" t="inlineStr">
        <is>
          <t>آلمان – Siegen MSc HCI (DAAD)</t>
        </is>
      </c>
      <c r="B170" s="75" t="inlineStr">
        <is>
          <t>https://www2.daad.de/deutschland/studienangebote/international-programmes/en/detail/4686/</t>
        </is>
      </c>
    </row>
    <row r="171">
      <c r="A171" s="105" t="inlineStr">
        <is>
          <t>آلمان – H-BRS MSc Autonomous Systems (B2+)</t>
        </is>
      </c>
      <c r="B171" s="78" t="inlineStr">
        <is>
          <t>https://www.h-brs.de/en/inf/admission-application-master-autonomous-systems</t>
        </is>
      </c>
    </row>
    <row r="172">
      <c r="A172" s="105" t="inlineStr">
        <is>
          <t>آلمان – RWTH MSc Software Systems Engineering</t>
        </is>
      </c>
      <c r="B172" s="75" t="inlineStr">
        <is>
          <t>https://sc.informatik.rwth-aachen.de/en/studium/master/sse/</t>
        </is>
      </c>
    </row>
    <row r="173">
      <c r="A173" s="105" t="inlineStr">
        <is>
          <t>آلمان – Tübingen MSc Machine Learning (IELTS 7، €1,500/ترم)</t>
        </is>
      </c>
      <c r="B173" s="78" t="inlineStr">
        <is>
          <t>https://uni-tuebingen.de/fakultaeten/mathematisch-naturwissenschaftliche-fakultaet/fachbereiche/informatik/studium/studierende/lehre-studienorganisation/studiengaenge/machine-learning/admission-and-application/</t>
        </is>
      </c>
    </row>
    <row r="174">
      <c r="A174" s="105" t="inlineStr">
        <is>
          <t>آلمان – TUM Informatics: €6,000 در ترم برای غیر-EU</t>
        </is>
      </c>
      <c r="B174" s="75" t="inlineStr">
        <is>
          <t>https://www.tum.de/en/studies/degree-programs/detail/informatics-master-of-science-msc</t>
        </is>
      </c>
    </row>
    <row r="175">
      <c r="A175" s="105" t="inlineStr">
        <is>
          <t>آلمان – FAU Autonomy Technologies (B2، IELTS 6.0)</t>
        </is>
      </c>
      <c r="B175" s="78" t="inlineStr">
        <is>
          <t>https://www.fau.eu/degree-program/autonomy-technologies-m-sc/</t>
        </is>
      </c>
    </row>
    <row r="176">
      <c r="A176" s="107" t="inlineStr">
        <is>
          <t>هلند – Twente Embedded Systems 2026/27: €21,700</t>
        </is>
      </c>
      <c r="B176" s="75" t="inlineStr">
        <is>
          <t>https://www.utwente.nl/en/education/master/programmes/embedded-systems/finance/</t>
        </is>
      </c>
    </row>
    <row r="177">
      <c r="A177" s="107" t="inlineStr">
        <is>
          <t>هلند – Leiden CS 2026/27: €22,500</t>
        </is>
      </c>
      <c r="B177" s="78" t="inlineStr">
        <is>
          <t>https://www.universiteitleiden.nl/en/education/study-programmes/master/computer-science/artificial-intelligence/admission-and-application/tuition-fees</t>
        </is>
      </c>
    </row>
    <row r="178">
      <c r="A178" s="107" t="inlineStr">
        <is>
          <t>هلند – Groningen AI 2026/27: €24,900</t>
        </is>
      </c>
      <c r="B178" s="75" t="inlineStr">
        <is>
          <t>https://www.rug.nl/masters/artificial-intelligence/?lang=en</t>
        </is>
      </c>
    </row>
    <row r="179">
      <c r="A179" s="107" t="inlineStr">
        <is>
          <t>هلند – Utrecht Game &amp; Media Technology 2026/27: €25,306</t>
        </is>
      </c>
      <c r="B179" s="78" t="inlineStr">
        <is>
          <t>https://www.uu.nl/en/masters/game-and-media-technology</t>
        </is>
      </c>
    </row>
    <row r="180">
      <c r="A180" s="107" t="inlineStr">
        <is>
          <t>هلند – QS 2027 فهرست دانشگاه‌های هلند</t>
        </is>
      </c>
      <c r="B180" s="75" t="inlineStr">
        <is>
          <t>https://dub.uu.nl/en/news/dutch-universities-fall-global-qs-rankings</t>
        </is>
      </c>
    </row>
    <row r="181">
      <c r="A181" s="102" t="inlineStr">
        <is>
          <t>سوئد – Gothenburg Game Design &amp; Technology: SEK 290,000 کل</t>
        </is>
      </c>
      <c r="B181" s="78" t="inlineStr">
        <is>
          <t>https://www.gu.se/en/study-gothenburg/game-design-technology-masters-programme-n2gdt</t>
        </is>
      </c>
    </row>
    <row r="182">
      <c r="A182" s="102" t="inlineStr">
        <is>
          <t>سوئد – KTH Machine Learning: ≈ SEK 180,000–190,000 (کل دوره 360k طبق راهنمای ۲۰۲۶؛ kth.se رقم را فقط در سامانه نشان می‌دهد)</t>
        </is>
      </c>
      <c r="B182" s="75" t="inlineStr">
        <is>
          <t>https://www.kth.se/en/studies/master/machine-learning</t>
        </is>
      </c>
    </row>
    <row r="183">
      <c r="A183" s="102" t="inlineStr">
        <is>
          <t>سوئد – Umeå AI: SEK 152,300</t>
        </is>
      </c>
      <c r="B183" s="78" t="inlineStr">
        <is>
          <t>https://www.umu.se/en/education/master/masters-programme-in-artificial-intelligence/</t>
        </is>
      </c>
    </row>
    <row r="184">
      <c r="A184" s="102" t="inlineStr">
        <is>
          <t>سوئد – QS 2027 فهرست دانشگاه‌های سوئد</t>
        </is>
      </c>
      <c r="B184" s="75" t="inlineStr">
        <is>
          <t>https://www.study.eu/best-universities/sweden</t>
        </is>
      </c>
    </row>
    <row r="185">
      <c r="A185" s="106" t="inlineStr">
        <is>
          <t>دانمارک – ITU شهریهٔ رسمی ورودی ۲۰۲۶: €8,250 در ترم = €16,500 در سال (رقم قدیمی €6,700 منسوخ)</t>
        </is>
      </c>
      <c r="B185" s="78" t="inlineStr">
        <is>
          <t>https://en.itu.dk/Programmes/MSc-Programmes/Applying-to-a-MSc-programme/Non-EU-EOES</t>
        </is>
      </c>
    </row>
    <row r="186">
      <c r="A186" s="106" t="inlineStr">
        <is>
          <t>دانمارک – AAU Cyber Security / Medialogy €7,455 در ترم</t>
        </is>
      </c>
      <c r="B186" s="75" t="inlineStr">
        <is>
          <t>https://studyindenmark.dk/portal/aalborg-university-aau/copenhagen/cyber-security-msc-in-engineering</t>
        </is>
      </c>
    </row>
    <row r="187">
      <c r="A187" s="106" t="inlineStr">
        <is>
          <t>دانمارک – DTU €15,000 (Human-Centered AI / Autonomous Systems)</t>
        </is>
      </c>
      <c r="B187" s="78" t="inlineStr">
        <is>
          <t>https://www.dtu.dk/english/education/graduate/msc-programmes/autonomous-systems/prerequisites</t>
        </is>
      </c>
    </row>
    <row r="188">
      <c r="A188" s="106" t="inlineStr">
        <is>
          <t>دانمارک – Aarhus CS €17,300</t>
        </is>
      </c>
      <c r="B188" s="75" t="inlineStr">
        <is>
          <t>https://masters.au.dk/computerscience</t>
        </is>
      </c>
    </row>
    <row r="189">
      <c r="A189" s="106" t="inlineStr">
        <is>
          <t>دانمارک – QS 2027 فهرست دانشگاه‌های دانمارک</t>
        </is>
      </c>
      <c r="B189" s="78" t="inlineStr">
        <is>
          <t>https://leapscholar.com/blog/top-universities-in-denmark/</t>
        </is>
      </c>
    </row>
    <row r="190">
      <c r="A190" s="133" t="inlineStr">
        <is>
          <t>انگلستان – Goldsmiths MSc Computer Games Programming £22,000</t>
        </is>
      </c>
      <c r="B190" s="75" t="inlineStr">
        <is>
          <t>https://www.gold.ac.uk/pg/msc-computer-games-programming/</t>
        </is>
      </c>
    </row>
    <row r="191">
      <c r="A191" s="133" t="inlineStr">
        <is>
          <t>انگلستان – Royal Holloway MSc Information &amp; Cyber Security £25,500</t>
        </is>
      </c>
      <c r="B191" s="78" t="inlineStr">
        <is>
          <t>https://www.royalholloway.ac.uk/studying-here/postgraduate/information-security/information-and-cyber-security/</t>
        </is>
      </c>
    </row>
    <row r="192">
      <c r="A192" s="133" t="inlineStr">
        <is>
          <t>انگلستان – Kent MSc Cyber Security (NCSC)</t>
        </is>
      </c>
      <c r="B192" s="75" t="inlineStr">
        <is>
          <t>https://www.kent.ac.uk/courses/postgraduate/1225/cyber-security</t>
        </is>
      </c>
    </row>
    <row r="193">
      <c r="A193" s="133" t="inlineStr">
        <is>
          <t>انگلستان – MMU MSc Cyber Security £21,000</t>
        </is>
      </c>
      <c r="B193" s="78" t="inlineStr">
        <is>
          <t>https://www.mmu.ac.uk/study/postgraduate/course/msc-cyber-security</t>
        </is>
      </c>
    </row>
    <row r="194">
      <c r="A194" s="133" t="inlineStr">
        <is>
          <t>انگلستان – York MSc Human-Centred Interactive Technologies £32,900</t>
        </is>
      </c>
      <c r="B194" s="75" t="inlineStr">
        <is>
          <t>https://www.york.ac.uk/study/postgraduate-taught/courses/msc-human-centred-interactive-technologies/</t>
        </is>
      </c>
    </row>
    <row r="195">
      <c r="A195" s="133" t="inlineStr">
        <is>
          <t>انگلستان – Lancaster MSc Cyber Security £30,000</t>
        </is>
      </c>
      <c r="B195" s="78" t="inlineStr">
        <is>
          <t>https://www.lancaster.ac.uk/study/postgraduate/postgraduate-courses/cyber-security-msc/2026/</t>
        </is>
      </c>
    </row>
    <row r="196">
      <c r="A196" s="133" t="inlineStr">
        <is>
          <t>انگلستان – NTU QS 2027 =639</t>
        </is>
      </c>
      <c r="B196" s="75" t="inlineStr">
        <is>
          <t>https://collegedunia.com/uk/university/862-nottingham-trent-university-nottingham/ranking</t>
        </is>
      </c>
    </row>
    <row r="197">
      <c r="A197" s="105" t="inlineStr">
        <is>
          <t>آلمان – FAU: شهریهٔ غیر-EU از ترم تابستان ۲۰۲۷ (AI/CS €4,000، Autonomy Tech €2,000 در ترم؛ BayHIG §13)</t>
        </is>
      </c>
      <c r="B197" s="78" t="inlineStr">
        <is>
          <t>https://www.fau.eu/studying/international-students/application-and-enrollment-for-international-applicants/tuition-fees-for-students-from-non-eu-states/</t>
        </is>
      </c>
    </row>
    <row r="198">
      <c r="A198" s="105" t="inlineStr">
        <is>
          <t>آلمان – Passau: «فعلاً» بدون شهریه برای غیر-EU (اعلام رسمی)</t>
        </is>
      </c>
      <c r="B198" s="75" t="inlineStr">
        <is>
          <t>https://www.uni-passau.de/en/study/news/news/no-tuition-fees-for-international-students-at-the-university-of-passau</t>
        </is>
      </c>
    </row>
    <row r="199">
      <c r="A199" s="106" t="inlineStr">
        <is>
          <t>دانمارک – Aarhus نرخ رسمی 2026/27: Computer Science / Data Science / Computer Engineering €17,300</t>
        </is>
      </c>
      <c r="B199" s="78" t="inlineStr">
        <is>
          <t>https://masters.au.dk/tuitionfees/current-tuition-fee-rates</t>
        </is>
      </c>
    </row>
    <row r="200">
      <c r="A200" s="106" t="inlineStr">
        <is>
          <t>دانمارک – AAU Computer Science (IT): شرط رسمی ≥ ۱۵۰ ECTS دروس CS؛ معیار رتبه‌بندی ۲۰۲۷ شامل سابقهٔ کار</t>
        </is>
      </c>
      <c r="B200" s="75" t="inlineStr">
        <is>
          <t>https://www.en.aau.dk/education/master/computer-science-it</t>
        </is>
      </c>
    </row>
    <row r="201">
      <c r="A201" s="102" t="inlineStr">
        <is>
          <t>سوئد – Chalmers شهریهٔ استاندارد 2026/27 ≈ SEK 175,000 (collegedunia به نقل از صفحهٔ شهریهٔ Chalmers)</t>
        </is>
      </c>
      <c r="B201" s="78" t="inlineStr">
        <is>
          <t>https://collegedunia.com/sweden/university/769-chalmers-university-of-technology-gothenburg/programs?stream_id=48&amp;degree_type=Master</t>
        </is>
      </c>
    </row>
    <row r="202">
      <c r="A202" s="133" t="inlineStr">
        <is>
          <t>انگلستان – Surrey MSc Cyber Security ورودی ۲۰۲۷: £25,900 (فوریه) / £26,900 (سپتامبر)</t>
        </is>
      </c>
      <c r="B202" s="75" t="inlineStr">
        <is>
          <t>https://www.surrey.ac.uk/postgraduate/cyber-security-msc</t>
        </is>
      </c>
    </row>
    <row r="203">
      <c r="A203" s="133" t="inlineStr">
        <is>
          <t>انگلستان – Newcastle MSc Computer Game Engineering £32,300، شرط 2:2 (QS TopUniversities)</t>
        </is>
      </c>
      <c r="B203" s="78" t="inlineStr">
        <is>
          <t>https://www.topuniversities.com/universities/newcastle-university/postgrad/msc-computer-game-engineering</t>
        </is>
      </c>
    </row>
    <row r="204">
      <c r="A204" s="107" t="inlineStr">
        <is>
          <t>هلند – TU/e شهریهٔ رسمی 2026/27 €21,700 (2027/28: €22,400)</t>
        </is>
      </c>
      <c r="B204" s="75" t="inlineStr">
        <is>
          <t>https://www.tue.nl/en/education/become-a-tue-student/tuition-fees</t>
        </is>
      </c>
    </row>
    <row r="205">
      <c r="A205" s="37" t="inlineStr">
        <is>
          <t>ایران – توقف برگزاری IELTS در ایران از ۳۱ ژانویه ۲۰۲۶ (اعلام IDP)</t>
        </is>
      </c>
      <c r="B205" s="78" t="inlineStr">
        <is>
          <t>https://wanaen.com/ielts-testing-to-be-suspended-in-iran/</t>
        </is>
      </c>
    </row>
    <row r="206">
      <c r="A206" s="37" t="inlineStr">
        <is>
          <t>ایران – وضعیت IELTS شهریور ۱۴۰۵: در ایران برگزار نمی‌شود؛ آزمون در کشور دیگر</t>
        </is>
      </c>
      <c r="B206" s="75" t="inlineStr">
        <is>
          <t>https://www.jahantahsil.com/%D8%A2%D8%B2%D9%85%D9%88%D9%86-%D8%A2%DB%8C%D9%84%D8%AA%D8%B3-ielts-%DA%86%DB%8C%D8%B3%D8%AA-%D9%88-%DA%A9%D8%AC%D8%A7-%D8%A8%D8%B1%DA%AF%D8%B2%D8%A7%D8%B1-%D9%85%DB%8C%D8%B4%D9%88%D8%AF/</t>
        </is>
      </c>
    </row>
    <row r="207">
      <c r="A207" s="37" t="inlineStr">
        <is>
          <t>ایران – توقف TOEFL در ایران (وضعیت شهریور ۱۴۰۵)</t>
        </is>
      </c>
      <c r="B207" s="78" t="inlineStr">
        <is>
          <t>https://zandienglish.ir/toefl-in-iran/</t>
        </is>
      </c>
    </row>
    <row r="208">
      <c r="A208" s="37" t="inlineStr">
        <is>
          <t>ایران – وثیقهٔ خروج تحصیلی مشمولان ۲۰۰ میلیون تومان (سامانهٔ سخا، تیر ۱۴۰۵)</t>
        </is>
      </c>
      <c r="B208" s="75" t="inlineStr">
        <is>
          <t>https://www.zoomit.ir/iran-news/464136-exit-permit-bond-sakha-1405/</t>
        </is>
      </c>
    </row>
    <row r="209">
      <c r="A209" s="102" t="inlineStr">
        <is>
          <t>سوئد – تاریخ‌های کلیدی ورودی پاییز ۲۰۲۷ (۱۶ اکتبر – ۱۵ ژانویه؛ مدارک ۱ فوریه؛ دور دوم ۱۵ آوریل)</t>
        </is>
      </c>
      <c r="B209" s="78" t="inlineStr">
        <is>
          <t>https://www.umu.se/en/education/application-and-admission/key-dates-and-deadlines/</t>
        </is>
      </c>
    </row>
    <row r="210">
      <c r="A210" s="105" t="inlineStr">
        <is>
          <t>آلمان – Stuttgart MSc CS: بازهٔ اپلای ترم زمستان ۱۵ نوامبر – ۱۵ ژانویه؛ انگلیسی C1</t>
        </is>
      </c>
      <c r="B210" s="75" t="inlineStr">
        <is>
          <t>https://www.uni-stuttgart.de/en/study/study-programs/Computer-Science-M.Sc.-00001/</t>
        </is>
      </c>
    </row>
    <row r="211">
      <c r="A211" s="105" t="inlineStr">
        <is>
          <t>آلمان – Passau: بازهٔ اپلای AI Engineering ۱ آوریل – ۳۱ می</t>
        </is>
      </c>
      <c r="B211" s="78" t="inlineStr">
        <is>
          <t>https://www.uni-passau.de/en/apply/apply-with-intl-qualifications</t>
        </is>
      </c>
    </row>
    <row r="212">
      <c r="A212" s="106" t="inlineStr">
        <is>
          <t>دانمارک – AAU: مهلت شهریه‌پردازها ۱۵ ژانویه (EU: ۱ مارس)؛ پورتال از اواسط دسامبر</t>
        </is>
      </c>
      <c r="B212" s="75" t="inlineStr">
        <is>
          <t>https://www.en.aau.dk/education/apply/master/how-and-when-to-apply</t>
        </is>
      </c>
    </row>
    <row r="213">
      <c r="A213" s="106" t="inlineStr">
        <is>
          <t>دانمارک – SDU Computer Science: مهلت غیر-EU ۱ فوریه؛ شهریه یک سال پیش‌پرداخت</t>
        </is>
      </c>
      <c r="B213" s="78" t="inlineStr">
        <is>
          <t>https://www.sdu.dk/en/uddannelse/kandidat/datalogi</t>
        </is>
      </c>
    </row>
    <row r="214">
      <c r="A214" s="107" t="inlineStr">
        <is>
          <t>هلند – Radboud: مهلت غیر-EU ۱ آوریل، بورس ۳۱ ژانویه، ثبت‌نام ۱ ژوئن</t>
        </is>
      </c>
      <c r="B214" s="75" t="inlineStr">
        <is>
          <t>https://www.ru.nl/en/education/application-and-admission/application-procedure-masters/deadlines</t>
        </is>
      </c>
    </row>
    <row r="215">
      <c r="A215" s="133" t="inlineStr">
        <is>
          <t>انگلستان – National Living Wage £12.71 از ۱ آوریل ۲۰۲۶ (Low Pay Commission)</t>
        </is>
      </c>
      <c r="B215" s="78" t="inlineStr">
        <is>
          <t>https://www.gov.uk/government/news/national-living-wage-increases-to-1271-per-hour</t>
        </is>
      </c>
    </row>
    <row r="216">
      <c r="A216" s="107" t="inlineStr">
        <is>
          <t>هلند – IND: مبلغ لازم برای اقامت تحصیلی ۲۰۲۶، €1,130.77 در ماه (hbo/دانشگاه)</t>
        </is>
      </c>
      <c r="B216" s="75" t="inlineStr">
        <is>
          <t>https://ind.nl/en/required-amounts-income-requirements</t>
        </is>
      </c>
    </row>
    <row r="217">
      <c r="A217" s="106" t="inlineStr">
        <is>
          <t>دانمارک – SIRI: تمکن DKK 7,426 در ماه (سطح ۲۰۲۶، حداکثر ۱۲ ماه)؛ با پرداخت شهریه لازم نیست</t>
        </is>
      </c>
      <c r="B217" s="78" t="inlineStr">
        <is>
          <t>https://www.nyidanmark.dk/pl-PL/Words-and-concepts/SIRI/Self-support---SIRI</t>
        </is>
      </c>
    </row>
    <row r="218">
      <c r="A218" s="105" t="inlineStr">
        <is>
          <t>آلمان – Mindestlohn €13.90 (۲۰۲۶) → €14.60 از ۱ ژانویه ۲۰۲۷؛ Werkstudent ۲۰ ساعت در ترم (WirtschaftsWoche)</t>
        </is>
      </c>
      <c r="B218" s="75" t="inlineStr">
        <is>
          <t>https://www.wiwo.de/erfolg/trends/werkstudenten-rechner-2026-brutto-netto-gehalt-online-berechnen-wiwo/28979742.html</t>
        </is>
      </c>
    </row>
    <row r="219">
      <c r="A219" s="104" t="inlineStr">
        <is>
          <t>سوئیس – کف دستمزد کانتونی ۲۰۲۶: Basel-Stadt CHF 22.20، Neuchâtel 21.35، Ticino 20.00–20.50، Genève 24.59 (خلاصهٔ غیررسمی؛ قانون کانتونی)</t>
        </is>
      </c>
      <c r="B219" s="78" t="inlineStr">
        <is>
          <t>https://checkeverything.ch/de/blog/mindestlohn-schweiz-2026</t>
        </is>
      </c>
    </row>
    <row r="220">
      <c r="A220" s="104" t="inlineStr">
        <is>
          <t>سوئیس – شهر لوسرن: کف دستمزد شهری از ۱ ژانویه ۲۰۲۶، ابقا در همه‌پرسی ۲۷ سپتامبر ۲۰۲۶ (cash.ch)</t>
        </is>
      </c>
      <c r="B220" s="75" t="inlineStr">
        <is>
          <t>https://www.cash.ch/news/stadt-luzern-behalt-kommunalen-mindestlohn-bei-971917</t>
        </is>
      </c>
    </row>
    <row r="221">
      <c r="A221" s="104" t="inlineStr">
        <is>
          <t>سوئیس – Art. 21 Abs. 3 AIG: فارغ‌التحصیلان سوئیس معاف از اولویت نیروی داخلی؛ سهمیه باقی است (SEM Weisungen §4.2؛ زوریخ ۲۰۲۵: ۳۹۹ L + ۲۴۹ B)</t>
        </is>
      </c>
      <c r="B221" s="78" t="inlineStr">
        <is>
          <t>https://www.fedlex.admin.ch/eli/cc/2007/758/en#art_21</t>
        </is>
      </c>
    </row>
    <row r="222">
      <c r="A222" s="107" t="inlineStr">
        <is>
          <t>هلند – UvA شهریهٔ نهادی 2026/27 (دانشکدهٔ علوم، غیر-EEA: ارشد یک‌ساله €34,300، دوساله €26,000، CS مشترک با VU €24,150)</t>
        </is>
      </c>
      <c r="B222" s="75" t="inlineStr">
        <is>
          <t>https://www.uva.nl/en/education/fees-and-funding/tuition-fees/tuition-fees.html</t>
        </is>
      </c>
    </row>
    <row r="223">
      <c r="A223" s="107" t="inlineStr">
        <is>
          <t>هلند – UvA MSc Software Engineering: 60 ECTS، ۱۲ ماه، انگلیسی</t>
        </is>
      </c>
      <c r="B223" s="78" t="inlineStr">
        <is>
          <t>https://www.uva.nl/en/programmes/masters/software-engineering/software-engineering.html</t>
        </is>
      </c>
    </row>
    <row r="224">
      <c r="A224" s="107" t="inlineStr">
        <is>
          <t>هلند – Twente: مهلت غیر-EEA ۱ می ۲۰۲۷؛ بورس UTS ۱۵ اکتبر ۲۰۲۶ – ۱ آوریل ۲۰۲۷</t>
        </is>
      </c>
      <c r="B224" s="75" t="inlineStr">
        <is>
          <t>https://collegedunia.com/netherlands/university/749-university-of-twente-enschede/admission</t>
        </is>
      </c>
    </row>
  </sheetData>
  <hyperlinks>
    <hyperlink xmlns:r="http://schemas.openxmlformats.org/officeDocument/2006/relationships" ref="B2" r:id="rId1"/>
    <hyperlink xmlns:r="http://schemas.openxmlformats.org/officeDocument/2006/relationships" ref="B3" r:id="rId2"/>
    <hyperlink xmlns:r="http://schemas.openxmlformats.org/officeDocument/2006/relationships" ref="B4" r:id="rId3"/>
    <hyperlink xmlns:r="http://schemas.openxmlformats.org/officeDocument/2006/relationships" ref="B5" r:id="rId4"/>
    <hyperlink xmlns:r="http://schemas.openxmlformats.org/officeDocument/2006/relationships" ref="B6" r:id="rId5"/>
    <hyperlink xmlns:r="http://schemas.openxmlformats.org/officeDocument/2006/relationships" ref="B7" r:id="rId6"/>
    <hyperlink xmlns:r="http://schemas.openxmlformats.org/officeDocument/2006/relationships" ref="B8" r:id="rId7"/>
    <hyperlink xmlns:r="http://schemas.openxmlformats.org/officeDocument/2006/relationships" ref="B9" r:id="rId8"/>
    <hyperlink xmlns:r="http://schemas.openxmlformats.org/officeDocument/2006/relationships" ref="B10" r:id="rId9"/>
    <hyperlink xmlns:r="http://schemas.openxmlformats.org/officeDocument/2006/relationships" ref="B11" r:id="rId10"/>
    <hyperlink xmlns:r="http://schemas.openxmlformats.org/officeDocument/2006/relationships" ref="B12" r:id="rId11"/>
    <hyperlink xmlns:r="http://schemas.openxmlformats.org/officeDocument/2006/relationships" ref="B13" r:id="rId12"/>
    <hyperlink xmlns:r="http://schemas.openxmlformats.org/officeDocument/2006/relationships" ref="B14" r:id="rId13"/>
    <hyperlink xmlns:r="http://schemas.openxmlformats.org/officeDocument/2006/relationships" ref="B15" r:id="rId14"/>
    <hyperlink xmlns:r="http://schemas.openxmlformats.org/officeDocument/2006/relationships" ref="B16" r:id="rId15"/>
    <hyperlink xmlns:r="http://schemas.openxmlformats.org/officeDocument/2006/relationships" ref="B17" r:id="rId16"/>
    <hyperlink xmlns:r="http://schemas.openxmlformats.org/officeDocument/2006/relationships" ref="B18" r:id="rId17"/>
    <hyperlink xmlns:r="http://schemas.openxmlformats.org/officeDocument/2006/relationships" ref="B19" r:id="rId18"/>
    <hyperlink xmlns:r="http://schemas.openxmlformats.org/officeDocument/2006/relationships" ref="B20" r:id="rId19"/>
    <hyperlink xmlns:r="http://schemas.openxmlformats.org/officeDocument/2006/relationships" ref="B21" r:id="rId20"/>
    <hyperlink xmlns:r="http://schemas.openxmlformats.org/officeDocument/2006/relationships" ref="B22" r:id="rId21"/>
    <hyperlink xmlns:r="http://schemas.openxmlformats.org/officeDocument/2006/relationships" ref="B23" r:id="rId22"/>
    <hyperlink xmlns:r="http://schemas.openxmlformats.org/officeDocument/2006/relationships" ref="B24" r:id="rId23"/>
    <hyperlink xmlns:r="http://schemas.openxmlformats.org/officeDocument/2006/relationships" ref="B25" r:id="rId24"/>
    <hyperlink xmlns:r="http://schemas.openxmlformats.org/officeDocument/2006/relationships" ref="B26" r:id="rId25"/>
    <hyperlink xmlns:r="http://schemas.openxmlformats.org/officeDocument/2006/relationships" ref="B27" r:id="rId26"/>
    <hyperlink xmlns:r="http://schemas.openxmlformats.org/officeDocument/2006/relationships" ref="B28" r:id="rId27"/>
    <hyperlink xmlns:r="http://schemas.openxmlformats.org/officeDocument/2006/relationships" ref="B29" r:id="rId28"/>
    <hyperlink xmlns:r="http://schemas.openxmlformats.org/officeDocument/2006/relationships" ref="B30" r:id="rId29"/>
    <hyperlink xmlns:r="http://schemas.openxmlformats.org/officeDocument/2006/relationships" ref="B31" r:id="rId30"/>
    <hyperlink xmlns:r="http://schemas.openxmlformats.org/officeDocument/2006/relationships" ref="B32" r:id="rId31"/>
    <hyperlink xmlns:r="http://schemas.openxmlformats.org/officeDocument/2006/relationships" ref="B33" r:id="rId32"/>
    <hyperlink xmlns:r="http://schemas.openxmlformats.org/officeDocument/2006/relationships" ref="B34" r:id="rId33"/>
    <hyperlink xmlns:r="http://schemas.openxmlformats.org/officeDocument/2006/relationships" ref="B35" r:id="rId34"/>
    <hyperlink xmlns:r="http://schemas.openxmlformats.org/officeDocument/2006/relationships" ref="B36" r:id="rId35"/>
    <hyperlink xmlns:r="http://schemas.openxmlformats.org/officeDocument/2006/relationships" ref="B37" r:id="rId36"/>
    <hyperlink xmlns:r="http://schemas.openxmlformats.org/officeDocument/2006/relationships" ref="B38" r:id="rId37"/>
    <hyperlink xmlns:r="http://schemas.openxmlformats.org/officeDocument/2006/relationships" ref="B39" r:id="rId38"/>
    <hyperlink xmlns:r="http://schemas.openxmlformats.org/officeDocument/2006/relationships" ref="B40" r:id="rId39"/>
    <hyperlink xmlns:r="http://schemas.openxmlformats.org/officeDocument/2006/relationships" ref="B41" r:id="rId40"/>
    <hyperlink xmlns:r="http://schemas.openxmlformats.org/officeDocument/2006/relationships" ref="B42" r:id="rId41"/>
    <hyperlink xmlns:r="http://schemas.openxmlformats.org/officeDocument/2006/relationships" ref="B43" r:id="rId42"/>
    <hyperlink xmlns:r="http://schemas.openxmlformats.org/officeDocument/2006/relationships" ref="B44" r:id="rId43"/>
    <hyperlink xmlns:r="http://schemas.openxmlformats.org/officeDocument/2006/relationships" ref="B45" r:id="rId44"/>
    <hyperlink xmlns:r="http://schemas.openxmlformats.org/officeDocument/2006/relationships" ref="B46" r:id="rId45"/>
    <hyperlink xmlns:r="http://schemas.openxmlformats.org/officeDocument/2006/relationships" ref="B47" r:id="rId46"/>
    <hyperlink xmlns:r="http://schemas.openxmlformats.org/officeDocument/2006/relationships" ref="B48" r:id="rId47"/>
    <hyperlink xmlns:r="http://schemas.openxmlformats.org/officeDocument/2006/relationships" ref="B49" r:id="rId48"/>
    <hyperlink xmlns:r="http://schemas.openxmlformats.org/officeDocument/2006/relationships" ref="B50" r:id="rId49"/>
    <hyperlink xmlns:r="http://schemas.openxmlformats.org/officeDocument/2006/relationships" ref="B51" r:id="rId50"/>
    <hyperlink xmlns:r="http://schemas.openxmlformats.org/officeDocument/2006/relationships" ref="B52" r:id="rId51"/>
    <hyperlink xmlns:r="http://schemas.openxmlformats.org/officeDocument/2006/relationships" ref="B53" r:id="rId52"/>
    <hyperlink xmlns:r="http://schemas.openxmlformats.org/officeDocument/2006/relationships" ref="B54" r:id="rId53"/>
    <hyperlink xmlns:r="http://schemas.openxmlformats.org/officeDocument/2006/relationships" ref="B55" r:id="rId54"/>
    <hyperlink xmlns:r="http://schemas.openxmlformats.org/officeDocument/2006/relationships" ref="B56" r:id="rId55"/>
    <hyperlink xmlns:r="http://schemas.openxmlformats.org/officeDocument/2006/relationships" ref="B57" r:id="rId56"/>
    <hyperlink xmlns:r="http://schemas.openxmlformats.org/officeDocument/2006/relationships" ref="B58" r:id="rId57"/>
    <hyperlink xmlns:r="http://schemas.openxmlformats.org/officeDocument/2006/relationships" ref="B59" r:id="rId58"/>
    <hyperlink xmlns:r="http://schemas.openxmlformats.org/officeDocument/2006/relationships" ref="B60" r:id="rId59"/>
    <hyperlink xmlns:r="http://schemas.openxmlformats.org/officeDocument/2006/relationships" ref="B61" r:id="rId60"/>
    <hyperlink xmlns:r="http://schemas.openxmlformats.org/officeDocument/2006/relationships" ref="B62" r:id="rId61"/>
    <hyperlink xmlns:r="http://schemas.openxmlformats.org/officeDocument/2006/relationships" ref="B63" r:id="rId62"/>
    <hyperlink xmlns:r="http://schemas.openxmlformats.org/officeDocument/2006/relationships" ref="B64" r:id="rId63"/>
    <hyperlink xmlns:r="http://schemas.openxmlformats.org/officeDocument/2006/relationships" ref="B65" r:id="rId64"/>
    <hyperlink xmlns:r="http://schemas.openxmlformats.org/officeDocument/2006/relationships" ref="B66" r:id="rId65"/>
    <hyperlink xmlns:r="http://schemas.openxmlformats.org/officeDocument/2006/relationships" ref="B67" r:id="rId66"/>
    <hyperlink xmlns:r="http://schemas.openxmlformats.org/officeDocument/2006/relationships" ref="B68" r:id="rId67"/>
    <hyperlink xmlns:r="http://schemas.openxmlformats.org/officeDocument/2006/relationships" ref="B69" r:id="rId68"/>
    <hyperlink xmlns:r="http://schemas.openxmlformats.org/officeDocument/2006/relationships" ref="B70" r:id="rId69"/>
    <hyperlink xmlns:r="http://schemas.openxmlformats.org/officeDocument/2006/relationships" ref="B71" r:id="rId70"/>
    <hyperlink xmlns:r="http://schemas.openxmlformats.org/officeDocument/2006/relationships" ref="B72" r:id="rId71"/>
    <hyperlink xmlns:r="http://schemas.openxmlformats.org/officeDocument/2006/relationships" ref="B73" r:id="rId72"/>
    <hyperlink xmlns:r="http://schemas.openxmlformats.org/officeDocument/2006/relationships" ref="B74" r:id="rId73"/>
    <hyperlink xmlns:r="http://schemas.openxmlformats.org/officeDocument/2006/relationships" ref="B75" r:id="rId74"/>
    <hyperlink xmlns:r="http://schemas.openxmlformats.org/officeDocument/2006/relationships" ref="B76" r:id="rId75"/>
    <hyperlink xmlns:r="http://schemas.openxmlformats.org/officeDocument/2006/relationships" ref="B77" r:id="rId76"/>
    <hyperlink xmlns:r="http://schemas.openxmlformats.org/officeDocument/2006/relationships" ref="B78" r:id="rId77"/>
    <hyperlink xmlns:r="http://schemas.openxmlformats.org/officeDocument/2006/relationships" ref="B79" r:id="rId78"/>
    <hyperlink xmlns:r="http://schemas.openxmlformats.org/officeDocument/2006/relationships" ref="B80" r:id="rId79"/>
    <hyperlink xmlns:r="http://schemas.openxmlformats.org/officeDocument/2006/relationships" ref="B81" r:id="rId80"/>
    <hyperlink xmlns:r="http://schemas.openxmlformats.org/officeDocument/2006/relationships" ref="B82" r:id="rId81"/>
    <hyperlink xmlns:r="http://schemas.openxmlformats.org/officeDocument/2006/relationships" ref="B83" r:id="rId82"/>
    <hyperlink xmlns:r="http://schemas.openxmlformats.org/officeDocument/2006/relationships" ref="B84" r:id="rId83"/>
    <hyperlink xmlns:r="http://schemas.openxmlformats.org/officeDocument/2006/relationships" ref="B85" r:id="rId84"/>
    <hyperlink xmlns:r="http://schemas.openxmlformats.org/officeDocument/2006/relationships" ref="B86" r:id="rId85"/>
    <hyperlink xmlns:r="http://schemas.openxmlformats.org/officeDocument/2006/relationships" ref="B87" r:id="rId86"/>
    <hyperlink xmlns:r="http://schemas.openxmlformats.org/officeDocument/2006/relationships" ref="B88" r:id="rId87"/>
    <hyperlink xmlns:r="http://schemas.openxmlformats.org/officeDocument/2006/relationships" ref="B89" r:id="rId88"/>
    <hyperlink xmlns:r="http://schemas.openxmlformats.org/officeDocument/2006/relationships" ref="B90" r:id="rId89"/>
    <hyperlink xmlns:r="http://schemas.openxmlformats.org/officeDocument/2006/relationships" ref="B91" r:id="rId90"/>
    <hyperlink xmlns:r="http://schemas.openxmlformats.org/officeDocument/2006/relationships" ref="B92" r:id="rId91"/>
    <hyperlink xmlns:r="http://schemas.openxmlformats.org/officeDocument/2006/relationships" ref="B93" r:id="rId92"/>
    <hyperlink xmlns:r="http://schemas.openxmlformats.org/officeDocument/2006/relationships" ref="B94" r:id="rId93"/>
    <hyperlink xmlns:r="http://schemas.openxmlformats.org/officeDocument/2006/relationships" ref="B95" r:id="rId94"/>
    <hyperlink xmlns:r="http://schemas.openxmlformats.org/officeDocument/2006/relationships" ref="B96" r:id="rId95"/>
    <hyperlink xmlns:r="http://schemas.openxmlformats.org/officeDocument/2006/relationships" ref="B97" r:id="rId96"/>
    <hyperlink xmlns:r="http://schemas.openxmlformats.org/officeDocument/2006/relationships" ref="B98" r:id="rId97"/>
    <hyperlink xmlns:r="http://schemas.openxmlformats.org/officeDocument/2006/relationships" ref="B99" r:id="rId98"/>
    <hyperlink xmlns:r="http://schemas.openxmlformats.org/officeDocument/2006/relationships" ref="B100" r:id="rId99"/>
    <hyperlink xmlns:r="http://schemas.openxmlformats.org/officeDocument/2006/relationships" ref="B101" r:id="rId100"/>
    <hyperlink xmlns:r="http://schemas.openxmlformats.org/officeDocument/2006/relationships" ref="B102" r:id="rId101"/>
    <hyperlink xmlns:r="http://schemas.openxmlformats.org/officeDocument/2006/relationships" ref="B103" r:id="rId102"/>
    <hyperlink xmlns:r="http://schemas.openxmlformats.org/officeDocument/2006/relationships" ref="B104" r:id="rId103"/>
    <hyperlink xmlns:r="http://schemas.openxmlformats.org/officeDocument/2006/relationships" ref="B105" r:id="rId104"/>
    <hyperlink xmlns:r="http://schemas.openxmlformats.org/officeDocument/2006/relationships" ref="B106" r:id="rId105"/>
    <hyperlink xmlns:r="http://schemas.openxmlformats.org/officeDocument/2006/relationships" ref="B107" r:id="rId106"/>
    <hyperlink xmlns:r="http://schemas.openxmlformats.org/officeDocument/2006/relationships" ref="B108" r:id="rId107"/>
    <hyperlink xmlns:r="http://schemas.openxmlformats.org/officeDocument/2006/relationships" ref="B109" r:id="rId108"/>
    <hyperlink xmlns:r="http://schemas.openxmlformats.org/officeDocument/2006/relationships" ref="B110" r:id="rId109"/>
    <hyperlink xmlns:r="http://schemas.openxmlformats.org/officeDocument/2006/relationships" ref="B111" r:id="rId110"/>
    <hyperlink xmlns:r="http://schemas.openxmlformats.org/officeDocument/2006/relationships" ref="B112" r:id="rId111"/>
    <hyperlink xmlns:r="http://schemas.openxmlformats.org/officeDocument/2006/relationships" ref="B113" r:id="rId112"/>
    <hyperlink xmlns:r="http://schemas.openxmlformats.org/officeDocument/2006/relationships" ref="B114" r:id="rId113"/>
    <hyperlink xmlns:r="http://schemas.openxmlformats.org/officeDocument/2006/relationships" ref="B115" r:id="rId114"/>
    <hyperlink xmlns:r="http://schemas.openxmlformats.org/officeDocument/2006/relationships" ref="B116" r:id="rId115"/>
    <hyperlink xmlns:r="http://schemas.openxmlformats.org/officeDocument/2006/relationships" ref="B117" r:id="rId116"/>
    <hyperlink xmlns:r="http://schemas.openxmlformats.org/officeDocument/2006/relationships" ref="B118" r:id="rId117"/>
    <hyperlink xmlns:r="http://schemas.openxmlformats.org/officeDocument/2006/relationships" ref="B119" r:id="rId118"/>
    <hyperlink xmlns:r="http://schemas.openxmlformats.org/officeDocument/2006/relationships" ref="B120" r:id="rId119"/>
    <hyperlink xmlns:r="http://schemas.openxmlformats.org/officeDocument/2006/relationships" ref="B121" r:id="rId120"/>
    <hyperlink xmlns:r="http://schemas.openxmlformats.org/officeDocument/2006/relationships" ref="B122" r:id="rId121"/>
    <hyperlink xmlns:r="http://schemas.openxmlformats.org/officeDocument/2006/relationships" ref="B123" r:id="rId122"/>
    <hyperlink xmlns:r="http://schemas.openxmlformats.org/officeDocument/2006/relationships" ref="B124" r:id="rId123"/>
    <hyperlink xmlns:r="http://schemas.openxmlformats.org/officeDocument/2006/relationships" ref="B125" r:id="rId124"/>
    <hyperlink xmlns:r="http://schemas.openxmlformats.org/officeDocument/2006/relationships" ref="B126" r:id="rId125"/>
    <hyperlink xmlns:r="http://schemas.openxmlformats.org/officeDocument/2006/relationships" ref="B127" r:id="rId126"/>
    <hyperlink xmlns:r="http://schemas.openxmlformats.org/officeDocument/2006/relationships" ref="B128" r:id="rId127"/>
    <hyperlink xmlns:r="http://schemas.openxmlformats.org/officeDocument/2006/relationships" ref="B129" r:id="rId128"/>
    <hyperlink xmlns:r="http://schemas.openxmlformats.org/officeDocument/2006/relationships" ref="B130" r:id="rId129"/>
    <hyperlink xmlns:r="http://schemas.openxmlformats.org/officeDocument/2006/relationships" ref="B131" r:id="rId130"/>
    <hyperlink xmlns:r="http://schemas.openxmlformats.org/officeDocument/2006/relationships" ref="B132" r:id="rId131"/>
    <hyperlink xmlns:r="http://schemas.openxmlformats.org/officeDocument/2006/relationships" ref="B133" r:id="rId132"/>
    <hyperlink xmlns:r="http://schemas.openxmlformats.org/officeDocument/2006/relationships" ref="B134" r:id="rId133"/>
    <hyperlink xmlns:r="http://schemas.openxmlformats.org/officeDocument/2006/relationships" ref="B135" r:id="rId134"/>
    <hyperlink xmlns:r="http://schemas.openxmlformats.org/officeDocument/2006/relationships" ref="B136" r:id="rId135"/>
    <hyperlink xmlns:r="http://schemas.openxmlformats.org/officeDocument/2006/relationships" ref="B137" r:id="rId136"/>
    <hyperlink xmlns:r="http://schemas.openxmlformats.org/officeDocument/2006/relationships" ref="B138" r:id="rId137"/>
    <hyperlink xmlns:r="http://schemas.openxmlformats.org/officeDocument/2006/relationships" ref="B139" r:id="rId138"/>
    <hyperlink xmlns:r="http://schemas.openxmlformats.org/officeDocument/2006/relationships" ref="B140" r:id="rId139"/>
    <hyperlink xmlns:r="http://schemas.openxmlformats.org/officeDocument/2006/relationships" ref="B141" r:id="rId140"/>
    <hyperlink xmlns:r="http://schemas.openxmlformats.org/officeDocument/2006/relationships" ref="B142" r:id="rId141"/>
    <hyperlink xmlns:r="http://schemas.openxmlformats.org/officeDocument/2006/relationships" ref="B143" r:id="rId142"/>
    <hyperlink xmlns:r="http://schemas.openxmlformats.org/officeDocument/2006/relationships" ref="B144" r:id="rId143"/>
    <hyperlink xmlns:r="http://schemas.openxmlformats.org/officeDocument/2006/relationships" ref="B145" r:id="rId144"/>
    <hyperlink xmlns:r="http://schemas.openxmlformats.org/officeDocument/2006/relationships" ref="B146" r:id="rId145"/>
    <hyperlink xmlns:r="http://schemas.openxmlformats.org/officeDocument/2006/relationships" ref="B147" r:id="rId146"/>
    <hyperlink xmlns:r="http://schemas.openxmlformats.org/officeDocument/2006/relationships" ref="B148" r:id="rId147"/>
    <hyperlink xmlns:r="http://schemas.openxmlformats.org/officeDocument/2006/relationships" ref="B149" r:id="rId148"/>
    <hyperlink xmlns:r="http://schemas.openxmlformats.org/officeDocument/2006/relationships" ref="B150" r:id="rId149"/>
    <hyperlink xmlns:r="http://schemas.openxmlformats.org/officeDocument/2006/relationships" ref="B151" r:id="rId150"/>
    <hyperlink xmlns:r="http://schemas.openxmlformats.org/officeDocument/2006/relationships" ref="B152" r:id="rId151"/>
    <hyperlink xmlns:r="http://schemas.openxmlformats.org/officeDocument/2006/relationships" ref="B153" r:id="rId152"/>
    <hyperlink xmlns:r="http://schemas.openxmlformats.org/officeDocument/2006/relationships" ref="B154" r:id="rId153"/>
    <hyperlink xmlns:r="http://schemas.openxmlformats.org/officeDocument/2006/relationships" ref="B155" r:id="rId154"/>
    <hyperlink xmlns:r="http://schemas.openxmlformats.org/officeDocument/2006/relationships" ref="B156" r:id="rId155"/>
    <hyperlink xmlns:r="http://schemas.openxmlformats.org/officeDocument/2006/relationships" ref="B157" r:id="rId156"/>
    <hyperlink xmlns:r="http://schemas.openxmlformats.org/officeDocument/2006/relationships" ref="B158" r:id="rId157"/>
    <hyperlink xmlns:r="http://schemas.openxmlformats.org/officeDocument/2006/relationships" ref="B159" r:id="rId158"/>
    <hyperlink xmlns:r="http://schemas.openxmlformats.org/officeDocument/2006/relationships" ref="B160" r:id="rId159"/>
    <hyperlink xmlns:r="http://schemas.openxmlformats.org/officeDocument/2006/relationships" ref="B161" r:id="rId160"/>
    <hyperlink xmlns:r="http://schemas.openxmlformats.org/officeDocument/2006/relationships" ref="B162" r:id="rId161"/>
    <hyperlink xmlns:r="http://schemas.openxmlformats.org/officeDocument/2006/relationships" ref="B163" r:id="rId162"/>
    <hyperlink xmlns:r="http://schemas.openxmlformats.org/officeDocument/2006/relationships" ref="B164" r:id="rId163"/>
    <hyperlink xmlns:r="http://schemas.openxmlformats.org/officeDocument/2006/relationships" ref="B165" r:id="rId164"/>
    <hyperlink xmlns:r="http://schemas.openxmlformats.org/officeDocument/2006/relationships" ref="B166" r:id="rId165"/>
    <hyperlink xmlns:r="http://schemas.openxmlformats.org/officeDocument/2006/relationships" ref="B167" r:id="rId166"/>
    <hyperlink xmlns:r="http://schemas.openxmlformats.org/officeDocument/2006/relationships" ref="B168" r:id="rId167"/>
    <hyperlink xmlns:r="http://schemas.openxmlformats.org/officeDocument/2006/relationships" ref="B169" r:id="rId168"/>
    <hyperlink xmlns:r="http://schemas.openxmlformats.org/officeDocument/2006/relationships" ref="B170" r:id="rId169"/>
    <hyperlink xmlns:r="http://schemas.openxmlformats.org/officeDocument/2006/relationships" ref="B171" r:id="rId170"/>
    <hyperlink xmlns:r="http://schemas.openxmlformats.org/officeDocument/2006/relationships" ref="B172" r:id="rId171"/>
    <hyperlink xmlns:r="http://schemas.openxmlformats.org/officeDocument/2006/relationships" ref="B173" r:id="rId172"/>
    <hyperlink xmlns:r="http://schemas.openxmlformats.org/officeDocument/2006/relationships" ref="B174" r:id="rId173"/>
    <hyperlink xmlns:r="http://schemas.openxmlformats.org/officeDocument/2006/relationships" ref="B175" r:id="rId174"/>
    <hyperlink xmlns:r="http://schemas.openxmlformats.org/officeDocument/2006/relationships" ref="B176" r:id="rId175"/>
    <hyperlink xmlns:r="http://schemas.openxmlformats.org/officeDocument/2006/relationships" ref="B177" r:id="rId176"/>
    <hyperlink xmlns:r="http://schemas.openxmlformats.org/officeDocument/2006/relationships" ref="B178" r:id="rId177"/>
    <hyperlink xmlns:r="http://schemas.openxmlformats.org/officeDocument/2006/relationships" ref="B179" r:id="rId178"/>
    <hyperlink xmlns:r="http://schemas.openxmlformats.org/officeDocument/2006/relationships" ref="B180" r:id="rId179"/>
    <hyperlink xmlns:r="http://schemas.openxmlformats.org/officeDocument/2006/relationships" ref="B181" r:id="rId180"/>
    <hyperlink xmlns:r="http://schemas.openxmlformats.org/officeDocument/2006/relationships" ref="B182" r:id="rId181"/>
    <hyperlink xmlns:r="http://schemas.openxmlformats.org/officeDocument/2006/relationships" ref="B183" r:id="rId182"/>
    <hyperlink xmlns:r="http://schemas.openxmlformats.org/officeDocument/2006/relationships" ref="B184" r:id="rId183"/>
    <hyperlink xmlns:r="http://schemas.openxmlformats.org/officeDocument/2006/relationships" ref="B185" r:id="rId184"/>
    <hyperlink xmlns:r="http://schemas.openxmlformats.org/officeDocument/2006/relationships" ref="B186" r:id="rId185"/>
    <hyperlink xmlns:r="http://schemas.openxmlformats.org/officeDocument/2006/relationships" ref="B187" r:id="rId186"/>
    <hyperlink xmlns:r="http://schemas.openxmlformats.org/officeDocument/2006/relationships" ref="B188" r:id="rId187"/>
    <hyperlink xmlns:r="http://schemas.openxmlformats.org/officeDocument/2006/relationships" ref="B189" r:id="rId188"/>
    <hyperlink xmlns:r="http://schemas.openxmlformats.org/officeDocument/2006/relationships" ref="B190" r:id="rId189"/>
    <hyperlink xmlns:r="http://schemas.openxmlformats.org/officeDocument/2006/relationships" ref="B191" r:id="rId190"/>
    <hyperlink xmlns:r="http://schemas.openxmlformats.org/officeDocument/2006/relationships" ref="B192" r:id="rId191"/>
    <hyperlink xmlns:r="http://schemas.openxmlformats.org/officeDocument/2006/relationships" ref="B193" r:id="rId192"/>
    <hyperlink xmlns:r="http://schemas.openxmlformats.org/officeDocument/2006/relationships" ref="B194" r:id="rId193"/>
    <hyperlink xmlns:r="http://schemas.openxmlformats.org/officeDocument/2006/relationships" ref="B195" r:id="rId194"/>
    <hyperlink xmlns:r="http://schemas.openxmlformats.org/officeDocument/2006/relationships" ref="B196" r:id="rId195"/>
    <hyperlink xmlns:r="http://schemas.openxmlformats.org/officeDocument/2006/relationships" ref="B197" r:id="rId196"/>
    <hyperlink xmlns:r="http://schemas.openxmlformats.org/officeDocument/2006/relationships" ref="B198" r:id="rId197"/>
    <hyperlink xmlns:r="http://schemas.openxmlformats.org/officeDocument/2006/relationships" ref="B199" r:id="rId198"/>
    <hyperlink xmlns:r="http://schemas.openxmlformats.org/officeDocument/2006/relationships" ref="B200" r:id="rId199"/>
    <hyperlink xmlns:r="http://schemas.openxmlformats.org/officeDocument/2006/relationships" ref="B201" r:id="rId200"/>
    <hyperlink xmlns:r="http://schemas.openxmlformats.org/officeDocument/2006/relationships" ref="B202" r:id="rId201"/>
    <hyperlink xmlns:r="http://schemas.openxmlformats.org/officeDocument/2006/relationships" ref="B203" r:id="rId202"/>
    <hyperlink xmlns:r="http://schemas.openxmlformats.org/officeDocument/2006/relationships" ref="B204" r:id="rId203"/>
    <hyperlink xmlns:r="http://schemas.openxmlformats.org/officeDocument/2006/relationships" ref="B205" r:id="rId204"/>
    <hyperlink xmlns:r="http://schemas.openxmlformats.org/officeDocument/2006/relationships" ref="B206" r:id="rId205"/>
    <hyperlink xmlns:r="http://schemas.openxmlformats.org/officeDocument/2006/relationships" ref="B207" r:id="rId206"/>
    <hyperlink xmlns:r="http://schemas.openxmlformats.org/officeDocument/2006/relationships" ref="B208" r:id="rId207"/>
    <hyperlink xmlns:r="http://schemas.openxmlformats.org/officeDocument/2006/relationships" ref="B209" r:id="rId208"/>
    <hyperlink xmlns:r="http://schemas.openxmlformats.org/officeDocument/2006/relationships" ref="B210" r:id="rId209"/>
    <hyperlink xmlns:r="http://schemas.openxmlformats.org/officeDocument/2006/relationships" ref="B211" r:id="rId210"/>
    <hyperlink xmlns:r="http://schemas.openxmlformats.org/officeDocument/2006/relationships" ref="B212" r:id="rId211"/>
    <hyperlink xmlns:r="http://schemas.openxmlformats.org/officeDocument/2006/relationships" ref="B213" r:id="rId212"/>
    <hyperlink xmlns:r="http://schemas.openxmlformats.org/officeDocument/2006/relationships" ref="B214" r:id="rId213"/>
    <hyperlink xmlns:r="http://schemas.openxmlformats.org/officeDocument/2006/relationships" ref="B215" r:id="rId214"/>
    <hyperlink xmlns:r="http://schemas.openxmlformats.org/officeDocument/2006/relationships" ref="B216" r:id="rId215"/>
    <hyperlink xmlns:r="http://schemas.openxmlformats.org/officeDocument/2006/relationships" ref="B217" r:id="rId216"/>
    <hyperlink xmlns:r="http://schemas.openxmlformats.org/officeDocument/2006/relationships" ref="B218" r:id="rId217"/>
    <hyperlink xmlns:r="http://schemas.openxmlformats.org/officeDocument/2006/relationships" ref="B219" r:id="rId218"/>
    <hyperlink xmlns:r="http://schemas.openxmlformats.org/officeDocument/2006/relationships" ref="B220" r:id="rId219"/>
    <hyperlink xmlns:r="http://schemas.openxmlformats.org/officeDocument/2006/relationships" ref="B221" r:id="rId220"/>
    <hyperlink xmlns:r="http://schemas.openxmlformats.org/officeDocument/2006/relationships" ref="B222" r:id="rId221"/>
    <hyperlink xmlns:r="http://schemas.openxmlformats.org/officeDocument/2006/relationships" ref="B223" r:id="rId222"/>
    <hyperlink xmlns:r="http://schemas.openxmlformats.org/officeDocument/2006/relationships" ref="B224" r:id="rId223"/>
  </hyperlinks>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2026-09-28T14:46:48Z</dcterms:created>
  <dcterms:modified xsi:type="dcterms:W3CDTF">2026-09-28T14:46:49Z</dcterms:modified>
</cp:coreProperties>
</file>