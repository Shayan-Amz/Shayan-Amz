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خوابگاه و مسکن" sheetId="5" state="visible" r:id="rId5"/>
    <sheet name="جمع‌بندی" sheetId="6" state="visible" r:id="rId6"/>
    <sheet name="منابع" sheetId="7" state="visible" r:id="rId7"/>
  </sheets>
  <definedNames>
    <definedName name="_xlnm._FilterDatabase" localSheetId="1" hidden="1">'برنامه‌ها'!$A$1:$Q$111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/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top" wrapText="1" readingOrder="2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imperial.ac.uk/study/courses/postgraduate-taught/computing-artificial-intelligence-msc/" TargetMode="External" Id="rId26" /><Relationship Type="http://schemas.openxmlformats.org/officeDocument/2006/relationships/hyperlink" Target="https://www.ucl.ac.uk/prospective-students/graduate/taught-degrees/computer-science-msc-2026" TargetMode="External" Id="rId27" /><Relationship Type="http://schemas.openxmlformats.org/officeDocument/2006/relationships/hyperlink" Target="https://www.kcl.ac.uk/study-legacy/postgraduate/apply/entry-requirements/international" TargetMode="External" Id="rId28" /><Relationship Type="http://schemas.openxmlformats.org/officeDocument/2006/relationships/hyperlink" Target="https://warwick.ac.uk/study/international/countryinformation/middleeast/iran/" TargetMode="External" Id="rId29" /><Relationship Type="http://schemas.openxmlformats.org/officeDocument/2006/relationships/hyperlink" Target="https://www.bristol.ac.uk/study/postgraduate/taught/msc-data-science/" TargetMode="External" Id="rId30" /><Relationship Type="http://schemas.openxmlformats.org/officeDocument/2006/relationships/hyperlink" Target="https://www.durham.ac.uk/study/courses/advanced-computer-science-g5t609/" TargetMode="External" Id="rId31" /><Relationship Type="http://schemas.openxmlformats.org/officeDocument/2006/relationships/hyperlink" Target="https://www.usi.ch/en/education/master/informatics" TargetMode="External" Id="rId32" /><Relationship Type="http://schemas.openxmlformats.org/officeDocument/2006/relationships/hyperlink" Target="https://www.usi.ch/en/education/master/artificial-intelligence" TargetMode="External" Id="rId33" /><Relationship Type="http://schemas.openxmlformats.org/officeDocument/2006/relationships/hyperlink" Target="https://www.usi.ch/en/education/master/software-and-data-engineering" TargetMode="External" Id="rId34" /><Relationship Type="http://schemas.openxmlformats.org/officeDocument/2006/relationships/hyperlink" Target="https://www.hslu.ch/en/lucerne-school-of-business/degree-programmes/master/applied-data-science-and-ai/" TargetMode="External" Id="rId35" /><Relationship Type="http://schemas.openxmlformats.org/officeDocument/2006/relationships/hyperlink" Target="https://www.philnat.unibe.ch/studies/study_programs/master_s_in_computer_science/index_eng.html" TargetMode="External" Id="rId36" /><Relationship Type="http://schemas.openxmlformats.org/officeDocument/2006/relationships/hyperlink" Target="https://mcs.unibnf.ch/" TargetMode="External" Id="rId37" /><Relationship Type="http://schemas.openxmlformats.org/officeDocument/2006/relationships/hyperlink" Target="https://www.unifr.ch/inf/en/" TargetMode="External" Id="rId38" /><Relationship Type="http://schemas.openxmlformats.org/officeDocument/2006/relationships/hyperlink" Target="https://dmi.unibas.ch/en/studies/computer-science/masters/" TargetMode="External" Id="rId39" /><Relationship Type="http://schemas.openxmlformats.org/officeDocument/2006/relationships/hyperlink" Target="https://www.ifi.uzh.ch/en/studies/master.html" TargetMode="External" Id="rId40" /><Relationship Type="http://schemas.openxmlformats.org/officeDocument/2006/relationships/hyperlink" Target="https://www.zhaw.ch/en/engineering/study/masters-degree-programme" TargetMode="External" Id="rId41" /><Relationship Type="http://schemas.openxmlformats.org/officeDocument/2006/relationships/hyperlink" Target="https://www.epfl.ch/education/master/programs/computer-science/" TargetMode="External" Id="rId42" /><Relationship Type="http://schemas.openxmlformats.org/officeDocument/2006/relationships/hyperlink" Target="https://www.epfl.ch/education/master/programs/data-science/" TargetMode="External" Id="rId43" /><Relationship Type="http://schemas.openxmlformats.org/officeDocument/2006/relationships/hyperlink" Target="https://ethz.ch/en/studies/master/degree-programmes/engineering-sciences/computer-science.html" TargetMode="External" Id="rId44" /><Relationship Type="http://schemas.openxmlformats.org/officeDocument/2006/relationships/hyperlink" Target="https://ethz.ch/en/studies/master/degree-programmes/engineering-sciences/cyber-security.html" TargetMode="External" Id="rId45" /><Relationship Type="http://schemas.openxmlformats.org/officeDocument/2006/relationships/hyperlink" Target="https://www.uni-stuttgart.de/en/study/study-programs/" TargetMode="External" Id="rId46" /><Relationship Type="http://schemas.openxmlformats.org/officeDocument/2006/relationships/hyperlink" Target="https://www.mygermanuniversity.com/master/information-technology-infotech/678" TargetMode="External" Id="rId47" /><Relationship Type="http://schemas.openxmlformats.org/officeDocument/2006/relationships/hyperlink" Target="https://www.fau.eu/degree-program/artificial-intelligence-m-sc/" TargetMode="External" Id="rId48" /><Relationship Type="http://schemas.openxmlformats.org/officeDocument/2006/relationships/hyperlink" Target="https://www.fau.eu/degree-program/autonomy-technologies-m-sc/" TargetMode="External" Id="rId49" /><Relationship Type="http://schemas.openxmlformats.org/officeDocument/2006/relationships/hyperlink" Target="https://www.tu-darmstadt.de/studieren/" TargetMode="External" Id="rId50" /><Relationship Type="http://schemas.openxmlformats.org/officeDocument/2006/relationships/hyperlink" Target="https://tu-dresden.de/studium/vor-dem-studium/studienangebot" TargetMode="External" Id="rId51" /><Relationship Type="http://schemas.openxmlformats.org/officeDocument/2006/relationships/hyperlink" Target="https://www.uni-saarland.de/en/study/programmes/master/cybersecurity.html" TargetMode="External" Id="rId52" /><Relationship Type="http://schemas.openxmlformats.org/officeDocument/2006/relationships/hyperlink" Target="https://www.uni-saarland.de/en/study/programmes/master/data-science.html" TargetMode="External" Id="rId53" /><Relationship Type="http://schemas.openxmlformats.org/officeDocument/2006/relationships/hyperlink" Target="https://www.mygermanuniversity.com/master/automotive-software-engineering/91" TargetMode="External" Id="rId54" /><Relationship Type="http://schemas.openxmlformats.org/officeDocument/2006/relationships/hyperlink" Target="https://www.uni-passau.de/en/msc-ai-eng" TargetMode="External" Id="rId55" /><Relationship Type="http://schemas.openxmlformats.org/officeDocument/2006/relationships/hyperlink" Target="https://www.dke.ovgu.de/" TargetMode="External" Id="rId56" /><Relationship Type="http://schemas.openxmlformats.org/officeDocument/2006/relationships/hyperlink" Target="https://colognegamelab.de/study-programs/post-graduate-programs/game-development-research-ma/faqs/" TargetMode="External" Id="rId57" /><Relationship Type="http://schemas.openxmlformats.org/officeDocument/2006/relationships/hyperlink" Target="https://www2.daad.de/deutschland/studienangebote/international-programmes/en/detail/4686/" TargetMode="External" Id="rId58" /><Relationship Type="http://schemas.openxmlformats.org/officeDocument/2006/relationships/hyperlink" Target="https://www.h-brs.de/en/inf/admission-application-master-autonomous-systems" TargetMode="External" Id="rId59" /><Relationship Type="http://schemas.openxmlformats.org/officeDocument/2006/relationships/hyperlink" Target="https://sc.informatik.rwth-aachen.de/en/studium/master/sse/" TargetMode="External" Id="rId6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61" /><Relationship Type="http://schemas.openxmlformats.org/officeDocument/2006/relationships/hyperlink" Target="https://www.tum.de/en/studies/degree-programs/detail/informatics-master-of-science-msc" TargetMode="External" Id="rId62" /><Relationship Type="http://schemas.openxmlformats.org/officeDocument/2006/relationships/hyperlink" Target="https://www.utwente.nl/en/education/master/programmes/computer-science/" TargetMode="External" Id="rId63" /><Relationship Type="http://schemas.openxmlformats.org/officeDocument/2006/relationships/hyperlink" Target="https://www.utwente.nl/en/education/master/programmes/embedded-systems/finance/" TargetMode="External" Id="rId64" /><Relationship Type="http://schemas.openxmlformats.org/officeDocument/2006/relationships/hyperlink" Target="https://www.utwente.nl/en/education/master/programmes/interaction-technology/" TargetMode="External" Id="rId65" /><Relationship Type="http://schemas.openxmlformats.org/officeDocument/2006/relationships/hyperlink" Target="https://www.ru.nl/en/education/masters/computing-science" TargetMode="External" Id="rId66" /><Relationship Type="http://schemas.openxmlformats.org/officeDocument/2006/relationships/hyperlink" Target="https://www.ru.nl/en/education/masters/artificial-intelligence" TargetMode="External" Id="rId67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8" /><Relationship Type="http://schemas.openxmlformats.org/officeDocument/2006/relationships/hyperlink" Target="https://www.rug.nl/masters/artificial-intelligence/?lang=en" TargetMode="External" Id="rId69" /><Relationship Type="http://schemas.openxmlformats.org/officeDocument/2006/relationships/hyperlink" Target="https://www.rug.nl/masters/computing-science/?lang=en" TargetMode="External" Id="rId70" /><Relationship Type="http://schemas.openxmlformats.org/officeDocument/2006/relationships/hyperlink" Target="https://www.uu.nl/en/masters/game-and-media-technology" TargetMode="External" Id="rId71" /><Relationship Type="http://schemas.openxmlformats.org/officeDocument/2006/relationships/hyperlink" Target="https://www.uu.nl/en/masters/artificial-intelligence" TargetMode="External" Id="rId72" /><Relationship Type="http://schemas.openxmlformats.org/officeDocument/2006/relationships/hyperlink" Target="https://www.uva.nl/en/programmes/masters/software-engineering/software-engineering.html" TargetMode="External" Id="rId73" /><Relationship Type="http://schemas.openxmlformats.org/officeDocument/2006/relationships/hyperlink" Target="https://www.uva.nl/en/programmes/masters/artificial-intelligence/artificial-intelligence.html" TargetMode="External" Id="rId74" /><Relationship Type="http://schemas.openxmlformats.org/officeDocument/2006/relationships/hyperlink" Target="https://www.tue.nl/en/education/graduate-school/master-data-science-and-artificial-intelligence" TargetMode="External" Id="rId75" /><Relationship Type="http://schemas.openxmlformats.org/officeDocument/2006/relationships/hyperlink" Target="https://www.tue.nl/en/education/graduate-school/master-embedded-systems" TargetMode="External" Id="rId76" /><Relationship Type="http://schemas.openxmlformats.org/officeDocument/2006/relationships/hyperlink" Target="https://www.tudelft.nl/onderwijs/opleidingen/masters/cs/msc-computer-science" TargetMode="External" Id="rId77" /><Relationship Type="http://schemas.openxmlformats.org/officeDocument/2006/relationships/hyperlink" Target="https://www.topuniversities.com/universities/breda-university-applied-sciences/postgrad/master-game-technology" TargetMode="External" Id="rId78" /><Relationship Type="http://schemas.openxmlformats.org/officeDocument/2006/relationships/hyperlink" Target="https://liu.se/en/education/program/6mics" TargetMode="External" Id="rId79" /><Relationship Type="http://schemas.openxmlformats.org/officeDocument/2006/relationships/hyperlink" Target="https://liu.se/en/education/program/f7msl" TargetMode="External" Id="rId80" /><Relationship Type="http://schemas.openxmlformats.org/officeDocument/2006/relationships/hyperlink" Target="https://www.hh.se/english/education/programmes.html" TargetMode="External" Id="rId81" /><Relationship Type="http://schemas.openxmlformats.org/officeDocument/2006/relationships/hyperlink" Target="https://www.bth.se/eng/programmes/" TargetMode="External" Id="rId82" /><Relationship Type="http://schemas.openxmlformats.org/officeDocument/2006/relationships/hyperlink" Target="https://www.kth.se/en/studies/master/machine-learning" TargetMode="External" Id="rId83" /><Relationship Type="http://schemas.openxmlformats.org/officeDocument/2006/relationships/hyperlink" Target="https://www.kth.se/en/studies/master/cybersecurity" TargetMode="External" Id="rId84" /><Relationship Type="http://schemas.openxmlformats.org/officeDocument/2006/relationships/hyperlink" Target="https://www.kth.se/en/studies/master/software-engineering-of-distributed-systems" TargetMode="External" Id="rId85" /><Relationship Type="http://schemas.openxmlformats.org/officeDocument/2006/relationships/hyperlink" Target="https://www.chalmers.se/en/education/find-masters-programme/data-science-and-ai-msc/" TargetMode="External" Id="rId86" /><Relationship Type="http://schemas.openxmlformats.org/officeDocument/2006/relationships/hyperlink" Target="https://www.chalmers.se/en/education/find-masters-programme/software-engineering-and-technology-msc/" TargetMode="External" Id="rId87" /><Relationship Type="http://schemas.openxmlformats.org/officeDocument/2006/relationships/hyperlink" Target="https://www.chalmers.se/en/education/find-masters-programme/interaction-design-and-technologies-msc/" TargetMode="External" Id="rId88" /><Relationship Type="http://schemas.openxmlformats.org/officeDocument/2006/relationships/hyperlink" Target="https://www.gu.se/en/study-gothenburg/game-design-technology-masters-programme-n2gdt" TargetMode="External" Id="rId89" /><Relationship Type="http://schemas.openxmlformats.org/officeDocument/2006/relationships/hyperlink" Target="https://www.uu.se/en/study/programme/masters-programme-in-computer-science" TargetMode="External" Id="rId90" /><Relationship Type="http://schemas.openxmlformats.org/officeDocument/2006/relationships/hyperlink" Target="https://www.umu.se/en/education/master/masters-programme-in-artificial-intelligence/" TargetMode="External" Id="rId91" /><Relationship Type="http://schemas.openxmlformats.org/officeDocument/2006/relationships/hyperlink" Target="https://www.his.se/en/education/" TargetMode="External" Id="rId92" /><Relationship Type="http://schemas.openxmlformats.org/officeDocument/2006/relationships/hyperlink" Target="https://www.mdu.se/en/malardalen-university/education" TargetMode="External" Id="rId93" /><Relationship Type="http://schemas.openxmlformats.org/officeDocument/2006/relationships/hyperlink" Target="https://www.mdu.se/en/malardalen-university/education" TargetMode="External" Id="rId94" /><Relationship Type="http://schemas.openxmlformats.org/officeDocument/2006/relationships/hyperlink" Target="https://www.en.aau.dk/education/master/computer-science-it" TargetMode="External" Id="rId95" /><Relationship Type="http://schemas.openxmlformats.org/officeDocument/2006/relationships/hyperlink" Target="https://www.en.aau.dk/education/master/software" TargetMode="External" Id="rId96" /><Relationship Type="http://schemas.openxmlformats.org/officeDocument/2006/relationships/hyperlink" Target="https://www.en.aau.dk/education/master/cyber-security/" TargetMode="External" Id="rId97" /><Relationship Type="http://schemas.openxmlformats.org/officeDocument/2006/relationships/hyperlink" Target="https://www.en.aau.dk/education/master/medialogy-aal" TargetMode="External" Id="rId98" /><Relationship Type="http://schemas.openxmlformats.org/officeDocument/2006/relationships/hyperlink" Target="https://www.sdu.dk/en/uddannelse/fees_and_funding/tuition" TargetMode="External" Id="rId99" /><Relationship Type="http://schemas.openxmlformats.org/officeDocument/2006/relationships/hyperlink" Target="https://www.sdu.dk/en/uddannelse/kandidat/softwareengineering" TargetMode="External" Id="rId100" /><Relationship Type="http://schemas.openxmlformats.org/officeDocument/2006/relationships/hyperlink" Target="https://www.sdu.dk/en/studyscience" TargetMode="External" Id="rId101" /><Relationship Type="http://schemas.openxmlformats.org/officeDocument/2006/relationships/hyperlink" Target="https://www.sdu.dk/en/uddannelse/kandidat/alle-kandidatuddannelser" TargetMode="External" Id="rId102" /><Relationship Type="http://schemas.openxmlformats.org/officeDocument/2006/relationships/hyperlink" Target="https://www.sdu.dk/en/uddannelse/kandidat/alle-kandidatuddannelser" TargetMode="External" Id="rId103" /><Relationship Type="http://schemas.openxmlformats.org/officeDocument/2006/relationships/hyperlink" Target="https://en.itu.dk/Programmes/MSc-Programmes/Applying-to-a-MSc-programme/Non-EU-EOES" TargetMode="External" Id="rId104" /><Relationship Type="http://schemas.openxmlformats.org/officeDocument/2006/relationships/hyperlink" Target="https://en.itu.dk/Programmes/MSc-Programmes/Applying-to-a-MSc-programme/Non-EU-EOES" TargetMode="External" Id="rId105" /><Relationship Type="http://schemas.openxmlformats.org/officeDocument/2006/relationships/hyperlink" Target="https://en.itu.dk/Programmes/MSc-Programmes/Applying-to-a-MSc-programme/Non-EU-EOES" TargetMode="External" Id="rId106" /><Relationship Type="http://schemas.openxmlformats.org/officeDocument/2006/relationships/hyperlink" Target="https://www.dtu.dk/english/education/graduate/msc-programmes/human-centered-artificial-intelligence" TargetMode="External" Id="rId107" /><Relationship Type="http://schemas.openxmlformats.org/officeDocument/2006/relationships/hyperlink" Target="https://www.dtu.dk/english/education/graduate/msc-programmes/autonomous-systems/prerequisites" TargetMode="External" Id="rId108" /><Relationship Type="http://schemas.openxmlformats.org/officeDocument/2006/relationships/hyperlink" Target="https://www.dtu.dk/english/education/graduate/msc-programmes/computer-science-and-engineering" TargetMode="External" Id="rId109" /><Relationship Type="http://schemas.openxmlformats.org/officeDocument/2006/relationships/hyperlink" Target="https://masters.au.dk/computerscience" TargetMode="External" Id="rId110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www.studierendenwerke.de/en/topics/accomodation/accommodation-and-studies" TargetMode="External" Id="rId40" /><Relationship Type="http://schemas.openxmlformats.org/officeDocument/2006/relationships/hyperlink" Target="https://www.studierendenwerk-stuttgart.de/ueber-uns/presse/pressemitteilungen/mitteilung/wohnraum-fuer-studierende-in-der-hochschulregion-stuttgart" TargetMode="External" Id="rId41" /><Relationship Type="http://schemas.openxmlformats.org/officeDocument/2006/relationships/hyperlink" Target="https://www.ru.nl/en/students/international-students/housing/housing-options/apply-for-help-with-housing" TargetMode="External" Id="rId42" /><Relationship Type="http://schemas.openxmlformats.org/officeDocument/2006/relationships/hyperlink" Target="https://www.timeshighereducation.com/cms-academic/sites/default/files/institution_downloads/2025-08/OM_BAMA_intbrochure_2026-2027_interactieve_3.pdf" TargetMode="External" Id="rId43" /><Relationship Type="http://schemas.openxmlformats.org/officeDocument/2006/relationships/hyperlink" Target="https://www.uu.nl/en/education/welcome-to-utrecht/prepare-your-stay/arrange-housing/ways-to-find-housing/uu-reserved-accommodation-progamme/reserved-accommodation-for-masters-sep-26/reserved-housing-plaza" TargetMode="External" Id="rId44" /><Relationship Type="http://schemas.openxmlformats.org/officeDocument/2006/relationships/hyperlink" Target="https://issuu.com/utwente/docs/master_programmes_university_of_twente/s/16597294" TargetMode="External" Id="rId45" /><Relationship Type="http://schemas.openxmlformats.org/officeDocument/2006/relationships/hyperlink" Target="https://www.uu.se/en/study/masters-studies/living-in-sweden/housing" TargetMode="External" Id="rId46" /><Relationship Type="http://schemas.openxmlformats.org/officeDocument/2006/relationships/hyperlink" Target="https://medarbetare.su.se/en/education/first-and-second-level/internationalisation-for-students/housing-for-international-students" TargetMode="External" Id="rId47" /><Relationship Type="http://schemas.openxmlformats.org/officeDocument/2006/relationships/hyperlink" Target="https://www.en.aau.dk/living-in-denmark/accommodation/international-students-in-copenhagen" TargetMode="External" Id="rId48" /><Relationship Type="http://schemas.openxmlformats.org/officeDocument/2006/relationships/hyperlink" Target="https://www.findunirooms.com/denmark/aalborg-university/" TargetMode="External" Id="rId49" /><Relationship Type="http://schemas.openxmlformats.org/officeDocument/2006/relationships/hyperlink" Target="https://www.york.ac.uk/study/accommodation/postgraduate/" TargetMode="External" Id="rId50" /><Relationship Type="http://schemas.openxmlformats.org/officeDocument/2006/relationships/hyperlink" Target="https://www.essex.ac.uk/life/accommodation/apply/new-students/postgraduate" TargetMode="External" Id="rId51" /><Relationship Type="http://schemas.openxmlformats.org/officeDocument/2006/relationships/hyperlink" Target="https://www.brunel.ac.uk/life/accommodation/how-to-apply" TargetMode="External" Id="rId52" /><Relationship Type="http://schemas.openxmlformats.org/officeDocument/2006/relationships/hyperlink" Target="https://www.ncl.ac.uk/accommodation/university/" TargetMode="External" Id="rId53" /><Relationship Type="http://schemas.openxmlformats.org/officeDocument/2006/relationships/hyperlink" Target="https://www.northumbria.ac.uk/study-at-northumbria/postgraduate-study/pg-info-new/postgraduate-study-living-costs/" TargetMode="External" Id="rId54" /><Relationship Type="http://schemas.openxmlformats.org/officeDocument/2006/relationships/hyperlink" Target="https://www.durham.ac.uk/colleges-and-student-experience/colleges/university/accommodation/" TargetMode="External" Id="rId55" /><Relationship Type="http://schemas.openxmlformats.org/officeDocument/2006/relationships/hyperlink" Target="https://www.palatinate.org.uk/college-accommodation-prices-increase-by-5/" TargetMode="External" Id="rId56" /><Relationship Type="http://schemas.openxmlformats.org/officeDocument/2006/relationships/hyperlink" Target="https://www.harveywjames.com/news-imperial-college-rent-guarantee-scheme-london" TargetMode="External" Id="rId57" /><Relationship Type="http://schemas.openxmlformats.org/officeDocument/2006/relationships/hyperlink" Target="https://russellgroup.ac.uk/about/our-universities/" TargetMode="External" Id="rId58" /><Relationship Type="http://schemas.openxmlformats.org/officeDocument/2006/relationships/hyperlink" Target="https://warwick.ac.uk/study/international/countryinformation/middleeast/iran/" TargetMode="External" Id="rId59" /><Relationship Type="http://schemas.openxmlformats.org/officeDocument/2006/relationships/hyperlink" Target="https://www.durham.ac.uk/study/courses/advanced-computer-science-g5t609/" TargetMode="External" Id="rId60" /><Relationship Type="http://schemas.openxmlformats.org/officeDocument/2006/relationships/hyperlink" Target="https://www.kcl.ac.uk/study-legacy/postgraduate/apply/entry-requirements/international" TargetMode="External" Id="rId61" /><Relationship Type="http://schemas.openxmlformats.org/officeDocument/2006/relationships/hyperlink" Target="https://www.imperial.ac.uk/study/courses/postgraduate-taught/computing-artificial-intelligence-msc/" TargetMode="External" Id="rId62" /><Relationship Type="http://schemas.openxmlformats.org/officeDocument/2006/relationships/hyperlink" Target="https://www.ucl.ac.uk/prospective-students/graduate/taught-degrees/computer-science-msc-2026" TargetMode="External" Id="rId63" /><Relationship Type="http://schemas.openxmlformats.org/officeDocument/2006/relationships/hyperlink" Target="https://www.bristol.ac.uk/study/postgraduate/taught/msc-data-science/" TargetMode="External" Id="rId64" /><Relationship Type="http://schemas.openxmlformats.org/officeDocument/2006/relationships/hyperlink" Target="https://www.bristol.ac.uk/international/countries/iran.html" TargetMode="External" Id="rId65" /><Relationship Type="http://schemas.openxmlformats.org/officeDocument/2006/relationships/hyperlink" Target="https://www.manchester.ac.uk/about/news/university-of-manchester-tops-uk-rankings-for-graduate-employer-interest/" TargetMode="External" Id="rId66" /><Relationship Type="http://schemas.openxmlformats.org/officeDocument/2006/relationships/hyperlink" Target="https://unilens.co.uk/insights/highest-graduate-earnings-uk-universities-2026" TargetMode="External" Id="rId67" /><Relationship Type="http://schemas.openxmlformats.org/officeDocument/2006/relationships/hyperlink" Target="https://www.gov.uk/guidance/immigration-rules/immigration-rules-appendix-atas-academic-technology-approval-scheme-atas" TargetMode="External" Id="rId68" /><Relationship Type="http://schemas.openxmlformats.org/officeDocument/2006/relationships/hyperlink" Target="https://liu.se/en/article/scholarships" TargetMode="External" Id="rId69" /><Relationship Type="http://schemas.openxmlformats.org/officeDocument/2006/relationships/hyperlink" Target="https://www.chalmers.se/en/education/application-and-admission/scholarships-for-fee-paying-students/" TargetMode="External" Id="rId70" /><Relationship Type="http://schemas.openxmlformats.org/officeDocument/2006/relationships/hyperlink" Target="https://www.mastersportal.com/scholarships/10077/halmstad-university-scholarships.html" TargetMode="External" Id="rId71" /><Relationship Type="http://schemas.openxmlformats.org/officeDocument/2006/relationships/hyperlink" Target="https://daadscholarship.com/malardalen-university-scholarships-2026-to-study-for-free-in-sweden/" TargetMode="External" Id="rId72" /><Relationship Type="http://schemas.openxmlformats.org/officeDocument/2006/relationships/hyperlink" Target="https://si.se/en/apply/scholarships/swedish-institute-scholarships-for-global-professionals/" TargetMode="External" Id="rId73" /><Relationship Type="http://schemas.openxmlformats.org/officeDocument/2006/relationships/hyperlink" Target="https://www.mastersportal.com/scholarships/988/holland-scholarship-for-non-eea-international-students.html" TargetMode="External" Id="rId74" /><Relationship Type="http://schemas.openxmlformats.org/officeDocument/2006/relationships/hyperlink" Target="https://www.en.aau.dk/education/apply/master/finance-and-fees" TargetMode="External" Id="rId75" /><Relationship Type="http://schemas.openxmlformats.org/officeDocument/2006/relationships/hyperlink" Target="https://ethz.ch/en/studies/financial/scholarships/excellencescholarship.html" TargetMode="External" Id="rId76" /><Relationship Type="http://schemas.openxmlformats.org/officeDocument/2006/relationships/hyperlink" Target="https://www.eco.usi.ch/en/feeds/9861" TargetMode="External" Id="rId77" /><Relationship Type="http://schemas.openxmlformats.org/officeDocument/2006/relationships/hyperlink" Target="https://www.essex.ac.uk/scholarships" TargetMode="External" Id="rId78" /><Relationship Type="http://schemas.openxmlformats.org/officeDocument/2006/relationships/hyperlink" Target="https://www.tees.ac.uk/sections/international/global_excellence_scholarship.cfm" TargetMode="External" Id="rId79" /><Relationship Type="http://schemas.openxmlformats.org/officeDocument/2006/relationships/hyperlink" Target="https://www.brunel.ac.uk/scholarships" TargetMode="External" Id="rId80" /><Relationship Type="http://schemas.openxmlformats.org/officeDocument/2006/relationships/hyperlink" Target="https://www.mastersportal.com/scholarships/3890/pgt-international-scholarships.html" TargetMode="External" Id="rId81" /><Relationship Type="http://schemas.openxmlformats.org/officeDocument/2006/relationships/hyperlink" Target="https://www.chevening.org/resource-hub/guidance/eligibility/" TargetMode="External" Id="rId82" /><Relationship Type="http://schemas.openxmlformats.org/officeDocument/2006/relationships/hyperlink" Target="https://www.deutschlandstipendium.de/" TargetMode="External" Id="rId83" /><Relationship Type="http://schemas.openxmlformats.org/officeDocument/2006/relationships/hyperlink" Target="https://ethz.ch/en/studies/master/application/dates.html" TargetMode="External" Id="rId84" /><Relationship Type="http://schemas.openxmlformats.org/officeDocument/2006/relationships/hyperlink" Target="https://www.epfl.ch/education/studies/en/rules-and-procedures/study-taxes/tuition-fee-other-fees/" TargetMode="External" Id="rId85" /><Relationship Type="http://schemas.openxmlformats.org/officeDocument/2006/relationships/hyperlink" Target="https://www.epfl.ch/education/admission/admission-2/master-admission-criteria-application/online-application/" TargetMode="External" Id="rId86" /><Relationship Type="http://schemas.openxmlformats.org/officeDocument/2006/relationships/hyperlink" Target="https://www.uzh.ch/en/studies/application/fees.html" TargetMode="External" Id="rId87" /><Relationship Type="http://schemas.openxmlformats.org/officeDocument/2006/relationships/hyperlink" Target="https://www.oec.uzh.ch/en/studies/general/admission/master/faq-master-admission.html" TargetMode="External" Id="rId88" /><Relationship Type="http://schemas.openxmlformats.org/officeDocument/2006/relationships/hyperlink" Target="https://www.usi.ch/en/education/master/informatics" TargetMode="External" Id="rId89" /><Relationship Type="http://schemas.openxmlformats.org/officeDocument/2006/relationships/hyperlink" Target="https://www.topuniversities.com/universities/usi-universita-della-svizzera-italiana/postgrad/master-science-artificial-intelligence" TargetMode="External" Id="rId90" /><Relationship Type="http://schemas.openxmlformats.org/officeDocument/2006/relationships/hyperlink" Target="https://www.swissuniversities.ch/en/themen/lehre-studium/information-on-studies/tuition-fees/tuition-fees-at-uas" TargetMode="External" Id="rId91" /><Relationship Type="http://schemas.openxmlformats.org/officeDocument/2006/relationships/hyperlink" Target="https://www.zhaw.ch/en/engineering/study/masters-degree-programme" TargetMode="External" Id="rId92" /><Relationship Type="http://schemas.openxmlformats.org/officeDocument/2006/relationships/hyperlink" Target="https://www.hslu.ch/en/lucerne-school-of-business/degree-programmes/master/applied-information-and-data-science/haeufig-gestellte-fragen/" TargetMode="External" Id="rId93" /><Relationship Type="http://schemas.openxmlformats.org/officeDocument/2006/relationships/hyperlink" Target="https://www.philnat.unibe.ch/studies/study_programs/master_s_in_computer_science/index_eng.html" TargetMode="External" Id="rId94" /><Relationship Type="http://schemas.openxmlformats.org/officeDocument/2006/relationships/hyperlink" Target="https://www.unibe.ch/studies/organizational_matters/renewal_of_semester_registration/fees/index_eng.html" TargetMode="External" Id="rId95" /><Relationship Type="http://schemas.openxmlformats.org/officeDocument/2006/relationships/hyperlink" Target="https://mcs.unibnf.ch/faq/" TargetMode="External" Id="rId96" /><Relationship Type="http://schemas.openxmlformats.org/officeDocument/2006/relationships/hyperlink" Target="https://www.unine.ch/admission/taxes-universitaires/" TargetMode="External" Id="rId97" /><Relationship Type="http://schemas.openxmlformats.org/officeDocument/2006/relationships/hyperlink" Target="https://www.unine.ch/admission/admission-master/delais-et-frais-dinscription-pour-les-masters/" TargetMode="External" Id="rId98" /><Relationship Type="http://schemas.openxmlformats.org/officeDocument/2006/relationships/hyperlink" Target="https://www.unifr.ch/studies/en/organisation/administrative-services-unifr-students/university-fees/" TargetMode="External" Id="rId99" /><Relationship Type="http://schemas.openxmlformats.org/officeDocument/2006/relationships/hyperlink" Target="https://www.unifr.ch/studies/en/admission/admission-master/admission-master-foreign.html" TargetMode="External" Id="rId100" /><Relationship Type="http://schemas.openxmlformats.org/officeDocument/2006/relationships/hyperlink" Target="https://dmi.unibas.ch/en/studies/computer-science/masters/" TargetMode="External" Id="rId101" /><Relationship Type="http://schemas.openxmlformats.org/officeDocument/2006/relationships/hyperlink" Target="https://www.unibas.ch/dam/jcr:28672e66-8562-4988-9e38-b1c944ed22bf/COMPUTER%20SCIENCE%202026.2026-02-05-09-53-32.pdf" TargetMode="External" Id="rId102" /><Relationship Type="http://schemas.openxmlformats.org/officeDocument/2006/relationships/hyperlink" Target="https://www.hslu.ch/en/lucerne-school-of-business/degree-programmes/master/applied-data-science-and-ai/" TargetMode="External" Id="rId103" /><Relationship Type="http://schemas.openxmlformats.org/officeDocument/2006/relationships/hyperlink" Target="https://www.usi.ch/en/education/master/informatics/application" TargetMode="External" Id="rId104" /><Relationship Type="http://schemas.openxmlformats.org/officeDocument/2006/relationships/hyperlink" Target="https://www.sem.admin.ch/sem/en/home/themen/arbeit/faq.html" TargetMode="External" Id="rId105" /><Relationship Type="http://schemas.openxmlformats.org/officeDocument/2006/relationships/hyperlink" Target="https://goldblum.ch/knowledgebase/residence-permit-in-switzerland-obtain/" TargetMode="External" Id="rId106" /><Relationship Type="http://schemas.openxmlformats.org/officeDocument/2006/relationships/hyperlink" Target="https://vshcherbakov.com/2025/06/26/Path-to-working-permit-for-Swiss-graduates/" TargetMode="External" Id="rId107" /><Relationship Type="http://schemas.openxmlformats.org/officeDocument/2006/relationships/hyperlink" Target="https://www.study-abroad.org/blog/ch-student-visa-guide/" TargetMode="External" Id="rId108" /><Relationship Type="http://schemas.openxmlformats.org/officeDocument/2006/relationships/hyperlink" Target="https://www.zhaw.ch/storage/sml/master/msc-bf-pie-information-for-international-students.pdf" TargetMode="External" Id="rId109" /><Relationship Type="http://schemas.openxmlformats.org/officeDocument/2006/relationships/hyperlink" Target="https://gradpilot.com/news/switzerland-student-visa-motivation-letter-canton-guide" TargetMode="External" Id="rId110" /><Relationship Type="http://schemas.openxmlformats.org/officeDocument/2006/relationships/hyperlink" Target="https://relofinder.ch/blog/swiss-c-permit-permanent-residence-2026-guide/" TargetMode="External" Id="rId111" /><Relationship Type="http://schemas.openxmlformats.org/officeDocument/2006/relationships/hyperlink" Target="https://www.richmondchambers.ch/post/swiss-c-permit-eligibility-required-years-of-residence-integration-expectations-and-fast-track-pa" TargetMode="External" Id="rId112" /><Relationship Type="http://schemas.openxmlformats.org/officeDocument/2006/relationships/hyperlink" Target="https://www.eda.admin.ch/countries/iran/en/home.html" TargetMode="External" Id="rId113" /><Relationship Type="http://schemas.openxmlformats.org/officeDocument/2006/relationships/hyperlink" Target="https://whatisthesalary.com/it-salaries/software-engineer-salary-in-switzerland/" TargetMode="External" Id="rId114" /><Relationship Type="http://schemas.openxmlformats.org/officeDocument/2006/relationships/hyperlink" Target="https://www.glassdoor.com/Salaries/z%C3%BCrich-junior-software-engineer-salary-SRCH_IL.0,6_IC3297851_KO7,31.htm" TargetMode="External" Id="rId115" /><Relationship Type="http://schemas.openxmlformats.org/officeDocument/2006/relationships/hyperlink" Target="https://upreer.ch/en/salaries/software-engineer-salary-zurich/" TargetMode="External" Id="rId116" /><Relationship Type="http://schemas.openxmlformats.org/officeDocument/2006/relationships/hyperlink" Target="https://www.msfinance.uzh.ch/en/studyinginzurich/accommodation.html" TargetMode="External" Id="rId117" /><Relationship Type="http://schemas.openxmlformats.org/officeDocument/2006/relationships/hyperlink" Target="https://www.iamexpat.ch/education/education-news/eth-zurich-makes-top-universities-world" TargetMode="External" Id="rId118" /><Relationship Type="http://schemas.openxmlformats.org/officeDocument/2006/relationships/hyperlink" Target="https://www.tagesanzeiger.ch/10-millionen-schweiz-resultate-der-svp-initiative-im-ticker-935664202454" TargetMode="External" Id="rId119" /><Relationship Type="http://schemas.openxmlformats.org/officeDocument/2006/relationships/hyperlink" Target="https://www.efd.admin.ch/de/entlastungspaket-27" TargetMode="External" Id="rId120" /><Relationship Type="http://schemas.openxmlformats.org/officeDocument/2006/relationships/hyperlink" Target="https://capiwell.ch/swiss-it-labour-market-2026-specialised-skills-slower-growth-and-new-openings-for-start-ups/" TargetMode="External" Id="rId121" /><Relationship Type="http://schemas.openxmlformats.org/officeDocument/2006/relationships/hyperlink" Target="https://www.xe.com/en-us/currencyconverter/convert/?Amount=1&amp;From=CHF&amp;To=USD" TargetMode="External" Id="rId122" /><Relationship Type="http://schemas.openxmlformats.org/officeDocument/2006/relationships/hyperlink" Target="https://students.leeds.ac.uk/visa-information-after-studies/doc/graduate-visas" TargetMode="External" Id="rId123" /><Relationship Type="http://schemas.openxmlformats.org/officeDocument/2006/relationships/hyperlink" Target="https://www.gov.uk/government/publications/statement-of-changes-to-the-immigration-rules-hc-584-3-september-2026" TargetMode="External" Id="rId124" /><Relationship Type="http://schemas.openxmlformats.org/officeDocument/2006/relationships/hyperlink" Target="https://withrowan.co.uk/guides/skilled-worker-software-engineers" TargetMode="External" Id="rId125" /><Relationship Type="http://schemas.openxmlformats.org/officeDocument/2006/relationships/hyperlink" Target="https://www.ukimmigration.law/earned-settlement-ilr-uk-plans/" TargetMode="External" Id="rId126" /><Relationship Type="http://schemas.openxmlformats.org/officeDocument/2006/relationships/hyperlink" Target="https://www.tees.ac.uk/postgraduate_courses/computing_&amp;_cyber_security/msc_computer_science.cfm" TargetMode="External" Id="rId127" /><Relationship Type="http://schemas.openxmlformats.org/officeDocument/2006/relationships/hyperlink" Target="https://www.northumbria.ac.uk/study-at-northumbria/courses/msc-advanced-computer-science-dtfava6/" TargetMode="External" Id="rId128" /><Relationship Type="http://schemas.openxmlformats.org/officeDocument/2006/relationships/hyperlink" Target="https://le.ac.uk/courses/advanced-computer-science-msc/2026" TargetMode="External" Id="rId129" /><Relationship Type="http://schemas.openxmlformats.org/officeDocument/2006/relationships/hyperlink" Target="https://www.essex.ac.uk/courses/pg00435/1/msc-advanced-computer-science" TargetMode="External" Id="rId130" /><Relationship Type="http://schemas.openxmlformats.org/officeDocument/2006/relationships/hyperlink" Target="https://www.york.ac.uk/study/postgraduate-taught/courses/msc-advanced-computer-science/" TargetMode="External" Id="rId131" /><Relationship Type="http://schemas.openxmlformats.org/officeDocument/2006/relationships/hyperlink" Target="https://www.chester.ac.uk/study/course-search/advanced-computer-science-msc/" TargetMode="External" Id="rId132" /><Relationship Type="http://schemas.openxmlformats.org/officeDocument/2006/relationships/hyperlink" Target="https://www.brunel.ac.uk/study/courses/artificial-intelligence-msc" TargetMode="External" Id="rId133" /><Relationship Type="http://schemas.openxmlformats.org/officeDocument/2006/relationships/hyperlink" Target="https://www.researchprofessionalnews.com/rr-news-uk-politics-2025-11-international-levy-to-be-flat-fee-of-925-per-student/" TargetMode="External" Id="rId134" /><Relationship Type="http://schemas.openxmlformats.org/officeDocument/2006/relationships/hyperlink" Target="https://livingintehran.com/2026/02/03/tehran-diplomatic-update-recent-embassy-reopenings-current-status-feb-2026/" TargetMode="External" Id="rId135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136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137" /><Relationship Type="http://schemas.openxmlformats.org/officeDocument/2006/relationships/hyperlink" Target="https://www.ncl.ac.uk/press/articles/latest/2026/06/qs2027/" TargetMode="External" Id="rId138" /><Relationship Type="http://schemas.openxmlformats.org/officeDocument/2006/relationships/hyperlink" Target="https://www.york.ac.uk/about/rankings/" TargetMode="External" Id="rId139" /><Relationship Type="http://schemas.openxmlformats.org/officeDocument/2006/relationships/hyperlink" Target="https://www.topuniversities.com/universities/university-leicester" TargetMode="External" Id="rId140" /><Relationship Type="http://schemas.openxmlformats.org/officeDocument/2006/relationships/hyperlink" Target="https://www.topuniversities.com/universities/essex-university" TargetMode="External" Id="rId141" /><Relationship Type="http://schemas.openxmlformats.org/officeDocument/2006/relationships/hyperlink" Target="https://www.topuniversities.com/universities/northumbria-university-newcastle" TargetMode="External" Id="rId142" /><Relationship Type="http://schemas.openxmlformats.org/officeDocument/2006/relationships/hyperlink" Target="https://students.brunel.ac.uk/campus-news/brunel-climbs-global-qs-rankings-after-strong-year-for-research-and-graduate-outcomes" TargetMode="External" Id="rId143" /><Relationship Type="http://schemas.openxmlformats.org/officeDocument/2006/relationships/hyperlink" Target="https://www.topuniversities.com/world-university-rankings" TargetMode="External" Id="rId144" /><Relationship Type="http://schemas.openxmlformats.org/officeDocument/2006/relationships/hyperlink" Target="https://arlettipartners.com/new-increase-in-the-dutch-minimum-hourly-wage-from-january-1st-2026/" TargetMode="External" Id="rId145" /><Relationship Type="http://schemas.openxmlformats.org/officeDocument/2006/relationships/hyperlink" Target="https://www.xe.com/" TargetMode="External" Id="rId146" /><Relationship Type="http://schemas.openxmlformats.org/officeDocument/2006/relationships/hyperlink" Target="https://www.weforum.org/stories/jobs-and-the-future-of-work/ai-has-already-added-1-3-million-new-jobs-according-to-linkedin-data/" TargetMode="External" Id="rId147" /><Relationship Type="http://schemas.openxmlformats.org/officeDocument/2006/relationships/hyperlink" Target="https://www.bitkom.org/Bitkom/Publikationen/Der-Arbeitsmarkt-fuer-IT-Fachkraefte" TargetMode="External" Id="rId148" /><Relationship Type="http://schemas.openxmlformats.org/officeDocument/2006/relationships/hyperlink" Target="https://www.isc2.org/research" TargetMode="External" Id="rId149" /><Relationship Type="http://schemas.openxmlformats.org/officeDocument/2006/relationships/hyperlink" Target="https://en.wikipedia.org/wiki/2022%E2%80%932026_video_game_industry_layoffs" TargetMode="External" Id="rId150" /><Relationship Type="http://schemas.openxmlformats.org/officeDocument/2006/relationships/hyperlink" Target="https://www.thevoiceofuser.com/everyone-knows-the-uxr-hiring-market-is-bad-how-bad-is-it-though/" TargetMode="External" Id="rId151" /><Relationship Type="http://schemas.openxmlformats.org/officeDocument/2006/relationships/hyperlink" Target="https://research.com/advice/are-too-many-students-choosing-data-science-oversaturation-competition-hiring-reality" TargetMode="External" Id="rId152" /><Relationship Type="http://schemas.openxmlformats.org/officeDocument/2006/relationships/hyperlink" Target="https://www.uni-saarland.de/en/study/programmes/master/cybersecurity.html" TargetMode="External" Id="rId153" /><Relationship Type="http://schemas.openxmlformats.org/officeDocument/2006/relationships/hyperlink" Target="https://www.uni-passau.de/en/msc-ai-eng" TargetMode="External" Id="rId154" /><Relationship Type="http://schemas.openxmlformats.org/officeDocument/2006/relationships/hyperlink" Target="https://colognegamelab.de/study-programs/post-graduate-programs/game-development-research-ma/faqs/" TargetMode="External" Id="rId155" /><Relationship Type="http://schemas.openxmlformats.org/officeDocument/2006/relationships/hyperlink" Target="https://www2.daad.de/deutschland/studienangebote/international-programmes/en/detail/4686/" TargetMode="External" Id="rId156" /><Relationship Type="http://schemas.openxmlformats.org/officeDocument/2006/relationships/hyperlink" Target="https://www.h-brs.de/en/inf/admission-application-master-autonomous-systems" TargetMode="External" Id="rId157" /><Relationship Type="http://schemas.openxmlformats.org/officeDocument/2006/relationships/hyperlink" Target="https://sc.informatik.rwth-aachen.de/en/studium/master/sse/" TargetMode="External" Id="rId158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59" /><Relationship Type="http://schemas.openxmlformats.org/officeDocument/2006/relationships/hyperlink" Target="https://www.tum.de/en/studies/degree-programs/detail/informatics-master-of-science-msc" TargetMode="External" Id="rId160" /><Relationship Type="http://schemas.openxmlformats.org/officeDocument/2006/relationships/hyperlink" Target="https://www.fau.eu/degree-program/autonomy-technologies-m-sc/" TargetMode="External" Id="rId161" /><Relationship Type="http://schemas.openxmlformats.org/officeDocument/2006/relationships/hyperlink" Target="https://www.utwente.nl/en/education/master/programmes/embedded-systems/finance/" TargetMode="External" Id="rId162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63" /><Relationship Type="http://schemas.openxmlformats.org/officeDocument/2006/relationships/hyperlink" Target="https://www.rug.nl/masters/artificial-intelligence/?lang=en" TargetMode="External" Id="rId164" /><Relationship Type="http://schemas.openxmlformats.org/officeDocument/2006/relationships/hyperlink" Target="https://www.uu.nl/en/masters/game-and-media-technology" TargetMode="External" Id="rId165" /><Relationship Type="http://schemas.openxmlformats.org/officeDocument/2006/relationships/hyperlink" Target="https://dub.uu.nl/en/news/dutch-universities-fall-global-qs-rankings" TargetMode="External" Id="rId166" /><Relationship Type="http://schemas.openxmlformats.org/officeDocument/2006/relationships/hyperlink" Target="https://www.gu.se/en/study-gothenburg/game-design-technology-masters-programme-n2gdt" TargetMode="External" Id="rId167" /><Relationship Type="http://schemas.openxmlformats.org/officeDocument/2006/relationships/hyperlink" Target="https://www.kth.se/en/studies/master/machine-learning" TargetMode="External" Id="rId168" /><Relationship Type="http://schemas.openxmlformats.org/officeDocument/2006/relationships/hyperlink" Target="https://www.umu.se/en/education/master/masters-programme-in-artificial-intelligence/" TargetMode="External" Id="rId169" /><Relationship Type="http://schemas.openxmlformats.org/officeDocument/2006/relationships/hyperlink" Target="https://www.study.eu/best-universities/sweden" TargetMode="External" Id="rId170" /><Relationship Type="http://schemas.openxmlformats.org/officeDocument/2006/relationships/hyperlink" Target="https://en.itu.dk/Programmes/MSc-Programmes/Applying-to-a-MSc-programme/Non-EU-EOES" TargetMode="External" Id="rId171" /><Relationship Type="http://schemas.openxmlformats.org/officeDocument/2006/relationships/hyperlink" Target="https://studyindenmark.dk/portal/aalborg-university-aau/copenhagen/cyber-security-msc-in-engineering" TargetMode="External" Id="rId172" /><Relationship Type="http://schemas.openxmlformats.org/officeDocument/2006/relationships/hyperlink" Target="https://www.dtu.dk/english/education/graduate/msc-programmes/autonomous-systems/prerequisites" TargetMode="External" Id="rId173" /><Relationship Type="http://schemas.openxmlformats.org/officeDocument/2006/relationships/hyperlink" Target="https://masters.au.dk/computerscience" TargetMode="External" Id="rId174" /><Relationship Type="http://schemas.openxmlformats.org/officeDocument/2006/relationships/hyperlink" Target="https://leapscholar.com/blog/top-universities-in-denmark/" TargetMode="External" Id="rId175" /><Relationship Type="http://schemas.openxmlformats.org/officeDocument/2006/relationships/hyperlink" Target="https://www.gold.ac.uk/pg/msc-computer-games-programming/" TargetMode="External" Id="rId176" /><Relationship Type="http://schemas.openxmlformats.org/officeDocument/2006/relationships/hyperlink" Target="https://www.royalholloway.ac.uk/studying-here/postgraduate/information-security/information-and-cyber-security/" TargetMode="External" Id="rId177" /><Relationship Type="http://schemas.openxmlformats.org/officeDocument/2006/relationships/hyperlink" Target="https://www.kent.ac.uk/courses/postgraduate/1225/cyber-security" TargetMode="External" Id="rId178" /><Relationship Type="http://schemas.openxmlformats.org/officeDocument/2006/relationships/hyperlink" Target="https://www.mmu.ac.uk/study/postgraduate/course/msc-cyber-security" TargetMode="External" Id="rId179" /><Relationship Type="http://schemas.openxmlformats.org/officeDocument/2006/relationships/hyperlink" Target="https://www.york.ac.uk/study/postgraduate-taught/courses/msc-human-centred-interactive-technologies/" TargetMode="External" Id="rId180" /><Relationship Type="http://schemas.openxmlformats.org/officeDocument/2006/relationships/hyperlink" Target="https://www.lancaster.ac.uk/study/postgraduate/postgraduate-courses/cyber-security-msc/2026/" TargetMode="External" Id="rId181" /><Relationship Type="http://schemas.openxmlformats.org/officeDocument/2006/relationships/hyperlink" Target="https://collegedunia.com/uk/university/862-nottingham-trent-university-nottingham/ranking" TargetMode="External" Id="rId182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83" /><Relationship Type="http://schemas.openxmlformats.org/officeDocument/2006/relationships/hyperlink" Target="https://www.uni-passau.de/en/study/news/news/no-tuition-fees-for-international-students-at-the-university-of-passau" TargetMode="External" Id="rId184" /><Relationship Type="http://schemas.openxmlformats.org/officeDocument/2006/relationships/hyperlink" Target="https://masters.au.dk/tuitionfees/current-tuition-fee-rates" TargetMode="External" Id="rId185" /><Relationship Type="http://schemas.openxmlformats.org/officeDocument/2006/relationships/hyperlink" Target="https://www.en.aau.dk/education/master/computer-science-it" TargetMode="External" Id="rId186" /><Relationship Type="http://schemas.openxmlformats.org/officeDocument/2006/relationships/hyperlink" Target="https://collegedunia.com/sweden/university/769-chalmers-university-of-technology-gothenburg/programs?stream_id=48&amp;degree_type=Master" TargetMode="External" Id="rId187" /><Relationship Type="http://schemas.openxmlformats.org/officeDocument/2006/relationships/hyperlink" Target="https://www.surrey.ac.uk/postgraduate/cyber-security-msc" TargetMode="External" Id="rId188" /><Relationship Type="http://schemas.openxmlformats.org/officeDocument/2006/relationships/hyperlink" Target="https://www.topuniversities.com/universities/newcastle-university/postgrad/msc-computer-game-engineering" TargetMode="External" Id="rId189" /><Relationship Type="http://schemas.openxmlformats.org/officeDocument/2006/relationships/hyperlink" Target="https://www.tue.nl/en/education/become-a-tue-student/tuition-fees" TargetMode="External" Id="rId190" /><Relationship Type="http://schemas.openxmlformats.org/officeDocument/2006/relationships/hyperlink" Target="https://wanaen.com/ielts-testing-to-be-suspended-in-iran/" TargetMode="External" Id="rId191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192" /><Relationship Type="http://schemas.openxmlformats.org/officeDocument/2006/relationships/hyperlink" Target="https://zandienglish.ir/toefl-in-iran/" TargetMode="External" Id="rId193" /><Relationship Type="http://schemas.openxmlformats.org/officeDocument/2006/relationships/hyperlink" Target="https://www.zoomit.ir/iran-news/464136-exit-permit-bond-sakha-1405/" TargetMode="External" Id="rId194" /><Relationship Type="http://schemas.openxmlformats.org/officeDocument/2006/relationships/hyperlink" Target="https://www.umu.se/en/education/application-and-admission/key-dates-and-deadlines/" TargetMode="External" Id="rId195" /><Relationship Type="http://schemas.openxmlformats.org/officeDocument/2006/relationships/hyperlink" Target="https://www.uni-stuttgart.de/en/study/study-programs/Computer-Science-M.Sc.-00001/" TargetMode="External" Id="rId196" /><Relationship Type="http://schemas.openxmlformats.org/officeDocument/2006/relationships/hyperlink" Target="https://www.uni-passau.de/en/apply/apply-with-intl-qualifications" TargetMode="External" Id="rId197" /><Relationship Type="http://schemas.openxmlformats.org/officeDocument/2006/relationships/hyperlink" Target="https://www.en.aau.dk/education/apply/master/how-and-when-to-apply" TargetMode="External" Id="rId198" /><Relationship Type="http://schemas.openxmlformats.org/officeDocument/2006/relationships/hyperlink" Target="https://www.sdu.dk/en/uddannelse/kandidat/datalogi" TargetMode="External" Id="rId199" /><Relationship Type="http://schemas.openxmlformats.org/officeDocument/2006/relationships/hyperlink" Target="https://www.ru.nl/en/education/application-and-admission/application-procedure-masters/deadlines" TargetMode="External" Id="rId200" /><Relationship Type="http://schemas.openxmlformats.org/officeDocument/2006/relationships/hyperlink" Target="https://collegedunia.com/netherlands/university/749-university-of-twente-enschede/admission" TargetMode="External" Id="rId2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</t>
        </is>
      </c>
    </row>
    <row r="7">
      <c r="A7" s="2" t="inlineStr">
        <is>
          <t>۵ب</t>
        </is>
      </c>
      <c r="B7" s="3" t="inlineStr">
        <is>
          <t>بورس / تخفیف شهریهٔ واقعاً در دسترسِ شما (غیر-EU، معدل ۱۵.۷۷ ≈ ۷۹٪، ورودی ۲۰۲۷)</t>
        </is>
      </c>
      <c r="C7" s="4" t="inlineStr">
        <is>
          <t>شهریه‌ای نیست که تخفیف بخورد؛ بورس ارشد هم عملاً نیست:
• Deutschlandstipendium: €300/ماه، بعد از ثبت‌نام، ≈ ۱–۳٪ دانشجویان
• DAAD برای ارشد معمولی CS بورس ندارد (فقط فهرست توسعه‌محور EPOS)
• Stuttgart (BW): قانون اجازهٔ معافیت حداکثر ۵٪ «استعدادهای ویژه» از €1,500/ترم را می‌دهد — سالانه اعلام می‌شود؛ FAU هنوز طرح معافیت برای شهریهٔ جدید نداده
اثر روی هزینهٔ شما: ≈ صفر (از قبل ارزان‌ترین است)</t>
        </is>
      </c>
      <c r="D7" s="4" t="inlineStr">
        <is>
          <t>• NL Scholarship (سابقاً Holland): €5,000 یک‌بار در سال اول، از طریق دانشگاه‌های عضو؛ مهلت ۱ فوریه یا ۱ می (بسته به دانشگاه) — با معدل شما شدنی‌ترین
• UTS Twente: €3,000–22,000/سال فقط برای «بهترین‌ها» (۱۵ اکتبر – ۱ آوریل) → Reach
• Radboud Scholarship Programme: شهریه تا سطح EU (≈ €2,600) + ویزا/بیمه؛ ۳۱ ژانویه؛ بسیار رقابتی → Reach
• TU/e ALSP، Utrecht/Leiden/UvA Excellence: ۱۰٪ بالای کلاس → نه
اثر: حداکثر −€5k از $75–90k</t>
        </is>
      </c>
      <c r="E7" s="4" t="inlineStr">
        <is>
          <t>قوی‌ترین کشور جدول، ولی درهای اصلی برای معدل ۷۹٪ نیمه‌باز است:
• LiU: معمولاً ۵۰٪ شهریه، فقط اگر LiU اولویت ۱ باشد؛ ⚠️ از ۲۰۲۶ فقط GPA ≥ 3.5/4 یا «first/high second class» — معدل شما (≈ 3.1/4) احتمالاً زیر خط
• Chalmers IPOET ۷۵٪ (≈ ۳۵ بورس؛ فرم جدا تا ۱۵ ژانویه): حداقل معدل ۸۰٪ — شما ۷۸.۹٪ = دقیقاً زیر خط
• KTH Scholarship: شهریهٔ کامل، چند ده نفر، ۱ دسامبر – ۱۵ ژانویه → Reach
• Halmstad ۲۵٪/۵۰٪ (پنجرهٔ ≈ ۹–۲۵ فوریه) و MDU تا ۱۰۰٪ (اولویت ۱؛ معدود) — واقع‌بینانه‌ترین‌ها برای شما
• ⚠️ بورس دولتی SI: ایران جزو ۳۴ کشور واجد شرایط نیست
اثر: با ۵۰٪ در Halmstad/MDU کل دوره از $54–65k به ≈ $40–48k می‌رسد — نزدیک به انگلستان</t>
        </is>
      </c>
      <c r="F7" s="4" t="inlineStr">
        <is>
          <t>Danish Government Scholarship = معافیت شهریه (+ گاهی کمک‌هزینه) که خودِ دانشگاه از سهمیهٔ دولتی می‌دهد؛ فرم جدا ندارد — همهٔ غیر-EUها خودکار بررسی می‌شوند:
• AAU: ≈ ۱۵ بورس/سال = معافیت کامل + DKK 11,225/ماه (۲۰۲۶)
• SDU: فقط بعضی ارشدهای مهندسی، معافیت کامل، معدود
• ITU/DTU/Aarhus: تعداد کم، رقابتی
شانس واقعی با معدل ۷۹٪: پایین؛ روی آن برنامه نریزید (خود AAU هم همین را می‌گوید)
اثر روی برنامه‌ریزی: صفر مگر برنده شوید</t>
        </is>
      </c>
      <c r="G7" s="4" t="inlineStr">
        <is>
          <t>• ETH Excellence (ESOP): معافیت + CHF 12,000/ترم؛ ≈ ۶۰ بورس؛ فقط ۱۰٪ بالای کلاس؛ همراه اپلای ۱–۳۰ نوامبر → با معدل شما نه
• EPFL Excellence Fellowship: ≈ CHF 16,000/سال؛ درصد بالای کلاس → نه
• USI: ۶۰ بورس یک‌بارهٔ CHF 4,000 (= نصف شهریهٔ سال اول) برای معدل ≥ ۸۰/۱۰۰ — شما ۷۸.۹ → مرزی؛ + ۲۰ بورس سال دوم برای بهترینِ هر برنامه
• Neuchâtel/Fribourg/Bern/Basel/UZH/ZHAW/HSLU: بورس ارشد برای خارجی‌ها ندارند (کمک کانتونی فقط برای مقیم‌ها)
• بورس دولت سوئیس (ESKAS): فقط دکترا/پژوهش
اثر: ≈ صفر (مسئلهٔ سوئیس هزینهٔ زندگی است، نه شهریه)</t>
        </is>
      </c>
      <c r="H7" s="4" t="inlineStr">
        <is>
          <t>تخفیف‌های خودکار دانشگاهی (بدون فرم) — همین‌ها واقعی‌اند:
• Essex: جدول کشوری؛ ایران با ≥ ۱۴/۲۰ → £4,500 تخفیف شهریه (شما واجد شرایط؛ جدول ۲۰۲۵–۲۶ — نسخهٔ ۲۰۲۶–۲۷ را چک کنید)
• Teesside Global Excellence: £2,000 (صلاحدیدی؛ پیشنهاد تا ۳۰ آوریل)
• Brunel VC Award: £6,000 فقط با معادل 2:1 (+ ودیعهٔ £5,000) — برای ایران معمولاً ≥ ۱۶/۲۰؛ برای شما مرزی، از پذیرش بپرسید
• Northumbria £3,000: فقط فهرست کشوری/ادامه‌تحصیلی‌های داخل UK — ایران نه
• Leicester/York: بورس‌های بین‌المللی محدود و رقابتی
• ❌ Chevening: ۲ سال کار *بعد از* مدرک + تعهد بازگشت ۲ ساله — با فارغ‌التحصیلی ۲۰۲۶ و هدف مهاجرت نمی‌خواند · ❌ GREAT: ایران در فهرست نیست · ❌ Commonwealth
اثر: Essex −$6k، Teesside −$2.6k از $38–65k</t>
        </is>
      </c>
      <c r="I7" s="5" t="inlineStr">
        <is>
          <t>liu.se (Scholarships؛ شرط جدید ۲۰۲۶)؛ chalmers.se (IPOET ≥ ۸۰٪)؛ hh.se؛ mdu.se؛ si.se (۳۴ کشور)؛ NL Scholarship (Nuffic/studyinnl)؛ utwente.nl؛ ru.nl؛ en.aau.dk (Finance and fees: ≈ ۱۵ بورس، DKK 11,225/ماه)؛ sdu.dk؛ ethz.ch (ESOP)؛ epfl.ch؛ usi.ch / Fondazione per le Facoltà di Lugano؛ essex.ac.uk؛ tees.ac.uk؛ brunel.ac.uk؛ northumbria.ac.uk؛ chevening.org (Eligibility)؛ deutschlandstipendium.de — ⚠️ مبالغ چرخهٔ ۲۰۲۶/۲۷؛ برای ۲۰۲۷/۲۸ موقع اپلای دوباره ببینید. این ردیف امتیاز ردیف ۲۸ را عوض نمی‌کند (امتیازها با قیمت کامل حساب شده‌اند)</t>
        </is>
      </c>
    </row>
    <row r="8">
      <c r="A8" s="2" t="inlineStr">
        <is>
          <t>۶</t>
        </is>
      </c>
      <c r="B8" s="3" t="inlineStr">
        <is>
          <t>هزینه زندگی ماهانه واقعی دانشجو (و حداقل قانونی ویزا ۲۰۲۶)</t>
        </is>
      </c>
      <c r="C8" s="4" t="inlineStr">
        <is>
          <t>€950–1,250 (Dresden/Erlangen ارزان‌تر؛ Stuttgart/Darmstadt گران‌تر)
حداقل حساب مسدود: €992/ماه</t>
        </is>
      </c>
      <c r="D8" s="4" t="inlineStr">
        <is>
          <t>€1,100–1,500 در Enschede/Nijmegen
حداقل IND: €1,130.77/ماه</t>
        </is>
      </c>
      <c r="E8" s="4" t="inlineStr">
        <is>
          <t>SEK 10,700–13,000 (≈ €950–1,150)
حداقل Migrationsverket: SEK 10,656/ماه</t>
        </is>
      </c>
      <c r="F8" s="4" t="inlineStr">
        <is>
          <t>DKK 8,000–10,000 (≈ €1,070–1,340) در Aalborg/Odense
حداقل SIRI: DKK 7,426/ماه</t>
        </is>
      </c>
      <c r="G8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8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8" s="5" t="inlineStr">
        <is>
          <t>make-it-in-germany.com؛ ind.nl؛ migrationsverket.se؛ nyidanmark.dk؛ sem.admin.ch؛ gov.uk (HC 584)</t>
        </is>
      </c>
    </row>
    <row r="9">
      <c r="A9" s="2" t="inlineStr">
        <is>
          <t>۷</t>
        </is>
      </c>
      <c r="B9" s="3" t="inlineStr">
        <is>
          <t>هزینه سال اول = شهریه + ۱۲ ماه زندگی (دلار)</t>
        </is>
      </c>
      <c r="C9" s="4" t="inlineStr">
        <is>
          <t>$13,000–18,000 (Stuttgart تا $20,500؛ FAU از ۲۰۲۷ تا ≈ $26,000)</t>
        </is>
      </c>
      <c r="D9" s="4" t="inlineStr">
        <is>
          <t>$37,500–45,000</t>
        </is>
      </c>
      <c r="E9" s="4" t="inlineStr">
        <is>
          <t>$27,000–32,500</t>
        </is>
      </c>
      <c r="F9" s="4" t="inlineStr">
        <is>
          <t>$31,500–38,000</t>
        </is>
      </c>
      <c r="G9" s="4" t="inlineStr">
        <is>
          <t>$23,000–42,000 (Neuchâtel/Fribourg $23–31k · Lucerne $26–32k · Bern $27–35k · Lugano/Lausanne $30–37k · Zürich $30–42k)</t>
        </is>
      </c>
      <c r="H9" s="4" t="inlineStr">
        <is>
          <t>$38,000–65,000 (Teesside $38–42k · Northumbria $44–48k · Leicester/Essex $48–54k · Brunel/London $55–61k · York $60–65k)</t>
        </is>
      </c>
      <c r="I9" s="5" t="inlineStr">
        <is>
          <t>محاسبه از ردیف‌های ۴ و ۶؛ بدون بلیت، ویزا، بیمه، ودیعه (۱۰–۱۵٪ اضافه کنید)</t>
        </is>
      </c>
    </row>
    <row r="10">
      <c r="A10" s="2" t="inlineStr">
        <is>
          <t>۸</t>
        </is>
      </c>
      <c r="B10" s="3" t="inlineStr">
        <is>
          <t>هزینه کل تا فارغ‌التحصیلی (شهریه × سال‌ها + زندگی) — مهم‌ترین عدد مالی</t>
        </is>
      </c>
      <c r="C10" s="4" t="inlineStr">
        <is>
          <t>$27,000–36,000 (۲ سال؛ Stuttgart تا $41,000؛ FAU از ۲۰۲۷ تا ≈ $53,000) — ارزان‌ترین</t>
        </is>
      </c>
      <c r="D10" s="4" t="inlineStr">
        <is>
          <t>$75,000–90,000 (۲ سال) — گران‌ترین</t>
        </is>
      </c>
      <c r="E10" s="4" t="inlineStr">
        <is>
          <t>$54,000–65,000 (۲ سال)</t>
        </is>
      </c>
      <c r="F10" s="4" t="inlineStr">
        <is>
          <t>$63,000–76,000 (۲ سال)</t>
        </is>
      </c>
      <c r="G10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10" s="4" t="inlineStr">
        <is>
          <t>$38,000–65,000 (۱ سال)</t>
        </is>
      </c>
      <c r="I10" s="5" t="inlineStr">
        <is>
          <t>محاسبه؛ جدول اول فقط سال اول را مقایسه کرده بود</t>
        </is>
      </c>
    </row>
    <row r="11">
      <c r="A11" s="2" t="inlineStr">
        <is>
          <t>۹</t>
        </is>
      </c>
      <c r="B11" s="3" t="inlineStr">
        <is>
          <t>سازگاری با بودجه $32,000 در سال</t>
        </is>
      </c>
      <c r="C11" s="4" t="inlineStr">
        <is>
          <t>✅ کاملاً (حتی Stuttgart)</t>
        </is>
      </c>
      <c r="D11" s="4" t="inlineStr">
        <is>
          <t>❌ کسری $5,500–13,000 در هر سال</t>
        </is>
      </c>
      <c r="E11" s="4" t="inlineStr">
        <is>
          <t>✅ (Linköping دقیقاً مرزی)</t>
        </is>
      </c>
      <c r="F11" s="4" t="inlineStr">
        <is>
          <t>⚠️ مرزی؛ AAU تقریباً در بودجه، SDU کسری تا ≈ $6,000 در سال</t>
        </is>
      </c>
      <c r="G11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1" s="4" t="inlineStr">
        <is>
          <t>❌ کسری $6,000–33,000 (کمترین: Teesside ≈ $6–10k؛ Northumbria ≈ $12–16k)</t>
        </is>
      </c>
      <c r="I11" s="5" t="inlineStr">
        <is>
          <t>محاسبه از ردیف ۷</t>
        </is>
      </c>
    </row>
    <row r="12">
      <c r="A12" s="2" t="inlineStr">
        <is>
          <t>۱۰</t>
        </is>
      </c>
      <c r="B12" s="3" t="inlineStr">
        <is>
          <t>مسکن در بدو ورود</t>
        </is>
      </c>
      <c r="C12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2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2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2" s="4" t="inlineStr">
        <is>
          <t>دفتر اسکان بین‌المللی AAU/SDU؛ Aalborg و Odense نسبتاً در دسترس.</t>
        </is>
      </c>
      <c r="G12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2" s="4" t="inlineStr">
        <is>
          <t>معمولاً تضمین خوابگاه سال اول برای بین‌المللی‌ها اگر تا مهلت درخواست دهید.</t>
        </is>
      </c>
      <c r="I12" s="5" t="inlineStr">
        <is>
          <t>سایت دانشگاه‌ها؛ hh.se (Find Accommodation)؛ liu.se</t>
        </is>
      </c>
    </row>
    <row r="13">
      <c r="A13" s="2" t="inlineStr">
        <is>
          <t>۱۱</t>
        </is>
      </c>
      <c r="B13" s="3" t="inlineStr">
        <is>
          <t>سقف قانونی کار دانشجویی</t>
        </is>
      </c>
      <c r="C13" s="4" t="inlineStr">
        <is>
          <t>۱۴۰ روز کامل یا ۲۸۰ نیم‌روز در سال (Werkstudent تا ۲۰ ساعت/هفته در ترم)</t>
        </is>
      </c>
      <c r="D13" s="4" t="inlineStr">
        <is>
          <t>۱۶ ساعت/هفته (کارفرما TWV می‌گیرد) یا تمام‌وقت در ژوئن–اوت</t>
        </is>
      </c>
      <c r="E13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3" s="4" t="inlineStr">
        <is>
          <t>۹۰ ساعت/ماه (سپتامبر–مه) + تمام‌وقت ژوئن–اوت</t>
        </is>
      </c>
      <c r="G13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3" s="4" t="inlineStr">
        <is>
          <t>۲۰ ساعت/هفته در ترم؛ تمام‌وقت در تعطیلات</t>
        </is>
      </c>
      <c r="I13" s="5" t="inlineStr">
        <is>
          <t>make-it-in-germany.com؛ ind.nl؛ migrationsverket.se (خبر ۲۵ مه ۲۰۲۶)؛ nyidanmark.dk؛ sem.admin.ch؛ gov.uk</t>
        </is>
      </c>
    </row>
    <row r="14">
      <c r="A14" s="2" t="inlineStr">
        <is>
          <t>۱۲</t>
        </is>
      </c>
      <c r="B14" s="3" t="inlineStr">
        <is>
          <t>درآمد واقع‌بینانه کار حین تحصیل (ناخالص، ماهانه)</t>
        </is>
      </c>
      <c r="C14" s="4" t="inlineStr">
        <is>
          <t>€1,000–1,600 (Werkstudent فنی €15–20/ساعت؛ برای رشته شما فراوان)</t>
        </is>
      </c>
      <c r="D14" s="4" t="inlineStr">
        <is>
          <t>تا ≈ €1,000 (۱۶ ساعت × €14.71)؛ یافتن کارفرمای TWV‌گیر سخت</t>
        </is>
      </c>
      <c r="E14" s="4" t="inlineStr">
        <is>
          <t>€300–800 (سقف ۱۵ ساعت؛ کار برای غیرسوئدی‌زبان کمیاب)</t>
        </is>
      </c>
      <c r="F14" s="4" t="inlineStr">
        <is>
          <t>DKK 8,000–12,000 (€1,070–1,600) اگر کار پیدا شود؛ اکثر کارهای خدماتی دانمارکی می‌خواهند</t>
        </is>
      </c>
      <c r="G14" s="4" t="inlineStr">
        <is>
          <t>بعد از ماه ششم: ≈ CHF 1,300–1,800 (۱۵ ساعت × CHF 22–28؛ دستیاری آموزشی/پژوهشی در ETH/UZH/ZHAW رایج)</t>
        </is>
      </c>
      <c r="H14" s="4" t="inlineStr">
        <is>
          <t>تا ≈ £1,100 (۲۰ ساعت × £12.71)</t>
        </is>
      </c>
      <c r="I14" s="5" t="inlineStr">
        <is>
          <t>حداقل دستمزدهای ۲۰۲۶؛ برآورد. درآمد دانشجویی را در تأمین مالی ویزا حساب نکنید.</t>
        </is>
      </c>
    </row>
    <row r="15">
      <c r="A15" s="2" t="inlineStr">
        <is>
          <t>۱۳</t>
        </is>
      </c>
      <c r="B15" s="3" t="inlineStr">
        <is>
          <t>زبان محیط کار فنی (IT)</t>
        </is>
      </c>
      <c r="C15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5" s="4" t="inlineStr">
        <is>
          <t>انگلیسی در tech رایج و کافی؛ نه ۱۰۰٪.</t>
        </is>
      </c>
      <c r="E15" s="4" t="inlineStr">
        <is>
          <t>انگلیسی در tech رایج (Stockholm، Göteborg)؛ بازار ۲۰۲۴–۲۶ ضعیف (بیکاری ≈ ۹٪).</t>
        </is>
      </c>
      <c r="F15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5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5" s="4" t="inlineStr">
        <is>
          <t>۱۰۰٪ انگلیسی؛ بازار جونیور ۲۰۲۵–۲۶ بسیار رقابتی.</t>
        </is>
      </c>
      <c r="I15" s="5" t="inlineStr">
        <is>
          <t>workindenmark.dk؛ آگهی‌های StepStone/LinkedIn؛ ارزیابی</t>
        </is>
      </c>
    </row>
    <row r="16">
      <c r="A16" s="2" t="inlineStr">
        <is>
          <t>۱۴</t>
        </is>
      </c>
      <c r="B16" s="3" t="inlineStr">
        <is>
          <t>زبان برای امور اداری و زندگی روزمره</t>
        </is>
      </c>
      <c r="C16" s="4" t="inlineStr">
        <is>
          <t>قانوناً برای تحصیل لازم نیست؛ عملاً A2–B1 (اداره اتباع، اجاره، بیمه، مالیات).</t>
        </is>
      </c>
      <c r="D16" s="4" t="inlineStr">
        <is>
          <t>انگلیسی کافی؛ نامه‌های رسمی هلندی.</t>
        </is>
      </c>
      <c r="E16" s="4" t="inlineStr">
        <is>
          <t>انگلیسی کافی.</t>
        </is>
      </c>
      <c r="F16" s="4" t="inlineStr">
        <is>
          <t>انگلیسی روزمره کافی؛ سامانه‌ها و نامه‌ها دانمارکی.</t>
        </is>
      </c>
      <c r="G16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6" s="4" t="inlineStr">
        <is>
          <t>انگلیسی.</t>
        </is>
      </c>
      <c r="I16" s="5" t="inlineStr">
        <is>
          <t>تجربه عمومی؛ ارزیابی</t>
        </is>
      </c>
    </row>
    <row r="17">
      <c r="A17" s="2" t="inlineStr">
        <is>
          <t>۱۵</t>
        </is>
      </c>
      <c r="B17" s="3" t="inlineStr">
        <is>
          <t>مجوز اقامت پس از تحصیل برای جست‌وجوی کار</t>
        </is>
      </c>
      <c r="C17" s="4" t="inlineStr">
        <is>
          <t>۱۸ ماه (§20 AufenthG) — هر کاری مجاز</t>
        </is>
      </c>
      <c r="D17" s="4" t="inlineStr">
        <is>
          <t>۱۲ ماه (zoekjaar) — تا ۳ سال بعد از مدرک قابل درخواست؛ €254</t>
        </is>
      </c>
      <c r="E17" s="4" t="inlineStr">
        <is>
          <t>۱۲ ماه — با اثبات تمکن SEK 10,656/ماه برای کل دوره</t>
        </is>
      </c>
      <c r="F17" s="4" t="inlineStr">
        <is>
          <t>۳ سال، خودکار همراه مجوز تحصیلی برای ارشد state-approved (AAU/SDU) — تا گرفتن «مجوز کار نامحدود» فقط ۹۰ ساعت/ماه</t>
        </is>
      </c>
      <c r="G17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7" s="4" t="inlineStr">
        <is>
          <t>۱۸ ماه Graduate visa برای درخواست‌های از ۱ ژانویه ۲۰۲۷ — £937 + IHS £1,035/سال</t>
        </is>
      </c>
      <c r="I17" s="5" t="inlineStr">
        <is>
          <t>make-it-in-germany.com؛ ind.nl؛ migrationsverket.se؛ nyidanmark.dk؛ sem.admin.ch؛ gov.uk (Statement of Changes ۱۴ اکتبر ۲۰۲۵)</t>
        </is>
      </c>
    </row>
    <row r="18">
      <c r="A18" s="2" t="inlineStr">
        <is>
          <t>۱۶</t>
        </is>
      </c>
      <c r="B18" s="3" t="inlineStr">
        <is>
          <t>حداقل حقوق برای ویزای کار (سطوح ۲۰۲۶)</t>
        </is>
      </c>
      <c r="C18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8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8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8" s="4" t="inlineStr">
        <is>
          <t>Positive List (مشاغل IT): کف ثابت ندارد (حقوق مطابق استاندارد دانمارکی)
Pay Limit: DKK 552,000 · Supplementary: DKK 446,000</t>
        </is>
      </c>
      <c r="G18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8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8" s="5" t="inlineStr">
        <is>
          <t>make-it-in-germany.com؛ ind.nl؛ migrationsverket.se؛ nyidanmark.dk؛ sem.admin.ch (Art. 21 FNIA)؛ gov.uk Appendix Skilled Occupations</t>
        </is>
      </c>
    </row>
    <row r="19">
      <c r="A19" s="2" t="inlineStr">
        <is>
          <t>۱۷</t>
        </is>
      </c>
      <c r="B19" s="3" t="inlineStr">
        <is>
          <t>حقوق ورودی جونیور توسعه‌دهنده (ناخالص سالانه، ۲۰۲۶)</t>
        </is>
      </c>
      <c r="C19" s="4" t="inlineStr">
        <is>
          <t>€48,000–55,000 (با ارشد ≈ €55k)</t>
        </is>
      </c>
      <c r="D19" s="4" t="inlineStr">
        <is>
          <t>€40,000–50,000 (Amsterdam بالاتر)</t>
        </is>
      </c>
      <c r="E19" s="4" t="inlineStr">
        <is>
          <t>SEK 420,000–540,000 (35–45 هزار در ماه)</t>
        </is>
      </c>
      <c r="F19" s="4" t="inlineStr">
        <is>
          <t>DKK 500,000–540,000 (IDA 2026: تازه‌فارغ‌التحصیل ≈ DKK 43,800/ماه با بازنشستگی)</t>
        </is>
      </c>
      <c r="G19" s="4" t="inlineStr">
        <is>
          <t>CHF 85,000–105,000 (≈ $103–127k؛ میانهٔ Glassdoor زوریخ CHF 92k؛ ETH/EPFL 90–118k؛ Big Tech CHF 110–165k) — بالاترین در بین ۶ کشور</t>
        </is>
      </c>
      <c r="H19" s="4" t="inlineStr">
        <is>
          <t>£28,000–35,000 خارج لندن (Manchester/Leeds/Newcastle)؛ London £32,000–45,000 — اغلب زیر کف اسپانسری £38,290</t>
        </is>
      </c>
      <c r="I19" s="5" t="inlineStr">
        <is>
          <t>StepStone؛ Glassdoor؛ IDA؛ Reed — برآورد بازار، نه آمار رسمی</t>
        </is>
      </c>
    </row>
    <row r="20">
      <c r="A20" s="2" t="inlineStr">
        <is>
          <t>۱۸</t>
        </is>
      </c>
      <c r="B20" s="3" t="inlineStr">
        <is>
          <t>خالص ماهانه تقریبی (بعد از مالیات)</t>
        </is>
      </c>
      <c r="C20" s="4" t="inlineStr">
        <is>
          <t>€2,700–3,000</t>
        </is>
      </c>
      <c r="D20" s="4" t="inlineStr">
        <is>
          <t>€2,700–3,100 (بدون قاعده ۳۰٪)</t>
        </is>
      </c>
      <c r="E20" s="4" t="inlineStr">
        <is>
          <t>€2,500–2,900 (SEK 29–33 هزار)</t>
        </is>
      </c>
      <c r="F20" s="4" t="inlineStr">
        <is>
          <t>€3,300–3,700 (DKK 25–27.5 هزار)</t>
        </is>
      </c>
      <c r="G20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20" s="4" t="inlineStr">
        <is>
          <t>£2,000–2,500</t>
        </is>
      </c>
      <c r="I20" s="5" t="inlineStr">
        <is>
          <t>ماشین‌حساب‌های مالیاتی ۲۰۲۶ (کلاس مالیاتی مجرد)</t>
        </is>
      </c>
    </row>
    <row r="21">
      <c r="A21" s="2" t="inlineStr">
        <is>
          <t>۱۹</t>
        </is>
      </c>
      <c r="B21" s="3" t="inlineStr">
        <is>
          <t>پس‌انداز ماهانه تخمینی جونیور (خالص − هزینه زندگی یک نفر شاغل)</t>
        </is>
      </c>
      <c r="C21" s="4" t="inlineStr">
        <is>
          <t>€1,000–1,500</t>
        </is>
      </c>
      <c r="D21" s="4" t="inlineStr">
        <is>
          <t>€700–1,200</t>
        </is>
      </c>
      <c r="E21" s="4" t="inlineStr">
        <is>
          <t>€900–1,400</t>
        </is>
      </c>
      <c r="F21" s="4" t="inlineStr">
        <is>
          <t>€1,100–1,600</t>
        </is>
      </c>
      <c r="G21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1" s="4" t="inlineStr">
        <is>
          <t>£400–900</t>
        </is>
      </c>
      <c r="I21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2">
      <c r="A22" s="2" t="inlineStr">
        <is>
          <t>۲۰</t>
        </is>
      </c>
      <c r="B22" s="3" t="inlineStr">
        <is>
          <t>اقامت دائم (PR) — زمان و شرط اصلی</t>
        </is>
      </c>
      <c r="C22" s="4" t="inlineStr">
        <is>
          <t>۲ سال کار برای فارغ‌التحصیل آلمان با B1 (§18c)؛ بلوکارت: ۲۱ ماه با B1 / ۲۷ ماه با A1</t>
        </is>
      </c>
      <c r="D22" s="4" t="inlineStr">
        <is>
          <t>۵ سال اقامت قانونی (سال‌های تحصیل نصف حساب می‌شود) + inburgering</t>
        </is>
      </c>
      <c r="E22" s="4" t="inlineStr">
        <is>
          <t>۴ سال مجوز کار در ۷ سال اخیر + خودکفایی (تحصیل حساب نمی‌شود)</t>
        </is>
      </c>
      <c r="F22" s="4" t="inlineStr">
        <is>
          <t>۸ سال (یا ۴ سال با هر ۴ شرط تکمیلی) + ۳.۵ سال کار تمام‌وقت در ۴ سال اخیر</t>
        </is>
      </c>
      <c r="G22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2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2" s="5" t="inlineStr">
        <is>
          <t>make-it-in-germany.com؛ ind.nl؛ migrationsverket.se؛ nyidanmark.dk؛ sem.admin.ch؛ gov.uk / Home Affairs Committee</t>
        </is>
      </c>
    </row>
    <row r="23">
      <c r="A23" s="2" t="inlineStr">
        <is>
          <t>۲۱</t>
        </is>
      </c>
      <c r="B23" s="3" t="inlineStr">
        <is>
          <t>آزمون زبان محلی برای PR</t>
        </is>
      </c>
      <c r="C23" s="4" t="inlineStr">
        <is>
          <t>B1 آلمانی (A1 فقط با بلوکارت ۲۷ ماهه)</t>
        </is>
      </c>
      <c r="D23" s="4" t="inlineStr">
        <is>
          <t>A2 فعلی → B1 (تصمیم کابینه، فوریه ۲۰۲۶)</t>
        </is>
      </c>
      <c r="E23" s="4" t="inlineStr">
        <is>
          <t>هیچ (برای PR)</t>
        </is>
      </c>
      <c r="F23" s="4" t="inlineStr">
        <is>
          <t>Prøve i Dansk 2 (≈ B1) برای مسیر ۸ ساله؛ PD3 (≈ B2) برای مسیر ۴ ساله</t>
        </is>
      </c>
      <c r="G23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3" s="4" t="inlineStr">
        <is>
          <t>انگلیسی B2 از ۲۶ مارس ۲۰۲۷ + آزمون Life in the UK (زبان سوم نیست)</t>
        </is>
      </c>
      <c r="I23" s="5" t="inlineStr">
        <is>
          <t>BAMF؛ ind.nl؛ migrationsverket.se؛ nyidanmark.dk؛ sem.admin.ch؛ gov.uk (HC 1691)</t>
        </is>
      </c>
    </row>
    <row r="24">
      <c r="A24" s="2" t="inlineStr">
        <is>
          <t>۲۲</t>
        </is>
      </c>
      <c r="B24" s="3" t="inlineStr">
        <is>
          <t>شهروندی (جدا از PR)</t>
        </is>
      </c>
      <c r="C24" s="4" t="inlineStr">
        <is>
          <t>۵ سال + B1 + آزمون تابعیت (تحصیل حساب می‌شود)</t>
        </is>
      </c>
      <c r="D24" s="4" t="inlineStr">
        <is>
          <t>۵ سال + inburgering (A2 → B1)</t>
        </is>
      </c>
      <c r="E24" s="4" t="inlineStr">
        <is>
          <t>از ۶ ژوئن ۲۰۲۶: ۸ سال + آزمون مدنی + آزمون زبان (از اکتبر ۲۰۲۷) + کف درآمد</t>
        </is>
      </c>
      <c r="F24" s="4" t="inlineStr">
        <is>
          <t>۹ سال + PD3 + آزمون تابعیت + اشتغال ۳.۵ سال از ۴ سال</t>
        </is>
      </c>
      <c r="G24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4" s="4" t="inlineStr">
        <is>
          <t>ILR + ۱۲ ماه؛ B1/B2 + Life in the UK</t>
        </is>
      </c>
      <c r="I24" s="5" t="inlineStr">
        <is>
          <t>قوانین تابعیت ۲۰۲۶؛ migrationsverket.se؛ nyidanmark.dk؛ sem.admin.ch</t>
        </is>
      </c>
    </row>
    <row r="25">
      <c r="A25" s="2" t="inlineStr">
        <is>
          <t>۲۳</t>
        </is>
      </c>
      <c r="B25" s="3" t="inlineStr">
        <is>
          <t>فرایند ویزا برای پاسپورت ایرانی — وضعیت سپتامبر ۲۰۲۶ (بسیار متغیر)</t>
        </is>
      </c>
      <c r="C25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5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5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5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5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5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5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6">
      <c r="A26" s="2" t="inlineStr">
        <is>
          <t>۲۴</t>
        </is>
      </c>
      <c r="B26" s="3" t="inlineStr">
        <is>
          <t>نمره انگلیسی برنامه‌های هدف</t>
        </is>
      </c>
      <c r="C26" s="4" t="inlineStr">
        <is>
          <t>TU Darmstadt، TU Dresden، Stuttgart: C1 / IELTS 7.0 (Dresden: هر بخش ≥ B2)
FAU (AI): B2 / IELTS 6.5</t>
        </is>
      </c>
      <c r="D26" s="4" t="inlineStr">
        <is>
          <t>IELTS 6.5 (هر بخش ≥ 6.0)</t>
        </is>
      </c>
      <c r="E26" s="4" t="inlineStr">
        <is>
          <t>IELTS 6.5 (هر بخش ≥ 5.5)</t>
        </is>
      </c>
      <c r="F26" s="4" t="inlineStr">
        <is>
          <t>IELTS 6.5</t>
        </is>
      </c>
      <c r="G26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6" s="4" t="inlineStr">
        <is>
          <t>IELTS 6.0–6.5</t>
        </is>
      </c>
      <c r="I26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7">
      <c r="A27" s="2" t="inlineStr">
        <is>
          <t>۲۵</t>
        </is>
      </c>
      <c r="B27" s="3" t="inlineStr">
        <is>
          <t>تمکن مالی ویزا (۲۰۲۶) و نکته تحریمی</t>
        </is>
      </c>
      <c r="C27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7" s="4" t="inlineStr">
        <is>
          <t>€13,569 (€1,130.77 × ۱۲) + شهریه؛ معمولاً به حساب دانشگاه واریز می‌شود.</t>
        </is>
      </c>
      <c r="E27" s="4" t="inlineStr">
        <is>
          <t>SEK 10,656 × ماه‌های مجوز (سال اول ≈ SEK 128,000) + قسط اول شهریه.</t>
        </is>
      </c>
      <c r="F27" s="4" t="inlineStr">
        <is>
          <t>پرداخت شهریه ترم اول به‌عنوان تمکن پذیرفته می‌شود (در غیر این‌صورت DKK 7,426/ماه).</t>
        </is>
      </c>
      <c r="G27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7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7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8">
      <c r="A28" s="2" t="inlineStr">
        <is>
          <t>۲۶</t>
        </is>
      </c>
      <c r="B28" s="3" t="inlineStr">
        <is>
          <t>بازار کار برای جونیورِ فقط‌انگلیسی‌زبان (ارزیابی، ۱–۵ ستاره)</t>
        </is>
      </c>
      <c r="C28" s="4" t="inlineStr">
        <is>
          <t>⭐⭐⭐ تقاضا و حقوق بالا؛ بدون آلمانی نیمی از بازار بسته</t>
        </is>
      </c>
      <c r="D28" s="4" t="inlineStr">
        <is>
          <t>⭐⭐⭐⭐ انگلیسی‌دوست‌ترین بازار قاره؛ کف HSM فارغ‌التحصیل دست‌یافتنی</t>
        </is>
      </c>
      <c r="E28" s="4" t="inlineStr">
        <is>
          <t>⭐⭐ بازار ۲۰۲۴–۲۶ ضعیف؛ شبکه محلی مهم</t>
        </is>
      </c>
      <c r="F28" s="4" t="inlineStr">
        <is>
          <t>⭐⭐ بدون دانمارکی محدود؛ خارج از Copenhagen سخت</t>
        </is>
      </c>
      <c r="G28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8" s="4" t="inlineStr">
        <is>
          <t>⭐⭐ بازار جونیور اشباع؛ اسپانسری £38,290+ برای جونیور نادر؛ بعد از ۱۸ ماه باید ویزای کار داشت</t>
        </is>
      </c>
      <c r="I28" s="5" t="inlineStr">
        <is>
          <t>ارزیابی بر اساس ردیف‌های ۱۳، ۱۵، ۱۶، ۱۷</t>
        </is>
      </c>
    </row>
    <row r="29">
      <c r="A29" s="2" t="inlineStr">
        <is>
          <t>۲۷</t>
        </is>
      </c>
      <c r="B29" s="3" t="inlineStr">
        <is>
          <t>جهت‌گیری سیاست‌های مهاجرتی ۲۰۲۵–۲۶ (ریسک تغییر تا ۲۰۲۸)</t>
        </is>
      </c>
      <c r="C29" s="4" t="inlineStr">
        <is>
          <t>متوسط: قوانین کار پایدار؛ تابعیت ۳ ساله حذف شد</t>
        </is>
      </c>
      <c r="D29" s="4" t="inlineStr">
        <is>
          <t>متوسط: B1 برای PR/تابعیت؛ WIB فقط کارشناسی انگلیسی را هدف گرفته (ارشد امن)</t>
        </is>
      </c>
      <c r="E29" s="4" t="inlineStr">
        <is>
          <t>بالا: شهروندی ۸ سال، کف حقوق ۹۰٪ میانه، سقف کار ۱۵ ساعت، تبدیل اقامت تحصیلی به کاری فقط بعد از ≥ ۲ ترم</t>
        </is>
      </c>
      <c r="F29" s="4" t="inlineStr">
        <is>
          <t>متوسط–بالا: سخت‌گیرانه ولی پایدار</t>
        </is>
      </c>
      <c r="G29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9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9" s="5" t="inlineStr">
        <is>
          <t>قوانین و لوایح ۲۰۲۵–۲۶</t>
        </is>
      </c>
    </row>
    <row r="30">
      <c r="A30" s="2" t="inlineStr">
        <is>
          <t>۲۸</t>
        </is>
      </c>
      <c r="B30" s="3" t="inlineStr">
        <is>
          <t>امتیاز برای ۳ معیار شما (هر کدام از ۱۰): هزینه کل / زندگی و کار فقط با انگلیسی / بازار کار و حقوق</t>
        </is>
      </c>
      <c r="C30" s="4" t="inlineStr">
        <is>
          <t>10 / 4 / 8 = ۲۲</t>
        </is>
      </c>
      <c r="D30" s="4" t="inlineStr">
        <is>
          <t>2 / 8 / 8 = ۱۸</t>
        </is>
      </c>
      <c r="E30" s="4" t="inlineStr">
        <is>
          <t>6 / 8 / 5 = ۱۹</t>
        </is>
      </c>
      <c r="F30" s="4" t="inlineStr">
        <is>
          <t>4 / 6 / 6 = ۱۶</t>
        </is>
      </c>
      <c r="G30" s="4" t="inlineStr">
        <is>
          <t>5 / 6 / 7 = ۱۸</t>
        </is>
      </c>
      <c r="H30" s="4" t="inlineStr">
        <is>
          <t>5 / 10 / 4 = ۱۹</t>
        </is>
      </c>
      <c r="I30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2">
      <c r="B32" s="6" t="inlineStr">
        <is>
          <t>تاریخ راستی‌آزمایی: ۲۷ سپتامبر ۲۰۲۶ (۵ مهر ۱۴۰۵). نرخ تبدیل ۲۷ سپتامبر ۲۰۲۶: €1 = $1.14 · £1 = $1.325 · $1 ≈ SEK 9.9 · $1 ≈ DKK 6.55 · CHF 1 = $1.21</t>
        </is>
      </c>
    </row>
    <row r="33">
      <c r="B33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4">
      <c r="B34" t="inlineStr">
        <is>
          <t>جدول اولیه (Table.xlsx) برای مقایسه دست‌نخورده مانده است.</t>
        </is>
      </c>
    </row>
    <row r="35">
      <c r="B35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انگلستان</t>
        </is>
      </c>
      <c r="C27" s="4" t="inlineStr">
        <is>
          <t>Imperial College London (Russell Group)</t>
        </is>
      </c>
      <c r="D27" s="4" t="inlineStr">
        <is>
          <t>London – مرکز (South Kensington / Bloomsbury / Strand؛ Imperial، UCL، KCL)</t>
        </is>
      </c>
      <c r="E27" s="4" t="inlineStr">
        <is>
          <t>خیلی گران — £1,600–1,900 (برآورد خود Imperial: £16.4–17k برای ۹ ماه)</t>
        </is>
      </c>
      <c r="F27" s="4" t="inlineStr">
        <is>
          <t>MSc Computing (Artificial Intelligence and Machine Learning) / MSc Computing</t>
        </is>
      </c>
      <c r="G27" s="4" t="inlineStr">
        <is>
          <t>هوش مصنوعی / یادگیری ماشین</t>
        </is>
      </c>
      <c r="H27" s="4" t="inlineStr">
        <is>
          <t>۱ سال</t>
        </is>
      </c>
      <c r="I27" s="4" t="inlineStr">
        <is>
          <t>£46,000 (2026/27 رسمی؛ 2027/28 هنوز اعلام نشده)</t>
        </is>
      </c>
      <c r="J27" s="4" t="inlineStr">
        <is>
          <t>$61,000</t>
        </is>
      </c>
      <c r="K27" s="4" t="inlineStr">
        <is>
          <t>First-class honours در رشته‌ای با محتوای قابل توجه Computing — برای مدرک ایرانی ≥ ۱۷–۱۸/۲۰ → با ۱۵.۷۷ رسماً واجد شرایط نیستید</t>
        </is>
      </c>
      <c r="L27" s="4" t="inlineStr">
        <is>
          <t>7.0 (higher requirement؛ هر بخش ≥ 6.5)</t>
        </is>
      </c>
      <c r="M27" s="4">
        <f>2</f>
        <v/>
      </c>
      <c r="N27" s="12" t="inlineStr">
        <is>
          <t>Reach</t>
        </is>
      </c>
      <c r="O2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7" s="4" t="inlineStr">
        <is>
          <t>QS 2027 #2 · LEO: میانهٔ درآمد فارغ‌التحصیلان Computing پنج سال بعد £79,600 · دورهای ۲۰۲۷: ۶ ژانویه / ۱۰ مارس / ۲۸ آوریل · Imperial Inspires £15,000 (رقابتی) · ❌ عملاً بسته برای معدل شما</t>
        </is>
      </c>
      <c r="Q27" s="8" t="inlineStr">
        <is>
          <t>https://www.imperial.ac.uk/study/courses/postgraduate-taught/computing-artificial-intelligence-msc/</t>
        </is>
      </c>
    </row>
    <row r="28">
      <c r="A28" s="2" t="n">
        <v>27</v>
      </c>
      <c r="B28" s="2" t="inlineStr">
        <is>
          <t>انگلستان</t>
        </is>
      </c>
      <c r="C28" s="4" t="inlineStr">
        <is>
          <t>UCL – University College London (Russell Group)</t>
        </is>
      </c>
      <c r="D28" s="4" t="inlineStr">
        <is>
          <t>London – مرکز (South Kensington / Bloomsbury / Strand؛ Imperial، UCL، KCL)</t>
        </is>
      </c>
      <c r="E28" s="4" t="inlineStr">
        <is>
          <t>خیلی گران — £1,600–1,900 (برآورد خود Imperial: £16.4–17k برای ۹ ماه)</t>
        </is>
      </c>
      <c r="F28" s="4" t="inlineStr">
        <is>
          <t>MSc Software Systems Engineering / MSc Machine Learning (MSc Computer Science تبدیلی است و برای فارغ‌التحصیل CS باز نیست)</t>
        </is>
      </c>
      <c r="G28" s="4" t="inlineStr">
        <is>
          <t>مهندسی نرم‌افزار / علوم کامپیوتر</t>
        </is>
      </c>
      <c r="H28" s="4" t="inlineStr">
        <is>
          <t>۱ سال</t>
        </is>
      </c>
      <c r="I28" s="4" t="inlineStr">
        <is>
          <t>≈ £42,700–46,700 (2026/27؛ MSc Computer Science رسماً £42,700)</t>
        </is>
      </c>
      <c r="J28" s="4" t="inlineStr">
        <is>
          <t>$56,600–61,900</t>
        </is>
      </c>
      <c r="K28" s="4" t="inlineStr">
        <is>
          <t>2:1 (upper second) — جدول تطبیق ایرانِ UCL را نتوانستم رسمی تأیید کنم (معمولاً ۱۵–۱۶/۲۰)؛ ریاضی قوی؛ هزینهٔ درخواست £90؛ ودیعهٔ ۱۰٪ شهریه</t>
        </is>
      </c>
      <c r="L28" s="4" t="inlineStr">
        <is>
          <t>7.0 (Level 2؛ هر بخش ≥ 6.5)</t>
        </is>
      </c>
      <c r="M28" s="4">
        <f>9</f>
        <v/>
      </c>
      <c r="N28" s="12" t="inlineStr">
        <is>
          <t>Reach</t>
        </is>
      </c>
      <c r="O28" s="4" t="inlineStr">
        <is>
          <t>4/5 — بیشترین حجم آگهی در هر ۶ کشور؛ ورود جونیور از ۲۰۲۳ سخت‌تر شده — سابقهٔ کار شما مزیت است</t>
        </is>
      </c>
      <c r="P28" s="4" t="inlineStr">
        <is>
          <t>QS 2027 #9 · High Fliers 2026: پنجمین دانشگاه هدف کارفرمایان بزرگ · لندن گران‌ترین زندگی · با ۱۵.۷۷ مرزی-پایین</t>
        </is>
      </c>
      <c r="Q28" s="8" t="inlineStr">
        <is>
          <t>https://www.ucl.ac.uk/prospective-students/graduate/taught-degrees/computer-science-msc-2026</t>
        </is>
      </c>
    </row>
    <row r="29">
      <c r="A29" s="2" t="n">
        <v>28</v>
      </c>
      <c r="B29" s="2" t="inlineStr">
        <is>
          <t>انگلستان</t>
        </is>
      </c>
      <c r="C29" s="4" t="inlineStr">
        <is>
          <t>King's College London (Russell Group)</t>
        </is>
      </c>
      <c r="D29" s="4" t="inlineStr">
        <is>
          <t>London – مرکز (South Kensington / Bloomsbury / Strand؛ Imperial، UCL، KCL)</t>
        </is>
      </c>
      <c r="E29" s="4" t="inlineStr">
        <is>
          <t>خیلی گران — £1,600–1,900 (برآورد خود Imperial: £16.4–17k برای ۹ ماه)</t>
        </is>
      </c>
      <c r="F29" s="4" t="inlineStr">
        <is>
          <t>MSc Advanced Computing / MSc Artificial Intelligence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£40,450 (2026)</t>
        </is>
      </c>
      <c r="J29" s="4" t="inlineStr">
        <is>
          <t>$53,600</t>
        </is>
      </c>
      <c r="K29" s="4" t="inlineStr">
        <is>
          <t>«high 2:1» = ۶۵٪ — جدول رسمی KCL برای ایران: ۱۷/۲۰ (2:1 معمولی = ۱۵/۲۰، First = ۱۸/۲۰) → با ۱۵.۷۷ زیر خط، مگر با سابقهٔ کار قابل توجه</t>
        </is>
      </c>
      <c r="L29" s="4" t="inlineStr">
        <is>
          <t>7.0 (هر بخش ≥ 6.5)</t>
        </is>
      </c>
      <c r="M29" s="4">
        <f>31</f>
        <v/>
      </c>
      <c r="N29" s="12" t="inlineStr">
        <is>
          <t>Reach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QS 2027 ≈ 31 · Strand، مرکز لندن · نیاز به ۱۷/۲۰ یعنی «high 2:1» — سابقهٔ کار ۲ ساله ممکن است جبران کند (خود KCL این را می‌گوید)، ولی امیدوار نباشید</t>
        </is>
      </c>
      <c r="Q29" s="8" t="inlineStr">
        <is>
          <t>https://www.kcl.ac.uk/study-legacy/postgraduate/apply/entry-requirements/international</t>
        </is>
      </c>
    </row>
    <row r="30">
      <c r="A30" s="2" t="n">
        <v>29</v>
      </c>
      <c r="B30" s="2" t="inlineStr">
        <is>
          <t>انگلستان</t>
        </is>
      </c>
      <c r="C30" s="4" t="inlineStr">
        <is>
          <t>University of Warwick (Russell Group)</t>
        </is>
      </c>
      <c r="D30" s="4" t="inlineStr">
        <is>
          <t>Coventry (کاونتری) — کمپوس Warwick؛ میدلندز</t>
        </is>
      </c>
      <c r="E30" s="4" t="inlineStr">
        <is>
          <t>متوسط — £1,000–1,250</t>
        </is>
      </c>
      <c r="F30" s="4" t="inlineStr">
        <is>
          <t>MSc Computer Science</t>
        </is>
      </c>
      <c r="G30" s="4" t="inlineStr">
        <is>
          <t>مهندسی نرم‌افزار / علوم کامپیوتر</t>
        </is>
      </c>
      <c r="H30" s="4" t="inlineStr">
        <is>
          <t>۱ سال</t>
        </is>
      </c>
      <c r="I30" s="4" t="inlineStr">
        <is>
          <t>£37,460 (2026 entry)</t>
        </is>
      </c>
      <c r="J30" s="4" t="inlineStr">
        <is>
          <t>$49,600</t>
        </is>
      </c>
      <c r="K30" s="4" t="inlineStr">
        <is>
          <t>2:1 — جدول رسمی Warwick برای ایران: 1st = ۱۷/۲۰، 2:1 = ۱۵/۲۰، 2:2 = ۱۳/۲۰ → ۱۵.۷۷ ✓ (پذیرش PGT ≈ ۲۲٪، رقابتی)</t>
        </is>
      </c>
      <c r="L30" s="4" t="inlineStr">
        <is>
          <t>7.0 (اکثر PGT؛ بعضی 6.5)</t>
        </is>
      </c>
      <c r="M30" s="4">
        <f>69</f>
        <v/>
      </c>
      <c r="N30" s="11" t="inlineStr">
        <is>
          <t>Target/Reach</t>
        </is>
      </c>
      <c r="O30" s="4" t="inlineStr">
        <is>
          <t>4/5 — بیشترین حجم آگهی در هر ۶ کشور؛ ورود جونیور از ۲۰۲۳ سخت‌تر شده — سابقهٔ کار شما مزیت است</t>
        </is>
      </c>
      <c r="P30" s="4" t="inlineStr">
        <is>
          <t>QS 2027 ≈ 69 · High Fliers 2026: چهارمین دانشگاه هدف کارفرمایان · Coventry ارزان‌تر از لندن · هزینهٔ درخواست £75، ودیعهٔ £2,500 · واقع‌بینانه‌ترین «برند بزرگ» برای معدل شما</t>
        </is>
      </c>
      <c r="Q30" s="8" t="inlineStr">
        <is>
          <t>https://warwick.ac.uk/study/international/countryinformation/middleeast/iran/</t>
        </is>
      </c>
    </row>
    <row r="31">
      <c r="A31" s="2" t="n">
        <v>30</v>
      </c>
      <c r="B31" s="2" t="inlineStr">
        <is>
          <t>انگلستان</t>
        </is>
      </c>
      <c r="C31" s="4" t="inlineStr">
        <is>
          <t>University of Bristol (Russell Group)</t>
        </is>
      </c>
      <c r="D31" s="4" t="inlineStr">
        <is>
          <t>Bristol (بریستول) — جنوب غرب؛ قطب فناوری/هوافضا</t>
        </is>
      </c>
      <c r="E31" s="4" t="inlineStr">
        <is>
          <t>گران — £1,200–1,450</t>
        </is>
      </c>
      <c r="F31" s="4" t="inlineStr">
        <is>
          <t>MSc Data Science (برای فارغ‌التحصیل CS/مهندسی؛ MSc Computer Science بریستول تبدیلی است)</t>
        </is>
      </c>
      <c r="G31" s="4" t="inlineStr">
        <is>
          <t>علم داده / تحلیل داده</t>
        </is>
      </c>
      <c r="H31" s="4" t="inlineStr">
        <is>
          <t>۱ سال</t>
        </is>
      </c>
      <c r="I31" s="4" t="inlineStr">
        <is>
          <t>£37,900 (2027/28 رسمی — ورودی سپتامبر ۲۰۲۷)</t>
        </is>
      </c>
      <c r="J31" s="4" t="inlineStr">
        <is>
          <t>$50,200</t>
        </is>
      </c>
      <c r="K31" s="4" t="inlineStr">
        <is>
          <t>«strong 2:1 (۶۵٪+)» در CS/مهندسی/علوم عددی؛ صفحهٔ ایرانِ بریستول: کارشناسی ۴ ساله از دانشگاه مورد تأیید با حداقل ۱۵/۲۰ → ۱۵.۷۷ حداقل را رد می‌کند ولی «strong» نیست</t>
        </is>
      </c>
      <c r="L31" s="4" t="inlineStr">
        <is>
          <t>6.5 (Profile E) — چک شود</t>
        </is>
      </c>
      <c r="M31" s="4">
        <f>54</f>
        <v/>
      </c>
      <c r="N31" s="12" t="inlineStr">
        <is>
          <t>Reach</t>
        </is>
      </c>
      <c r="O3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1" s="4" t="inlineStr">
        <is>
          <t>QS 2027 ≈ 54 · LEO: میانهٔ Computing پنج سال بعد £70,300 · High Fliers: پنجم (۲۰۲۵) · Think Big Scholarship (رقابتی) · با ۱۵.۷۷ Reach</t>
        </is>
      </c>
      <c r="Q31" s="8" t="inlineStr">
        <is>
          <t>https://www.bristol.ac.uk/study/postgraduate/taught/msc-data-science/</t>
        </is>
      </c>
    </row>
    <row r="32">
      <c r="A32" s="2" t="n">
        <v>31</v>
      </c>
      <c r="B32" s="2" t="inlineStr">
        <is>
          <t>انگلستان</t>
        </is>
      </c>
      <c r="C32" s="4" t="inlineStr">
        <is>
          <t>Durham University (Russell Group)</t>
        </is>
      </c>
      <c r="D32" s="4" t="inlineStr">
        <is>
          <t>Durham (دورهام) — شمال شرق؛ ۱۵ دقیقه تا نیوکاسل</t>
        </is>
      </c>
      <c r="E32" s="4" t="inlineStr">
        <is>
          <t>ارزان تا متوسط — £950–1,200</t>
        </is>
      </c>
      <c r="F32" s="4" t="inlineStr">
        <is>
          <t>MSc Advanced Computer Science (و MSc Data Science)</t>
        </is>
      </c>
      <c r="G32" s="4" t="inlineStr">
        <is>
          <t>مهندسی نرم‌افزار / علوم کامپیوتر</t>
        </is>
      </c>
      <c r="H32" s="4" t="inlineStr">
        <is>
          <t>۱ سال</t>
        </is>
      </c>
      <c r="I32" s="4" t="inlineStr">
        <is>
          <t>£34,500 (2026 entry)</t>
        </is>
      </c>
      <c r="J32" s="4" t="inlineStr">
        <is>
          <t>$45,700</t>
        </is>
      </c>
      <c r="K32" s="4" t="inlineStr">
        <is>
          <t>2:1 در CS — جدول رسمی Durham برای ایران: 1st ≥ ۱۷/۲۰، 2:1 = ۱۴–۱۶/۲۰، 2:2 = ۱۲–۱۳/۲۰ (دانشگاه باید در فهرست Ecctis باشد) → ۱۵.۷۷ ✓</t>
        </is>
      </c>
      <c r="L32" s="4" t="inlineStr">
        <is>
          <t>6.5 (هر بخش ≥ 6.0)</t>
        </is>
      </c>
      <c r="M32" s="4">
        <f>94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QS 2027 ≈ 94 · High Fliers 2025: دهم · ارزان‌ترین شهر بین این شش · ارزان‌ترین Russell Group این فهرست بعد از York/Newcastle · شروع سپتامبر ۲۰۲۶ اعلام شده؛ ۲۰۲۷ مشابه</t>
        </is>
      </c>
      <c r="Q32" s="8" t="inlineStr">
        <is>
          <t>https://www.durham.ac.uk/study/courses/advanced-computer-science-g5t609/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USI – Università della Svizzera italiana</t>
        </is>
      </c>
      <c r="D33" s="4" t="inlineStr">
        <is>
          <t>Lugano (لوگانو) — تیچینو، ایتالیایی‌زبان؛ IDSIA؛ ارزان‌ترین شهر دانشگاهی سوئیس</t>
        </is>
      </c>
      <c r="E33" s="4" t="inlineStr">
        <is>
          <t>گران — CHF 1,400–1,800</t>
        </is>
      </c>
      <c r="F33" s="4" t="inlineStr">
        <is>
          <t>MSc Informatics (گرایش‌ها: Artificial Intelligence، Software Development، Systems…)</t>
        </is>
      </c>
      <c r="G33" s="4" t="inlineStr">
        <is>
          <t>مهندسی نرم‌افزار / علوم کامپیوتر</t>
        </is>
      </c>
      <c r="H33" s="4" t="inlineStr">
        <is>
          <t>۲ سال (120 ECTS)</t>
        </is>
      </c>
      <c r="I33" s="4" t="inlineStr">
        <is>
          <t>CHF 4,000 در ترم برای غیرمقیم سوئیس (CHF 8,000/سال)</t>
        </is>
      </c>
      <c r="J33" s="4" t="inlineStr">
        <is>
          <t>$9,700</t>
        </is>
      </c>
      <c r="K33" s="4" t="inlineStr">
        <is>
          <t>کارشناسی CS/مرتبط؛ فارغ‌التحصیل UAS با ۳۰–۶۰ ECTS تکمیلی؛ بررسی موردی</t>
        </is>
      </c>
      <c r="L33" s="4" t="inlineStr">
        <is>
          <t>B2 در ورود (IELTS 5.5) → C1 (7.0) تا فارغ‌التحصیلی</t>
        </is>
      </c>
      <c r="M33" s="4">
        <f>456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33" s="8" t="inlineStr">
        <is>
          <t>https://www.usi.ch/en/education/master/informatics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USI – Università della Svizzera italiana</t>
        </is>
      </c>
      <c r="D34" s="4" t="inlineStr">
        <is>
          <t>Lugano (لوگانو) — تیچینو، ایتالیایی‌زبان؛ IDSIA؛ ارزان‌ترین شهر دانشگاهی سوئیس</t>
        </is>
      </c>
      <c r="E34" s="4" t="inlineStr">
        <is>
          <t>گران — CHF 1,400–1,800</t>
        </is>
      </c>
      <c r="F34" s="4" t="inlineStr">
        <is>
          <t>MSc Artificial Intelligence (با IDSIA)</t>
        </is>
      </c>
      <c r="G34" s="4" t="inlineStr">
        <is>
          <t>هوش مصنوعی / یادگیری ماشین</t>
        </is>
      </c>
      <c r="H34" s="4" t="inlineStr">
        <is>
          <t>۲ سال (120 ECTS)</t>
        </is>
      </c>
      <c r="I34" s="4" t="inlineStr">
        <is>
          <t>CHF 4,000 در ترم برای غیرمقیم (CHF 8,000/سال)</t>
        </is>
      </c>
      <c r="J34" s="4" t="inlineStr">
        <is>
          <t>$9,700</t>
        </is>
      </c>
      <c r="K34" s="4" t="inlineStr">
        <is>
          <t>کارشناسی CS/مرتبط با ریاضی و برنامه‌نویسی قوی؛ بررسی موردی</t>
        </is>
      </c>
      <c r="L34" s="4" t="inlineStr">
        <is>
          <t>6.5 (B2؛ C1 تا پایان دوره)</t>
        </is>
      </c>
      <c r="M34" s="4">
        <f>456</f>
        <v/>
      </c>
      <c r="N34" s="10" t="inlineStr">
        <is>
          <t>Target</t>
        </is>
      </c>
      <c r="O3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4" s="4" t="inlineStr">
        <is>
          <t>اولین ارشد AI سوئیس؛ IDSIA (آزمایشگاه Schmidhuber/LSTM)؛ رقابتی‌تر از Informatics</t>
        </is>
      </c>
      <c r="Q34" s="8" t="inlineStr">
        <is>
          <t>https://www.usi.ch/en/education/master/artificial-intelligence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USI – Università della Svizzera italiana</t>
        </is>
      </c>
      <c r="D35" s="4" t="inlineStr">
        <is>
          <t>Lugano (لوگانو) — تیچینو، ایتالیایی‌زبان؛ IDSIA؛ ارزان‌ترین شهر دانشگاهی سوئیس</t>
        </is>
      </c>
      <c r="E35" s="4" t="inlineStr">
        <is>
          <t>گران — CHF 1,400–1,800</t>
        </is>
      </c>
      <c r="F35" s="4" t="inlineStr">
        <is>
          <t>MSc Software and Data Engineering</t>
        </is>
      </c>
      <c r="G35" s="4" t="inlineStr">
        <is>
          <t>علم داده / تحلیل داده</t>
        </is>
      </c>
      <c r="H35" s="4" t="inlineStr">
        <is>
          <t>۲ سال (120 ECTS)</t>
        </is>
      </c>
      <c r="I35" s="4" t="inlineStr">
        <is>
          <t>CHF 4,000 در ترم برای غیرمقیم (CHF 8,000/سال)</t>
        </is>
      </c>
      <c r="J35" s="4" t="inlineStr">
        <is>
          <t>$9,700</t>
        </is>
      </c>
      <c r="K35" s="4" t="inlineStr">
        <is>
          <t>کارشناسی CS/مرتبط</t>
        </is>
      </c>
      <c r="L35" s="4" t="inlineStr">
        <is>
          <t>B2 → C1</t>
        </is>
      </c>
      <c r="M35" s="4">
        <f>456</f>
        <v/>
      </c>
      <c r="N35" s="10" t="inlineStr">
        <is>
          <t>Target</t>
        </is>
      </c>
      <c r="O3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5" s="4" t="inlineStr">
        <is>
          <t>ترکیب مهندسی نرم‌افزار + مهندسی داده (Data Engineering — همان توصیهٔ شیت حوزه‌ها)؛ کم‌رقابت‌تر از AI</t>
        </is>
      </c>
      <c r="Q35" s="8" t="inlineStr">
        <is>
          <t>https://www.usi.ch/en/education/master/software-and-data-engineering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Hochschule Luzern (HSLU)</t>
        </is>
      </c>
      <c r="D36" s="4" t="inlineStr">
        <is>
          <t>Lucerne / Luzern (لوسرن) — مرکز سوئیس، ۴۵ دقیقه تا زوریخ</t>
        </is>
      </c>
      <c r="E36" s="4" t="inlineStr">
        <is>
          <t>گران — CHF 1,550–1,950</t>
        </is>
      </c>
      <c r="F36" s="4" t="inlineStr">
        <is>
          <t>MSc Applied Data Science and AI (نام جدید از اوت ۲۰۲۶؛ قبلاً Applied Information and Data Science)</t>
        </is>
      </c>
      <c r="G36" s="4" t="inlineStr">
        <is>
          <t>علم داده / تحلیل داده</t>
        </is>
      </c>
      <c r="H36" s="4" t="inlineStr">
        <is>
          <t>۲ سال (120 ECTS؛ معمولاً ۴ ترم، قابل تمدید تا ۸)</t>
        </is>
      </c>
      <c r="I36" s="4" t="inlineStr">
        <is>
          <t>CHF 1,300 در ترم (خارجی) + ≈ CHF 275 هزینهٔ جانبی ≈ CHF 3,150/سال؛ هزینهٔ درخواست CHF 250</t>
        </is>
      </c>
      <c r="J36" s="4" t="inlineStr">
        <is>
          <t>$3,800</t>
        </is>
      </c>
      <c r="K36" s="4" t="inlineStr">
        <is>
          <t>هر کارشناسی (دانشگاه یا UAS)؛ آزمون انگلیسی + آزمون استعداد HSLU</t>
        </is>
      </c>
      <c r="L36" s="4" t="inlineStr">
        <is>
          <t>C1 (B2 مشروط)</t>
        </is>
      </c>
      <c r="M36" s="4" t="inlineStr">
        <is>
          <t>—</t>
        </is>
      </c>
      <c r="N36" s="9" t="inlineStr">
        <is>
          <t>Safe/Target</t>
        </is>
      </c>
      <c r="O3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6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6" s="8" t="inlineStr">
        <is>
          <t>https://www.hslu.ch/en/lucerne-school-of-business/degree-programmes/master/applied-data-science-and-ai/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University of Bern</t>
        </is>
      </c>
      <c r="D37" s="4" t="inlineStr">
        <is>
          <t>Bern (برن) — پایتخت؛ آلمانی‌زبان</t>
        </is>
      </c>
      <c r="E37" s="4" t="inlineStr">
        <is>
          <t>گران — CHF 1,600–2,000</t>
        </is>
      </c>
      <c r="F37" s="4" t="inlineStr">
        <is>
          <t>Swiss Joint MSc Computer Science (Bern / Neuchâtel / Fribourg)</t>
        </is>
      </c>
      <c r="G37" s="4" t="inlineStr">
        <is>
          <t>مهندسی نرم‌افزار / علوم کامپیوتر</t>
        </is>
      </c>
      <c r="H37" s="4" t="inlineStr">
        <is>
          <t>۱.۵ سال (90 ECTS)</t>
        </is>
      </c>
      <c r="I37" s="4" t="inlineStr">
        <is>
          <t>CHF 850 + 1,700 اضافهٔ غیرسوئیسی‌ها (از پاییز ۲۰۲۶) + 34 + 25 = CHF 2,609 در ترم (≈ CHF 5,200/سال)</t>
        </is>
      </c>
      <c r="J37" s="4" t="inlineStr">
        <is>
          <t>$6,300</t>
        </is>
      </c>
      <c r="K37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7" s="4" t="inlineStr">
        <is>
          <t>بدون آزمون (B2 توصیه — FAQ رسمی)</t>
        </is>
      </c>
      <c r="M37" s="4">
        <f>191</f>
        <v/>
      </c>
      <c r="N37" s="10" t="inlineStr">
        <is>
          <t>Target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7" s="8" t="inlineStr">
        <is>
          <t>https://www.philnat.unibe.ch/studies/study_programs/master_s_in_computer_science/index_eng.html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University of Neuchâtel</t>
        </is>
      </c>
      <c r="D38" s="4" t="inlineStr">
        <is>
          <t>Neuchâtel (نوشاتل) — فرانسه‌زبان؛ کنار دریاچه؛ ۳۵ دقیقه تا برن</t>
        </is>
      </c>
      <c r="E38" s="4" t="inlineStr">
        <is>
          <t>متوسط تا گران — CHF 1,350–1,750</t>
        </is>
      </c>
      <c r="F38" s="4" t="inlineStr">
        <is>
          <t>Swiss Joint MSc Computer Science (ثبت‌نام در Neuchâtel)</t>
        </is>
      </c>
      <c r="G38" s="4" t="inlineStr">
        <is>
          <t>مهندسی نرم‌افزار / علوم کامپیوتر</t>
        </is>
      </c>
      <c r="H38" s="4" t="inlineStr">
        <is>
          <t>۱.۵ سال (90 ECTS)</t>
        </is>
      </c>
      <c r="I38" s="4" t="inlineStr">
        <is>
          <t>CHF 790 در ترم (خارجی؛ شامل همهٔ هزینه‌ها) = CHF 1,580/سال</t>
        </is>
      </c>
      <c r="J38" s="4" t="inlineStr">
        <is>
          <t>$1,900</t>
        </is>
      </c>
      <c r="K38" s="4" t="inlineStr">
        <is>
          <t>کارشناسی CS یا معادل (بررسی موردی؛ حداکثر ۶۰ ECTS تکمیلی)</t>
        </is>
      </c>
      <c r="L38" s="4" t="inlineStr">
        <is>
          <t>بدون آزمون (B2 توصیه — FAQ رسمی)</t>
        </is>
      </c>
      <c r="M38" s="4" t="inlineStr">
        <is>
          <t>—</t>
        </is>
      </c>
      <c r="N38" s="10" t="inlineStr">
        <is>
          <t>Target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8" s="8" t="inlineStr">
        <is>
          <t>https://mcs.unibnf.ch/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University of Fribourg</t>
        </is>
      </c>
      <c r="D39" s="4" t="inlineStr">
        <is>
          <t>Fribourg (فریبورگ) — دوزبانه (آلمانی/فرانسه)</t>
        </is>
      </c>
      <c r="E39" s="4" t="inlineStr">
        <is>
          <t>گران — CHF 1,450–1,800</t>
        </is>
      </c>
      <c r="F39" s="4" t="inlineStr">
        <is>
          <t>Swiss Joint MSc Computer Science (ثبت‌نام در Fribourg)</t>
        </is>
      </c>
      <c r="G39" s="4" t="inlineStr">
        <is>
          <t>مهندسی نرم‌افزار / علوم کامپیوتر</t>
        </is>
      </c>
      <c r="H39" s="4" t="inlineStr">
        <is>
          <t>۱.۵ سال (90 ECTS)</t>
        </is>
      </c>
      <c r="I39" s="4" t="inlineStr">
        <is>
          <t>CHF 870 + 115 = CHF 985 در ترم (خارجی؛ رسمی) = CHF 1,970/سال</t>
        </is>
      </c>
      <c r="J39" s="4" t="inlineStr">
        <is>
          <t>$2,400</t>
        </is>
      </c>
      <c r="K39" s="4" t="inlineStr">
        <is>
          <t>کارشناسی CS یا معادل (بررسی موردی؛ حداکثر ۶۰ ECTS تکمیلی)</t>
        </is>
      </c>
      <c r="L39" s="4" t="inlineStr">
        <is>
          <t>بدون آزمون (B2 توصیه — FAQ رسمی)</t>
        </is>
      </c>
      <c r="M39" s="4">
        <f>670</f>
        <v/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همان برنامهٔ مشترک Bern/Neuchâtel؛ شهر دوزبانه و ارزان‌تر؛ ⚠️ مهلت ویزایی‌ها ۱–۲۸ فوریه ۲۰۲۷ (رسمی unifr.ch)</t>
        </is>
      </c>
      <c r="Q39" s="8" t="inlineStr">
        <is>
          <t>https://www.unifr.ch/inf/en/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University of Basel</t>
        </is>
      </c>
      <c r="D40" s="4" t="inlineStr">
        <is>
          <t>Basel (بازل) — Roche، Novartis؛ مرز آلمان/فرانسه</t>
        </is>
      </c>
      <c r="E40" s="4" t="inlineStr">
        <is>
          <t>گران — CHF 1,600–2,100</t>
        </is>
      </c>
      <c r="F40" s="4" t="inlineStr">
        <is>
          <t>MSc Computer Science</t>
        </is>
      </c>
      <c r="G40" s="4" t="inlineStr">
        <is>
          <t>مهندسی نرم‌افزار / علوم کامپیوتر</t>
        </is>
      </c>
      <c r="H40" s="4" t="inlineStr">
        <is>
          <t>۱.۵ سال (90 ECTS)</t>
        </is>
      </c>
      <c r="I40" s="4" t="inlineStr">
        <is>
          <t>CHF 850 در ترم (برای همه؛ بدون اضافهٔ خارجی‌ها — رسمی 2026/27) = CHF 1,700/سال</t>
        </is>
      </c>
      <c r="J40" s="4" t="inlineStr">
        <is>
          <t>$2,100</t>
        </is>
      </c>
      <c r="K40" s="4" t="inlineStr">
        <is>
          <t>کارشناسی CS یا معادل با نمرات خوب؛ بررسی فردی</t>
        </is>
      </c>
      <c r="L40" s="4" t="inlineStr">
        <is>
          <t>B2–C1 (چک شود)</t>
        </is>
      </c>
      <c r="M40" s="4">
        <f>150</f>
        <v/>
      </c>
      <c r="N40" s="11" t="inlineStr">
        <is>
          <t>Target/Reach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40" s="8" t="inlineStr">
        <is>
          <t>https://dmi.unibas.ch/en/studies/computer-science/masters/</t>
        </is>
      </c>
    </row>
    <row r="41">
      <c r="A41" s="2" t="n">
        <v>40</v>
      </c>
      <c r="B41" s="2" t="inlineStr">
        <is>
          <t>سوئیس</t>
        </is>
      </c>
      <c r="C41" s="4" t="inlineStr">
        <is>
          <t>University of Zurich (UZH)</t>
        </is>
      </c>
      <c r="D41" s="4" t="inlineStr">
        <is>
          <t>Zürich (زوریخ) — Google، UBS، ETH؛ گران‌ترین شهر دانشگاهی اروپا</t>
        </is>
      </c>
      <c r="E41" s="4" t="inlineStr">
        <is>
          <t>خیلی گران — CHF 1,900–2,500</t>
        </is>
      </c>
      <c r="F41" s="4" t="inlineStr">
        <is>
          <t>MSc Informatics (گرایش‌ها: Software Systems، Data Science، People-Oriented Computing…)</t>
        </is>
      </c>
      <c r="G41" s="4" t="inlineStr">
        <is>
          <t>مهندسی نرم‌افزار / علوم کامپیوتر</t>
        </is>
      </c>
      <c r="H41" s="4" t="inlineStr">
        <is>
          <t>۱.۵–۲ سال (90/120 ECTS)</t>
        </is>
      </c>
      <c r="I41" s="4" t="inlineStr">
        <is>
          <t>CHF 720 + 100 (خارجی) + 59 = CHF 879 در ترم (≈ CHF 1,760/سال)</t>
        </is>
      </c>
      <c r="J41" s="4" t="inlineStr">
        <is>
          <t>$2,100</t>
        </is>
      </c>
      <c r="K41" s="4" t="inlineStr">
        <is>
          <t>کارشناسی Informatics/CS با نمرات بسیار خوب؛ فقط یک درخواست در هر ترم؛ هزینهٔ درخواست CHF 150</t>
        </is>
      </c>
      <c r="L41" s="4" t="inlineStr">
        <is>
          <t>C1 / IELTS 7.0</t>
        </is>
      </c>
      <c r="M41" s="4">
        <f>98</f>
        <v/>
      </c>
      <c r="N41" s="12" t="inlineStr">
        <is>
          <t>Reach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41" s="8" t="inlineStr">
        <is>
          <t>https://www.ifi.uzh.ch/en/studies/master.html</t>
        </is>
      </c>
    </row>
    <row r="42">
      <c r="A42" s="2" t="n">
        <v>41</v>
      </c>
      <c r="B42" s="2" t="inlineStr">
        <is>
          <t>سوئیس</t>
        </is>
      </c>
      <c r="C42" s="4" t="inlineStr">
        <is>
          <t>ZHAW School of Engineering</t>
        </is>
      </c>
      <c r="D42" s="4" t="inlineStr">
        <is>
          <t>Zürich / Winterthur (زوریخ / وینترتور؛ کمپوس‌های ZHAW)</t>
        </is>
      </c>
      <c r="E42" s="4" t="inlineStr">
        <is>
          <t>خیلی گران — CHF 1,800–2,400</t>
        </is>
      </c>
      <c r="F42" s="4" t="inlineStr">
        <is>
          <t>MSc in Engineering (MSE) — پروفایل Computer Science / Data Science / Information &amp; Cyber Security</t>
        </is>
      </c>
      <c r="G42" s="4" t="inlineStr">
        <is>
          <t>چندحوزه‌ای (انتخاب گرایش)</t>
        </is>
      </c>
      <c r="H42" s="4" t="inlineStr">
        <is>
          <t>۱.۵ سال (90 ECTS؛ پاره‌وقت تا ۳ سال)</t>
        </is>
      </c>
      <c r="I42" s="4" t="inlineStr">
        <is>
          <t>CHF 1,220 در ترم (خارجی) + CHF 60 ≈ CHF 2,560/سال</t>
        </is>
      </c>
      <c r="J42" s="4" t="inlineStr">
        <is>
          <t>$3,100</t>
        </is>
      </c>
      <c r="K42" s="4" t="inlineStr">
        <is>
          <t>کارشناسی با نمرات A یا B (≈ یک‌سوم بالای کلاس) — گواهی رتبهٔ کلاسی از سمنان بگیرید</t>
        </is>
      </c>
      <c r="L42" s="4" t="inlineStr">
        <is>
          <t>B2–C1</t>
        </is>
      </c>
      <c r="M42" s="4" t="inlineStr">
        <is>
          <t>851–900</t>
        </is>
      </c>
      <c r="N42" s="11" t="inlineStr">
        <is>
          <t>Target/Reach</t>
        </is>
      </c>
      <c r="O42" s="4" t="inlineStr">
        <is>
          <t>4/5 — گرایش را بعد از ورود انتخاب می‌کنید؛ امتیاز بازار = گرایشی که برمی‌دارید</t>
        </is>
      </c>
      <c r="P42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42" s="8" t="inlineStr">
        <is>
          <t>https://www.zhaw.ch/en/engineering/study/masters-degree-programme</t>
        </is>
      </c>
    </row>
    <row r="43">
      <c r="A43" s="2" t="n">
        <v>42</v>
      </c>
      <c r="B43" s="2" t="inlineStr">
        <is>
          <t>سوئیس</t>
        </is>
      </c>
      <c r="C43" s="4" t="inlineStr">
        <is>
          <t>EPFL</t>
        </is>
      </c>
      <c r="D43" s="4" t="inlineStr">
        <is>
          <t>Lausanne (لوزان) — کنار دریاچهٔ ژنو؛ فرانسه‌زبان؛ EPFL</t>
        </is>
      </c>
      <c r="E43" s="4" t="inlineStr">
        <is>
          <t>خیلی گران — CHF 1,700–2,200</t>
        </is>
      </c>
      <c r="F43" s="4" t="inlineStr">
        <is>
          <t>MSc Computer Science</t>
        </is>
      </c>
      <c r="G43" s="4" t="inlineStr">
        <is>
          <t>مهندسی نرم‌افزار / علوم کامپیوتر</t>
        </is>
      </c>
      <c r="H43" s="4" t="inlineStr">
        <is>
          <t>۲ سال (120 ECTS)</t>
        </is>
      </c>
      <c r="I43" s="4" t="inlineStr">
        <is>
          <t>CHF 2,240 در ترم برای خارجی‌های غیرمقیم (از پاییز ۲۰۲۵؛ ≈ CHF 4,480/سال)</t>
        </is>
      </c>
      <c r="J43" s="4" t="inlineStr">
        <is>
          <t>$5,400</t>
        </is>
      </c>
      <c r="K43" s="4" t="inlineStr">
        <is>
          <t>کارشناسی CS با نمرات عالی (بالای کلاس)؛ فقط یک برنامه در سال</t>
        </is>
      </c>
      <c r="L43" s="4" t="inlineStr">
        <is>
          <t>مدرک زبان الزامی نیست (C1 عملاً لازم)</t>
        </is>
      </c>
      <c r="M43" s="4">
        <f>22</f>
        <v/>
      </c>
      <c r="N43" s="12" t="inlineStr">
        <is>
          <t>Reach</t>
        </is>
      </c>
      <c r="O43" s="4" t="inlineStr">
        <is>
          <t>4/5 — بیشترین حجم آگهی در هر ۶ کشور؛ ورود جونیور از ۲۰۲۳ سخت‌تر شده — سابقهٔ کار شما مزیت است</t>
        </is>
      </c>
      <c r="P43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43" s="8" t="inlineStr">
        <is>
          <t>https://www.epfl.ch/education/master/programs/computer-science/</t>
        </is>
      </c>
    </row>
    <row r="44">
      <c r="A44" s="2" t="n">
        <v>43</v>
      </c>
      <c r="B44" s="2" t="inlineStr">
        <is>
          <t>سوئیس</t>
        </is>
      </c>
      <c r="C44" s="4" t="inlineStr">
        <is>
          <t>EPFL</t>
        </is>
      </c>
      <c r="D44" s="4" t="inlineStr">
        <is>
          <t>Lausanne (لوزان) — کنار دریاچهٔ ژنو؛ فرانسه‌زبان؛ EPFL</t>
        </is>
      </c>
      <c r="E44" s="4" t="inlineStr">
        <is>
          <t>خیلی گران — CHF 1,700–2,200</t>
        </is>
      </c>
      <c r="F44" s="4" t="inlineStr">
        <is>
          <t>MSc Data Science</t>
        </is>
      </c>
      <c r="G44" s="4" t="inlineStr">
        <is>
          <t>علم داده / تحلیل داده</t>
        </is>
      </c>
      <c r="H44" s="4" t="inlineStr">
        <is>
          <t>۲ سال (120 ECTS)</t>
        </is>
      </c>
      <c r="I44" s="4" t="inlineStr">
        <is>
          <t>CHF 2,240 در ترم (≈ CHF 4,480/سال)</t>
        </is>
      </c>
      <c r="J44" s="4" t="inlineStr">
        <is>
          <t>$5,400</t>
        </is>
      </c>
      <c r="K44" s="4" t="inlineStr">
        <is>
          <t>کارشناسی CS/ریاضی/مهندسی با نمرات عالی</t>
        </is>
      </c>
      <c r="L44" s="4" t="inlineStr">
        <is>
          <t>مدرک زبان الزامی نیست</t>
        </is>
      </c>
      <c r="M44" s="4">
        <f>22</f>
        <v/>
      </c>
      <c r="N44" s="12" t="inlineStr">
        <is>
          <t>Reach</t>
        </is>
      </c>
      <c r="O4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4" s="4" t="inlineStr">
        <is>
          <t>بسیار رقابتی؛ کارآموزی صنعتی جزو برنامه است</t>
        </is>
      </c>
      <c r="Q44" s="8" t="inlineStr">
        <is>
          <t>https://www.epfl.ch/education/master/programs/data-science/</t>
        </is>
      </c>
    </row>
    <row r="45">
      <c r="A45" s="2" t="n">
        <v>44</v>
      </c>
      <c r="B45" s="2" t="inlineStr">
        <is>
          <t>سوئیس</t>
        </is>
      </c>
      <c r="C45" s="4" t="inlineStr">
        <is>
          <t>ETH Zürich</t>
        </is>
      </c>
      <c r="D45" s="4" t="inlineStr">
        <is>
          <t>Zürich (زوریخ) — Google، UBS، ETH؛ گران‌ترین شهر دانشگاهی اروپا</t>
        </is>
      </c>
      <c r="E45" s="4" t="inlineStr">
        <is>
          <t>خیلی گران — CHF 1,900–2,500</t>
        </is>
      </c>
      <c r="F45" s="4" t="inlineStr">
        <is>
          <t>MSc Computer Science</t>
        </is>
      </c>
      <c r="G45" s="4" t="inlineStr">
        <is>
          <t>مهندسی نرم‌افزار / علوم کامپیوتر</t>
        </is>
      </c>
      <c r="H45" s="4" t="inlineStr">
        <is>
          <t>۲ سال (120 ECTS)</t>
        </is>
      </c>
      <c r="I45" s="4" t="inlineStr">
        <is>
          <t>CHF 2,190 + ≈ CHF 74 = ≈ CHF 2,264 در ترم (≈ CHF 4,530/سال)</t>
        </is>
      </c>
      <c r="J45" s="4" t="inlineStr">
        <is>
          <t>$5,500</t>
        </is>
      </c>
      <c r="K45" s="4" t="inlineStr">
        <is>
          <t>کارشناسی CS با نمرات ممتاز (عملاً ۱۰٪ بالای کلاس)؛ هزینهٔ درخواست CHF 150؛ تا ۲ برنامه</t>
        </is>
      </c>
      <c r="L45" s="4" t="inlineStr">
        <is>
          <t>C1 / IELTS 7.0</t>
        </is>
      </c>
      <c r="M45" s="4">
        <f>8</f>
        <v/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45" s="8" t="inlineStr">
        <is>
          <t>https://ethz.ch/en/studies/master/degree-programmes/engineering-sciences/computer-science.html</t>
        </is>
      </c>
    </row>
    <row r="46">
      <c r="A46" s="2" t="n">
        <v>45</v>
      </c>
      <c r="B46" s="2" t="inlineStr">
        <is>
          <t>سوئیس</t>
        </is>
      </c>
      <c r="C46" s="4" t="inlineStr">
        <is>
          <t>ETH Zürich + EPFL</t>
        </is>
      </c>
      <c r="D46" s="4" t="inlineStr">
        <is>
          <t>Zürich (زوریخ) — Google، UBS، ETH؛ گران‌ترین شهر دانشگاهی اروپا</t>
        </is>
      </c>
      <c r="E46" s="4" t="inlineStr">
        <is>
          <t>خیلی گران — CHF 1,900–2,500</t>
        </is>
      </c>
      <c r="F46" s="4" t="inlineStr">
        <is>
          <t>MSc Cyber Security (مشترک ETH–EPFL؛ یک سال در هر کدام)</t>
        </is>
      </c>
      <c r="G46" s="4" t="inlineStr">
        <is>
          <t>امنیت سایبری</t>
        </is>
      </c>
      <c r="H46" s="4" t="inlineStr">
        <is>
          <t>۲ سال (120 ECTS)</t>
        </is>
      </c>
      <c r="I46" s="4" t="inlineStr">
        <is>
          <t>شهریهٔ ETH: ≈ CHF 2,264 در ترم (≈ CHF 4,530/سال)</t>
        </is>
      </c>
      <c r="J46" s="4" t="inlineStr">
        <is>
          <t>$5,500</t>
        </is>
      </c>
      <c r="K46" s="4" t="inlineStr">
        <is>
          <t>کارشناسی CS با نمرات ممتاز؛ پیش‌زمینهٔ ریاضی/سیستم قوی</t>
        </is>
      </c>
      <c r="L46" s="4" t="inlineStr">
        <is>
          <t>C1 / IELTS 7.0</t>
        </is>
      </c>
      <c r="M46" s="4">
        <f>8</f>
        <v/>
      </c>
      <c r="N46" s="12" t="inlineStr">
        <is>
          <t>Reach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قوی‌ترین ارشد امنیت اروپا؛ همان پنجرهٔ نوامبر ETH؛ Reach</t>
        </is>
      </c>
      <c r="Q46" s="8" t="inlineStr">
        <is>
          <t>https://ethz.ch/en/studies/master/degree-programmes/engineering-sciences/cyber-security.html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Universität Stuttgart</t>
        </is>
      </c>
      <c r="D47" s="4" t="inlineStr">
        <is>
          <t>Stuttgart (اشتوتگارت) — Bosch، Mercedes، Porsche</t>
        </is>
      </c>
      <c r="E47" s="4" t="inlineStr">
        <is>
          <t>گران — €1,100–1,350</t>
        </is>
      </c>
      <c r="F47" s="4" t="inlineStr">
        <is>
          <t>M.Sc. Computer Science (انگلیسی، بدون NC)</t>
        </is>
      </c>
      <c r="G47" s="4" t="inlineStr">
        <is>
          <t>مهندسی نرم‌افزار / علوم کامپیوتر</t>
        </is>
      </c>
      <c r="H47" s="4" t="inlineStr">
        <is>
          <t>۲ سال</t>
        </is>
      </c>
      <c r="I47" s="4" t="inlineStr">
        <is>
          <t>€1,500 در ترم + ≈ €200 سهم ترم = ≈ €3,400/سال</t>
        </is>
      </c>
      <c r="J47" s="4" t="inlineStr">
        <is>
          <t>$3,900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 t="inlineStr">
        <is>
          <t>318</t>
        </is>
      </c>
      <c r="N47" s="10" t="inlineStr">
        <is>
          <t>Target</t>
        </is>
      </c>
      <c r="O47" s="4" t="inlineStr">
        <is>
          <t>4/5 — بیشترین حجم آگهی در هر ۶ کشور؛ ورود جونیور از ۲۰۲۳ سخت‌تر شده — سابقهٔ کار شما مزیت است</t>
        </is>
      </c>
      <c r="P47" s="4" t="inlineStr">
        <is>
          <t>شهریهٔ بادن-وورتمبرگ برای غیر-EU</t>
        </is>
      </c>
      <c r="Q47" s="8" t="inlineStr">
        <is>
          <t>https://www.uni-stuttgart.de/en/study/study-programs/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Stuttgart</t>
        </is>
      </c>
      <c r="D48" s="4" t="inlineStr">
        <is>
          <t>Stuttgart (اشتوتگارت) — Bosch، Mercedes، Porsche</t>
        </is>
      </c>
      <c r="E48" s="4" t="inlineStr">
        <is>
          <t>گران — €1,100–1,350</t>
        </is>
      </c>
      <c r="F48" s="4" t="inlineStr">
        <is>
          <t>M.Sc. Information Technology (INFOTECH)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€1,500 در ترم + سهم ترم ≈ €3,400/سال</t>
        </is>
      </c>
      <c r="J48" s="4" t="inlineStr">
        <is>
          <t>$3,900</t>
        </is>
      </c>
      <c r="K48" s="4" t="inlineStr">
        <is>
          <t>کارشناسی EE/CS/Computer Engineering؛ گزینش</t>
        </is>
      </c>
      <c r="L48" s="4" t="inlineStr">
        <is>
          <t>7.0 (C1)</t>
        </is>
      </c>
      <c r="M48" s="4" t="inlineStr">
        <is>
          <t>318</t>
        </is>
      </c>
      <c r="N48" s="10" t="inlineStr">
        <is>
          <t>Target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گرایش‌های Embedded/Communication؛ Bosch و Daimler همان شهر</t>
        </is>
      </c>
      <c r="Q48" s="8" t="inlineStr">
        <is>
          <t>https://www.mygermanuniversity.com/master/information-technology-infotech/678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FAU Erlangen-Nürnberg</t>
        </is>
      </c>
      <c r="D49" s="4" t="inlineStr">
        <is>
          <t>Erlangen / Nürnberg (ارلانگن / نورنبرگ) — Siemens</t>
        </is>
      </c>
      <c r="E49" s="4" t="inlineStr">
        <is>
          <t>متوسط — €950–1,150</t>
        </is>
      </c>
      <c r="F49" s="4" t="inlineStr">
        <is>
          <t>M.Sc. Artificial Intelligence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€4,000 در ترم برای غیر-EU از ترم تابستان ۲۰۲۷ (€8,000/سال) + €82 سهم ترم</t>
        </is>
      </c>
      <c r="J49" s="4" t="inlineStr">
        <is>
          <t>$9,300</t>
        </is>
      </c>
      <c r="K49" s="4" t="inlineStr">
        <is>
          <t>کارشناسی CS/مرتبط؛ بررسی ریزنمرات</t>
        </is>
      </c>
      <c r="L49" s="4" t="inlineStr">
        <is>
          <t>B2 (IELTS 6.0)</t>
        </is>
      </c>
      <c r="M49" s="4" t="inlineStr">
        <is>
          <t>218</t>
        </is>
      </c>
      <c r="N49" s="10" t="inlineStr">
        <is>
          <t>Target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9" s="8" t="inlineStr">
        <is>
          <t>https://www.fau.eu/degree-program/artificial-intelligence-m-sc/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FAU Erlangen-Nürnberg</t>
        </is>
      </c>
      <c r="D50" s="4" t="inlineStr">
        <is>
          <t>Erlangen / Nürnberg (ارلانگن / نورنبرگ) — Siemens</t>
        </is>
      </c>
      <c r="E50" s="4" t="inlineStr">
        <is>
          <t>متوسط — €950–1,150</t>
        </is>
      </c>
      <c r="F50" s="4" t="inlineStr">
        <is>
          <t>M.Sc. Autonomy Technologies</t>
        </is>
      </c>
      <c r="G50" s="4" t="inlineStr">
        <is>
          <t>سیستم‌های نهفته / رباتیک / خودران</t>
        </is>
      </c>
      <c r="H50" s="4" t="inlineStr">
        <is>
          <t>۲ سال</t>
        </is>
      </c>
      <c r="I50" s="4" t="inlineStr">
        <is>
          <t>€2,000 در ترم از تابستان ۲۰۲۷ (€4,000/سال) + €82 سهم ترم</t>
        </is>
      </c>
      <c r="J50" s="4" t="inlineStr">
        <is>
          <t>$4,700</t>
        </is>
      </c>
      <c r="K50" s="4" t="inlineStr">
        <is>
          <t>کارشناسی مرتبط؛ آلمانی لازم نیست</t>
        </is>
      </c>
      <c r="L50" s="4" t="inlineStr">
        <is>
          <t>B2 (IELTS 6.0)</t>
        </is>
      </c>
      <c r="M50" s="4" t="inlineStr">
        <is>
          <t>218</t>
        </is>
      </c>
      <c r="N50" s="10" t="inlineStr">
        <is>
          <t>Target</t>
        </is>
      </c>
      <c r="O5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0" s="4" t="inlineStr">
        <is>
          <t>رباتیک/خودران؛ ⚠️ مشمول شهریهٔ جدید FAU از ۲۰۲۷ (صفحهٔ رسمی شهریه، ۲۰۲۶)</t>
        </is>
      </c>
      <c r="Q50" s="8" t="inlineStr">
        <is>
          <t>https://www.fau.eu/degree-program/autonomy-technologies-m-sc/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TU Darmstadt</t>
        </is>
      </c>
      <c r="D51" s="4" t="inlineStr">
        <is>
          <t>Darmstadt (دارمشتات) — ۲۵ دقیقه تا فرانکفورت</t>
        </is>
      </c>
      <c r="E51" s="4" t="inlineStr">
        <is>
          <t>گران — €1,050–1,300</t>
        </is>
      </c>
      <c r="F51" s="4" t="inlineStr">
        <is>
          <t>M.Sc. Distributed Software Systems (انگلیسی)</t>
        </is>
      </c>
      <c r="G51" s="4" t="inlineStr">
        <is>
          <t>ابری / سیستم‌های توزیع‌شده / DevOps</t>
        </is>
      </c>
      <c r="H51" s="4" t="inlineStr">
        <is>
          <t>۲ سال</t>
        </is>
      </c>
      <c r="I51" s="4" t="inlineStr">
        <is>
          <t>€0 + ≈ €300 سهم ترم (≈ €600/سال)</t>
        </is>
      </c>
      <c r="J51" s="4" t="inlineStr">
        <is>
          <t>$700</t>
        </is>
      </c>
      <c r="K51" s="4" t="inlineStr">
        <is>
          <t>کارشناسی CS با پیش‌نیازهای مشخص</t>
        </is>
      </c>
      <c r="L51" s="4" t="inlineStr">
        <is>
          <t>≈ 7.0 (C1) — چک شود</t>
        </is>
      </c>
      <c r="M51" s="4" t="inlineStr">
        <is>
          <t>250</t>
        </is>
      </c>
      <c r="N51" s="11" t="inlineStr">
        <is>
          <t>Target/Reach</t>
        </is>
      </c>
      <c r="O51" s="4" t="inlineStr">
        <is>
          <t>4/5 — تقاضای پایدار و کمتر مدرک‌محور؛ گواهی AWS/Azure کنار مدرک وزن زیادی دارد</t>
        </is>
      </c>
      <c r="P51" s="4" t="inlineStr">
        <is>
          <t>منطقهٔ Rhein-Main (SAP، Deutsche Bank، Software AG)</t>
        </is>
      </c>
      <c r="Q51" s="8" t="inlineStr">
        <is>
          <t>https://www.tu-darmstadt.de/studieren/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TU Dresden</t>
        </is>
      </c>
      <c r="D52" s="4" t="inlineStr">
        <is>
          <t>Dresden (درسدن) — «سیلیکون ساکسونی»</t>
        </is>
      </c>
      <c r="E52" s="4" t="inlineStr">
        <is>
          <t>ارزان — €850–1,050</t>
        </is>
      </c>
      <c r="F52" s="4" t="inlineStr">
        <is>
          <t>M.Sc. Computer Science (انگلیسی)</t>
        </is>
      </c>
      <c r="G52" s="4" t="inlineStr">
        <is>
          <t>مهندسی نرم‌افزار / علوم کامپیوتر</t>
        </is>
      </c>
      <c r="H52" s="4" t="inlineStr">
        <is>
          <t>۲ سال</t>
        </is>
      </c>
      <c r="I52" s="4" t="inlineStr">
        <is>
          <t>€0 + ≈ €300 سهم ترم</t>
        </is>
      </c>
      <c r="J52" s="4" t="inlineStr">
        <is>
          <t>$700</t>
        </is>
      </c>
      <c r="K52" s="4" t="inlineStr">
        <is>
          <t>کارشناسی CS؛ ارزیابی استعداد</t>
        </is>
      </c>
      <c r="L52" s="4" t="inlineStr">
        <is>
          <t>7.0</t>
        </is>
      </c>
      <c r="M52" s="4" t="inlineStr">
        <is>
          <t>185</t>
        </is>
      </c>
      <c r="N52" s="12" t="inlineStr">
        <is>
          <t>Reach</t>
        </is>
      </c>
      <c r="O52" s="4" t="inlineStr">
        <is>
          <t>4/5 — بیشترین حجم آگهی در هر ۶ کشور؛ ورود جونیور از ۲۰۲۳ سخت‌تر شده — سابقهٔ کار شما مزیت است</t>
        </is>
      </c>
      <c r="P52" s="4" t="inlineStr">
        <is>
          <t>Dresden ارزان‌ترین شهر جدول؛ GlobalFoundries/Infineon/Bosch</t>
        </is>
      </c>
      <c r="Q52" s="8" t="inlineStr">
        <is>
          <t>https://tu-dresden.de/studium/vor-dem-studium/studienangebot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Saarland University (UdS)</t>
        </is>
      </c>
      <c r="D53" s="4" t="inlineStr">
        <is>
          <t>Saarbrücken (زاربروکن) — مرز فرانسه؛ CISPA/DFKI</t>
        </is>
      </c>
      <c r="E53" s="4" t="inlineStr">
        <is>
          <t>متوسط — €900–1,100</t>
        </is>
      </c>
      <c r="F53" s="4" t="inlineStr">
        <is>
          <t>M.Sc. Cybersecurity</t>
        </is>
      </c>
      <c r="G53" s="4" t="inlineStr">
        <is>
          <t>امنیت سایبری</t>
        </is>
      </c>
      <c r="H53" s="4" t="inlineStr">
        <is>
          <t>۲ سال</t>
        </is>
      </c>
      <c r="I53" s="4" t="inlineStr">
        <is>
          <t>€0 + ≈ €394 سهم ترم (≈ €790/سال)</t>
        </is>
      </c>
      <c r="J53" s="4" t="inlineStr">
        <is>
          <t>$900</t>
        </is>
      </c>
      <c r="K53" s="4" t="inlineStr">
        <is>
          <t>کارشناسی CS + اثبات دروس پایه + ۲ توصیه‌نامه؛ بدون NC</t>
        </is>
      </c>
      <c r="L53" s="4" t="inlineStr">
        <is>
          <t>7.0 (C1؛ MOI پذیرفته نمی‌شود)</t>
        </is>
      </c>
      <c r="M53" s="4">
        <f>588 (CS ≈ 251)</f>
        <v/>
      </c>
      <c r="N53" s="10" t="inlineStr">
        <is>
          <t>Target</t>
        </is>
      </c>
      <c r="O53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53" s="4" t="inlineStr">
        <is>
          <t>CISPA — بهترین مرکز امنیت آلمان؛ IELTS 7 شرط سخت شماست</t>
        </is>
      </c>
      <c r="Q53" s="8" t="inlineStr">
        <is>
          <t>https://www.uni-saarland.de/en/study/programmes/master/cybersecurity.html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Saarland University (UdS)</t>
        </is>
      </c>
      <c r="D54" s="4" t="inlineStr">
        <is>
          <t>Saarbrücken (زاربروکن) — مرز فرانسه؛ CISPA/DFKI</t>
        </is>
      </c>
      <c r="E54" s="4" t="inlineStr">
        <is>
          <t>متوسط — €900–1,100</t>
        </is>
      </c>
      <c r="F54" s="4" t="inlineStr">
        <is>
          <t>M.Sc. Data Science and Artificial Intelligence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€0 + ≈ €394 سهم ترم</t>
        </is>
      </c>
      <c r="J54" s="4" t="inlineStr">
        <is>
          <t>$900</t>
        </is>
      </c>
      <c r="K54" s="4" t="inlineStr">
        <is>
          <t>کارشناسی CS/مرتبط؛ بدون NC</t>
        </is>
      </c>
      <c r="L54" s="4" t="inlineStr">
        <is>
          <t>7.0 (C1)</t>
        </is>
      </c>
      <c r="M54" s="4">
        <f>588 (CS ≈ 251)</f>
        <v/>
      </c>
      <c r="N54" s="10" t="inlineStr">
        <is>
          <t>Target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MPI Informatics و DFKI در همان کمپوس</t>
        </is>
      </c>
      <c r="Q54" s="8" t="inlineStr">
        <is>
          <t>https://www.uni-saarland.de/en/study/programmes/master/data-science.html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Chemnitz</t>
        </is>
      </c>
      <c r="D55" s="4" t="inlineStr">
        <is>
          <t>Chemnitz (کمنیتس) — ساکسونی</t>
        </is>
      </c>
      <c r="E55" s="4" t="inlineStr">
        <is>
          <t>ارزان — €800–1,000</t>
        </is>
      </c>
      <c r="F55" s="4" t="inlineStr">
        <is>
          <t>M.Sc. Automotive Software Engineering</t>
        </is>
      </c>
      <c r="G55" s="4" t="inlineStr">
        <is>
          <t>سیستم‌های نهفته / رباتیک / خودران</t>
        </is>
      </c>
      <c r="H55" s="4" t="inlineStr">
        <is>
          <t>۲ سال</t>
        </is>
      </c>
      <c r="I55" s="4" t="inlineStr">
        <is>
          <t>€0 + ≈ €320 سهم ترم (≈ €640/سال)</t>
        </is>
      </c>
      <c r="J55" s="4" t="inlineStr">
        <is>
          <t>$700</t>
        </is>
      </c>
      <c r="K55" s="4" t="inlineStr">
        <is>
          <t>کارشناسی CS/مرتبط؛ بدون محدودیت پذیرش</t>
        </is>
      </c>
      <c r="L55" s="4" t="inlineStr">
        <is>
          <t>B2 (IELTS 5.5)</t>
        </is>
      </c>
      <c r="M55" s="4" t="inlineStr">
        <is>
          <t>—</t>
        </is>
      </c>
      <c r="N55" s="7" t="inlineStr">
        <is>
          <t>Safe</t>
        </is>
      </c>
      <c r="O5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5" s="4" t="inlineStr">
        <is>
          <t>آسان‌ترین ورود؛ شهر ارزان؛ ولی صنعت خودرو ۲۰۲۴–۲۵ ضعیف و آلمانی در کارفرمایان محلی</t>
        </is>
      </c>
      <c r="Q55" s="8" t="inlineStr">
        <is>
          <t>https://www.mygermanuniversity.com/master/automotive-software-engineering/91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Passau</t>
        </is>
      </c>
      <c r="D56" s="4" t="inlineStr">
        <is>
          <t>Passau (پاساو) — شهر کوچک، مرز اتریش</t>
        </is>
      </c>
      <c r="E56" s="4" t="inlineStr">
        <is>
          <t>متوسط — €900–1,100</t>
        </is>
      </c>
      <c r="F56" s="4" t="inlineStr">
        <is>
          <t>M.Sc. Artificial Intelligence Engineering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€0 + ≈ €100–200 سهم ترم</t>
        </is>
      </c>
      <c r="J56" s="4" t="inlineStr">
        <is>
          <t>$300</t>
        </is>
      </c>
      <c r="K56" s="4" t="inlineStr">
        <is>
          <t>معدل آلمانی ≤ 2.7 (معدل شما ≈ 2.3 ✓)؛ ۳۵ ECTS ریاضی + ۴۰ ECTS CS</t>
        </is>
      </c>
      <c r="L56" s="4" t="inlineStr">
        <is>
          <t>B2؛ + آلمانی A1 تا پایان سال اول (کلاس رایگان)</t>
        </is>
      </c>
      <c r="M56" s="4" t="inlineStr">
        <is>
          <t>—</t>
        </is>
      </c>
      <c r="N56" s="7" t="inlineStr">
        <is>
          <t>Safe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6" s="8" t="inlineStr">
        <is>
          <t>https://www.uni-passau.de/en/msc-ai-eng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Otto-von-Guericke-Universität (OVGU)</t>
        </is>
      </c>
      <c r="D57" s="4" t="inlineStr">
        <is>
          <t>Magdeburg (ماگدبورگ) — ساکسونی-آنهالت</t>
        </is>
      </c>
      <c r="E57" s="4" t="inlineStr">
        <is>
          <t>ارزان — €850–1,000</t>
        </is>
      </c>
      <c r="F57" s="4" t="inlineStr">
        <is>
          <t>M.Sc. Data and Knowledge Engineering</t>
        </is>
      </c>
      <c r="G57" s="4" t="inlineStr">
        <is>
          <t>علم داده / تحلیل داده</t>
        </is>
      </c>
      <c r="H57" s="4" t="inlineStr">
        <is>
          <t>۲ سال</t>
        </is>
      </c>
      <c r="I57" s="4" t="inlineStr">
        <is>
          <t>€0 + ≈ €311 سهم ترم</t>
        </is>
      </c>
      <c r="J57" s="4" t="inlineStr">
        <is>
          <t>$700</t>
        </is>
      </c>
      <c r="K57" s="4" t="inlineStr">
        <is>
          <t>معدل آلمانی ≤ 2.3 (معدل شما ≈ 2.27 — دقیقاً مرزی)؛ کارشناسی CS</t>
        </is>
      </c>
      <c r="L57" s="4" t="inlineStr">
        <is>
          <t>6.0–7.0 (منابع متناقض؛ رسمی را چک کنید)</t>
        </is>
      </c>
      <c r="M57" s="4" t="inlineStr">
        <is>
          <t>—</t>
        </is>
      </c>
      <c r="N57" s="9" t="inlineStr">
        <is>
          <t>Safe/Target</t>
        </is>
      </c>
      <c r="O5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7" s="4" t="inlineStr"/>
      <c r="Q57" s="8" t="inlineStr">
        <is>
          <t>https://www.dke.ovgu.de/</t>
        </is>
      </c>
    </row>
    <row r="58">
      <c r="A58" s="2" t="n">
        <v>57</v>
      </c>
      <c r="B58" s="2" t="inlineStr">
        <is>
          <t>آلمان</t>
        </is>
      </c>
      <c r="C58" s="4" t="inlineStr">
        <is>
          <t>TH Köln – Cologne Game Lab</t>
        </is>
      </c>
      <c r="D58" s="4" t="inlineStr">
        <is>
          <t>Köln / Cologne (کلن) — چهارمین شهر آلمان</t>
        </is>
      </c>
      <c r="E58" s="4" t="inlineStr">
        <is>
          <t>گران — €1,050–1,300</t>
        </is>
      </c>
      <c r="F58" s="4" t="inlineStr">
        <is>
          <t>M.A. Game Development and Research</t>
        </is>
      </c>
      <c r="G58" s="4" t="inlineStr">
        <is>
          <t>توسعه بازی</t>
        </is>
      </c>
      <c r="H58" s="4" t="inlineStr">
        <is>
          <t>۲ سال</t>
        </is>
      </c>
      <c r="I58" s="4" t="inlineStr">
        <is>
          <t>€2,500 در ترم (غیر-EU) + €277 سهم ترم ≈ €5,550/سال</t>
        </is>
      </c>
      <c r="J58" s="4" t="inlineStr">
        <is>
          <t>$6,300</t>
        </is>
      </c>
      <c r="K58" s="4" t="inlineStr">
        <is>
          <t>هر کارشناسی + ≥ ۱۲ ماه سابقهٔ مرتبط + آزمون استعداد (مهلت ۳۱ مارس)</t>
        </is>
      </c>
      <c r="L58" s="4" t="inlineStr">
        <is>
          <t>B2</t>
        </is>
      </c>
      <c r="M58" s="4" t="inlineStr">
        <is>
          <t>— (UAS)</t>
        </is>
      </c>
      <c r="N58" s="10" t="inlineStr">
        <is>
          <t>Target</t>
        </is>
      </c>
      <c r="O5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8" s="4" t="inlineStr">
        <is>
          <t>معتبرترین مدرسهٔ بازی آلمان؛ ۷ ماه Unity + ۲ سال IT شما احتمالاً شرط ۱۲ ماه را می‌پوشاند — بپرسید</t>
        </is>
      </c>
      <c r="Q58" s="8" t="inlineStr">
        <is>
          <t>https://colognegamelab.de/study-programs/post-graduate-programs/game-development-research-ma/faqs/</t>
        </is>
      </c>
    </row>
    <row r="59">
      <c r="A59" s="2" t="n">
        <v>58</v>
      </c>
      <c r="B59" s="2" t="inlineStr">
        <is>
          <t>آلمان</t>
        </is>
      </c>
      <c r="C59" s="4" t="inlineStr">
        <is>
          <t>Universität Siegen</t>
        </is>
      </c>
      <c r="D59" s="4" t="inlineStr">
        <is>
          <t>Siegen (زیگن) — شهر کوچک، NRW</t>
        </is>
      </c>
      <c r="E59" s="4" t="inlineStr">
        <is>
          <t>متوسط — €900–1,100</t>
        </is>
      </c>
      <c r="F59" s="4" t="inlineStr">
        <is>
          <t>M.Sc. Human Computer Interaction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€0 + ≈ €372 سهم ترم</t>
        </is>
      </c>
      <c r="J59" s="4" t="inlineStr">
        <is>
          <t>$800</t>
        </is>
      </c>
      <c r="K59" s="4" t="inlineStr">
        <is>
          <t>معدل آلمانی ≤ 2.5؛ کارشناسی CS/IS/Design/Psychology</t>
        </is>
      </c>
      <c r="L59" s="4" t="inlineStr">
        <is>
          <t>6.5</t>
        </is>
      </c>
      <c r="M59" s="4" t="inlineStr">
        <is>
          <t>—</t>
        </is>
      </c>
      <c r="N59" s="7" t="inlineStr">
        <is>
          <t>Safe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شروع زمستان و تابستان؛ شهر کوچک</t>
        </is>
      </c>
      <c r="Q59" s="8" t="inlineStr">
        <is>
          <t>https://www2.daad.de/deutschland/studienangebote/international-programmes/en/detail/4686/</t>
        </is>
      </c>
    </row>
    <row r="60">
      <c r="A60" s="2" t="n">
        <v>59</v>
      </c>
      <c r="B60" s="2" t="inlineStr">
        <is>
          <t>آلمان</t>
        </is>
      </c>
      <c r="C60" s="4" t="inlineStr">
        <is>
          <t>Hochschule Bonn-Rhein-Sieg (H-BRS)</t>
        </is>
      </c>
      <c r="D60" s="4" t="inlineStr">
        <is>
          <t>Sankt Augustin (زانکت آگوستین) — حومهٔ Bonn</t>
        </is>
      </c>
      <c r="E60" s="4" t="inlineStr">
        <is>
          <t>متوسط — €950–1,200</t>
        </is>
      </c>
      <c r="F60" s="4" t="inlineStr">
        <is>
          <t>M.Sc. Autonomous Systems</t>
        </is>
      </c>
      <c r="G60" s="4" t="inlineStr">
        <is>
          <t>سیستم‌های نهفته / رباتیک / خودران</t>
        </is>
      </c>
      <c r="H60" s="4" t="inlineStr">
        <is>
          <t>۲ سال</t>
        </is>
      </c>
      <c r="I60" s="4" t="inlineStr">
        <is>
          <t>€0 + €349 سهم ترم</t>
        </is>
      </c>
      <c r="J60" s="4" t="inlineStr">
        <is>
          <t>$800</t>
        </is>
      </c>
      <c r="K60" s="4" t="inlineStr">
        <is>
          <t>معدل آلمانی ≤ 2.5؛ ۲۵ جای محدود؛ آزمون استعداد؛ uni-assist</t>
        </is>
      </c>
      <c r="L60" s="4" t="inlineStr">
        <is>
          <t>6.5 (B2+)</t>
        </is>
      </c>
      <c r="M60" s="4" t="inlineStr">
        <is>
          <t>— (UAS)</t>
        </is>
      </c>
      <c r="N60" s="10" t="inlineStr">
        <is>
          <t>Target</t>
        </is>
      </c>
      <c r="O6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0" s="4" t="inlineStr">
        <is>
          <t>رباتیک کاربردی با Fraunhofer؛ نزدیک Bonn/Köln</t>
        </is>
      </c>
      <c r="Q60" s="8" t="inlineStr">
        <is>
          <t>https://www.h-brs.de/en/inf/admission-application-master-autonomous-systems</t>
        </is>
      </c>
    </row>
    <row r="61">
      <c r="A61" s="2" t="n">
        <v>60</v>
      </c>
      <c r="B61" s="2" t="inlineStr">
        <is>
          <t>آلمان</t>
        </is>
      </c>
      <c r="C61" s="4" t="inlineStr">
        <is>
          <t>RWTH Aachen</t>
        </is>
      </c>
      <c r="D61" s="4" t="inlineStr">
        <is>
          <t>Aachen (آخن) — مرز هلند/بلژیک</t>
        </is>
      </c>
      <c r="E61" s="4" t="inlineStr">
        <is>
          <t>متوسط — €950–1,200</t>
        </is>
      </c>
      <c r="F61" s="4" t="inlineStr">
        <is>
          <t>M.Sc. Software Systems Engineering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€0 + ≈ €330 سهم ترم</t>
        </is>
      </c>
      <c r="J61" s="4" t="inlineStr">
        <is>
          <t>$800</t>
        </is>
      </c>
      <c r="K61" s="4" t="inlineStr">
        <is>
          <t>کارشناسی CS، معدل ≥ ۶۵٪ (شما ۷۹٪ ✓)؛ ۲ درس پیشرفتهٔ سیستم؛ مهلت ۱ مارس</t>
        </is>
      </c>
      <c r="L61" s="4" t="inlineStr">
        <is>
          <t>B2 (IELTS 5.5)</t>
        </is>
      </c>
      <c r="M61" s="4" t="inlineStr">
        <is>
          <t>104</t>
        </is>
      </c>
      <c r="N61" s="12" t="inlineStr">
        <is>
          <t>Reach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TU9؛ رقابتی — معدل شما حداقل را رد می‌کند ولی متقاضیان قوی‌ترند</t>
        </is>
      </c>
      <c r="Q61" s="8" t="inlineStr">
        <is>
          <t>https://sc.informatik.rwth-aachen.de/en/studium/master/sse/</t>
        </is>
      </c>
    </row>
    <row r="62">
      <c r="A62" s="2" t="n">
        <v>61</v>
      </c>
      <c r="B62" s="2" t="inlineStr">
        <is>
          <t>آلمان</t>
        </is>
      </c>
      <c r="C62" s="4" t="inlineStr">
        <is>
          <t>Universität Tübingen</t>
        </is>
      </c>
      <c r="D62" s="4" t="inlineStr">
        <is>
          <t>Tübingen (توبینگن) — شهر دانشگاهی کوچک؛ Cyber Valley</t>
        </is>
      </c>
      <c r="E62" s="4" t="inlineStr">
        <is>
          <t>گران — €1,050–1,300</t>
        </is>
      </c>
      <c r="F62" s="4" t="inlineStr">
        <is>
          <t>M.Sc. Machine Learning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€1,500 در ترم + ≈ €200 = ≈ €3,400/سال</t>
        </is>
      </c>
      <c r="J62" s="4" t="inlineStr">
        <is>
          <t>$3,900</t>
        </is>
      </c>
      <c r="K62" s="4" t="inlineStr">
        <is>
          <t>کارشناسی CS/ریاضی؛ آزمون توانایی؛ مهلت ۳۰ آوریل</t>
        </is>
      </c>
      <c r="L62" s="4" t="inlineStr">
        <is>
          <t>7.0</t>
        </is>
      </c>
      <c r="M62" s="4">
        <f>230</f>
        <v/>
      </c>
      <c r="N62" s="12" t="inlineStr">
        <is>
          <t>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Cyber Valley — بهترین ML آلمان؛ پذیرش بسیار سخت</t>
        </is>
      </c>
      <c r="Q62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63">
      <c r="A63" s="2" t="n">
        <v>62</v>
      </c>
      <c r="B63" s="2" t="inlineStr">
        <is>
          <t>آلمان</t>
        </is>
      </c>
      <c r="C63" s="4" t="inlineStr">
        <is>
          <t>TU München (TUM)</t>
        </is>
      </c>
      <c r="D63" s="4" t="inlineStr">
        <is>
          <t>München – Garching (مونیخ، کمپوس گارشینگ)</t>
        </is>
      </c>
      <c r="E63" s="4" t="inlineStr">
        <is>
          <t>خیلی گران — €1,300–1,600</t>
        </is>
      </c>
      <c r="F63" s="4" t="inlineStr">
        <is>
          <t>M.Sc. Informatics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€6,000 در ترم برای غیر-EU (€12,000/سال) + €97</t>
        </is>
      </c>
      <c r="J63" s="4" t="inlineStr">
        <is>
          <t>$13,900</t>
        </is>
      </c>
      <c r="K63" s="4" t="inlineStr">
        <is>
          <t>کارشناسی CS؛ ارزیابی استعداد؛ بسیار رقابتی</t>
        </is>
      </c>
      <c r="L63" s="4" t="inlineStr">
        <is>
          <t>6.5</t>
        </is>
      </c>
      <c r="M63" s="4" t="inlineStr">
        <is>
          <t>≈ 25</t>
        </is>
      </c>
      <c r="N63" s="12" t="inlineStr">
        <is>
          <t>Reach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>
        <is>
          <t>⚠️ TUM از ۲۰۲۴ شهریهٔ غیر-EU می‌گیرد — دیگر «رایگان» نیست؛ Munich گران‌ترین شهر آلمان</t>
        </is>
      </c>
      <c r="Q63" s="8" t="inlineStr">
        <is>
          <t>https://www.tum.de/en/studies/degree-programs/detail/informatics-master-of-science-msc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Twente (UT)</t>
        </is>
      </c>
      <c r="D64" s="4" t="inlineStr">
        <is>
          <t>Enschede (انسخده) — شرق هلند، مرز آلمان</t>
        </is>
      </c>
      <c r="E64" s="4" t="inlineStr">
        <is>
          <t>متوسط — €1,000–1,300</t>
        </is>
      </c>
      <c r="F64" s="4" t="inlineStr">
        <is>
          <t>MSc Computer Science (گرایش‌ها: Cyber Security، Data Science، Software Tech، ...)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€21,700</t>
        </is>
      </c>
      <c r="J64" s="4" t="inlineStr">
        <is>
          <t>$24,700</t>
        </is>
      </c>
      <c r="K64" s="4" t="inlineStr">
        <is>
          <t>حداقل رسمی برای مدرک ایرانی ۱۵/۲۰</t>
        </is>
      </c>
      <c r="L64" s="4" t="inlineStr">
        <is>
          <t>6.5</t>
        </is>
      </c>
      <c r="M64" s="4" t="inlineStr">
        <is>
          <t>223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>
        <is>
          <t>گزینهٔ Target جدول اصلی</t>
        </is>
      </c>
      <c r="Q64" s="8" t="inlineStr">
        <is>
          <t>https://www.utwente.nl/en/education/master/programmes/computer-science/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Twente (UT)</t>
        </is>
      </c>
      <c r="D65" s="4" t="inlineStr">
        <is>
          <t>Enschede (انسخده) — شرق هلند، مرز آلمان</t>
        </is>
      </c>
      <c r="E65" s="4" t="inlineStr">
        <is>
          <t>متوسط — €1,000–1,300</t>
        </is>
      </c>
      <c r="F65" s="4" t="inlineStr">
        <is>
          <t>MSc Embedded Systems</t>
        </is>
      </c>
      <c r="G65" s="4" t="inlineStr">
        <is>
          <t>سیستم‌های نهفته / رباتیک / خودران</t>
        </is>
      </c>
      <c r="H65" s="4" t="inlineStr">
        <is>
          <t>۲ سال</t>
        </is>
      </c>
      <c r="I65" s="4" t="inlineStr">
        <is>
          <t>€21,700</t>
        </is>
      </c>
      <c r="J65" s="4" t="inlineStr">
        <is>
          <t>$24,700</t>
        </is>
      </c>
      <c r="K65" s="4" t="inlineStr">
        <is>
          <t>CGPA ≥ ۷۰–۷۵٪؛ کارشناسی CS/EE/Computer Eng</t>
        </is>
      </c>
      <c r="L65" s="4" t="inlineStr">
        <is>
          <t>6.5</t>
        </is>
      </c>
      <c r="M65" s="4" t="inlineStr">
        <is>
          <t>223</t>
        </is>
      </c>
      <c r="N65" s="10" t="inlineStr">
        <is>
          <t>Target</t>
        </is>
      </c>
      <c r="O6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5" s="4" t="inlineStr">
        <is>
          <t>شهریهٔ رسمی 2026/27؛ مهلت غیر-EU ۱ مه</t>
        </is>
      </c>
      <c r="Q65" s="8" t="inlineStr">
        <is>
          <t>https://www.utwente.nl/en/education/master/programmes/embedded-systems/finance/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Twente (UT)</t>
        </is>
      </c>
      <c r="D66" s="4" t="inlineStr">
        <is>
          <t>Enschede (انسخده) — شرق هلند، مرز آلمان</t>
        </is>
      </c>
      <c r="E66" s="4" t="inlineStr">
        <is>
          <t>متوسط — €1,000–1,300</t>
        </is>
      </c>
      <c r="F66" s="4" t="inlineStr">
        <is>
          <t>MSc Interaction Technology</t>
        </is>
      </c>
      <c r="G66" s="4" t="inlineStr">
        <is>
          <t>HCI / طراحی تعامل / UX</t>
        </is>
      </c>
      <c r="H66" s="4" t="inlineStr">
        <is>
          <t>۲ سال</t>
        </is>
      </c>
      <c r="I66" s="4" t="inlineStr">
        <is>
          <t>€21,700</t>
        </is>
      </c>
      <c r="J66" s="4" t="inlineStr">
        <is>
          <t>$24,700</t>
        </is>
      </c>
      <c r="K66" s="4" t="inlineStr">
        <is>
          <t>کارشناسی CS/مرتبط</t>
        </is>
      </c>
      <c r="L66" s="4" t="inlineStr">
        <is>
          <t>6.5</t>
        </is>
      </c>
      <c r="M66" s="4" t="inlineStr">
        <is>
          <t>223</t>
        </is>
      </c>
      <c r="N66" s="10" t="inlineStr">
        <is>
          <t>Target</t>
        </is>
      </c>
      <c r="O66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6" s="4" t="inlineStr">
        <is>
          <t>HCI فنی (نه طراحی صرف)</t>
        </is>
      </c>
      <c r="Q66" s="8" t="inlineStr">
        <is>
          <t>https://www.utwente.nl/en/education/master/programmes/interaction-technology/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Radboud University</t>
        </is>
      </c>
      <c r="D67" s="4" t="inlineStr">
        <is>
          <t>Nijmegen (نایمخن) — شرق هلند</t>
        </is>
      </c>
      <c r="E67" s="4" t="inlineStr">
        <is>
          <t>متوسط — €1,050–1,350</t>
        </is>
      </c>
      <c r="F67" s="4" t="inlineStr">
        <is>
          <t>MSc Computing Science (گرایش‌ها: Cyber Security، Data Science، Software Science)</t>
        </is>
      </c>
      <c r="G67" s="4" t="inlineStr">
        <is>
          <t>مهندسی نرم‌افزار / علوم کامپیوتر</t>
        </is>
      </c>
      <c r="H67" s="4" t="inlineStr">
        <is>
          <t>۲ سال</t>
        </is>
      </c>
      <c r="I67" s="4" t="inlineStr">
        <is>
          <t>€19,714 (2026/27 — نرخ رسمی دانشکدهٔ علوم)</t>
        </is>
      </c>
      <c r="J67" s="4" t="inlineStr">
        <is>
          <t>$22,500</t>
        </is>
      </c>
      <c r="K67" s="4" t="inlineStr">
        <is>
          <t>کارشناسی CS با ریاضی/الگوریتم کافی</t>
        </is>
      </c>
      <c r="L67" s="4" t="inlineStr">
        <is>
          <t>6.5</t>
        </is>
      </c>
      <c r="M67" s="4" t="inlineStr">
        <is>
          <t>283</t>
        </is>
      </c>
      <c r="N67" s="10" t="inlineStr">
        <is>
          <t>Target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گزینهٔ Target جدول اصلی</t>
        </is>
      </c>
      <c r="Q67" s="8" t="inlineStr">
        <is>
          <t>https://www.ru.nl/en/education/masters/computing-science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Radboud University</t>
        </is>
      </c>
      <c r="D68" s="4" t="inlineStr">
        <is>
          <t>Nijmegen (نایمخن) — شرق هلند</t>
        </is>
      </c>
      <c r="E68" s="4" t="inlineStr">
        <is>
          <t>متوسط — €1,050–1,350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€19,714 (2026/27 — نرخ رسمی دانشکدهٔ علوم)</t>
        </is>
      </c>
      <c r="J68" s="4" t="inlineStr">
        <is>
          <t>$22,500</t>
        </is>
      </c>
      <c r="K68" s="4" t="inlineStr">
        <is>
          <t>کارشناسی CS/AI/مرتبط</t>
        </is>
      </c>
      <c r="L68" s="4" t="inlineStr">
        <is>
          <t>6.5</t>
        </is>
      </c>
      <c r="M68" s="4" t="inlineStr">
        <is>
          <t>283</t>
        </is>
      </c>
      <c r="N68" s="10" t="inlineStr">
        <is>
          <t>Target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>
        <is>
          <t>AI شناختی (Donders Institute)</t>
        </is>
      </c>
      <c r="Q68" s="8" t="inlineStr">
        <is>
          <t>https://www.ru.nl/en/education/masters/artificial-intelligence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Leiden University</t>
        </is>
      </c>
      <c r="D69" s="4" t="inlineStr">
        <is>
          <t>Leiden (لایدن) — بین Den Haag و Amsterdam</t>
        </is>
      </c>
      <c r="E69" s="4" t="inlineStr">
        <is>
          <t>گران — €1,200–1,500</t>
        </is>
      </c>
      <c r="F69" s="4" t="inlineStr">
        <is>
          <t>MSc Computer Science (گرایش‌ها: Artificial Intelligence، Data Science، ...)</t>
        </is>
      </c>
      <c r="G69" s="4" t="inlineStr">
        <is>
          <t>چندحوزه‌ای (انتخاب گرایش)</t>
        </is>
      </c>
      <c r="H69" s="4" t="inlineStr">
        <is>
          <t>۲ سال</t>
        </is>
      </c>
      <c r="I69" s="4" t="inlineStr">
        <is>
          <t>€22,500</t>
        </is>
      </c>
      <c r="J69" s="4" t="inlineStr">
        <is>
          <t>$25,600</t>
        </is>
      </c>
      <c r="K69" s="4" t="inlineStr">
        <is>
          <t>کارشناسی CS</t>
        </is>
      </c>
      <c r="L69" s="4" t="inlineStr">
        <is>
          <t>6.5</t>
        </is>
      </c>
      <c r="M69" s="4" t="inlineStr">
        <is>
          <t>119</t>
        </is>
      </c>
      <c r="N69" s="11" t="inlineStr">
        <is>
          <t>Target/Reach</t>
        </is>
      </c>
      <c r="O69" s="4" t="inlineStr">
        <is>
          <t>4/5 — گرایش را بعد از ورود انتخاب می‌کنید؛ امتیاز بازار = گرایشی که برمی‌دارید</t>
        </is>
      </c>
      <c r="P69" s="4" t="inlineStr">
        <is>
          <t>شهریهٔ رسمی 2026/27؛ نزدیک Den Haag/Amsterdam</t>
        </is>
      </c>
      <c r="Q69" s="8" t="inlineStr">
        <is>
          <t>https://www.universiteitleiden.nl/en/education/study-programmes/master/computer-science/artificial-intelligence/admission-and-application/tuition-fees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University of Groningen (RUG)</t>
        </is>
      </c>
      <c r="D70" s="4" t="inlineStr">
        <is>
          <t>Groningen (خرونینگن) — شمال هلند</t>
        </is>
      </c>
      <c r="E70" s="4" t="inlineStr">
        <is>
          <t>متوسط — €1,050–1,350</t>
        </is>
      </c>
      <c r="F70" s="4" t="inlineStr">
        <is>
          <t>MSc Artificial Intelligence</t>
        </is>
      </c>
      <c r="G70" s="4" t="inlineStr">
        <is>
          <t>هوش مصنوعی / یادگیری ماشین</t>
        </is>
      </c>
      <c r="H70" s="4" t="inlineStr">
        <is>
          <t>۲ سال</t>
        </is>
      </c>
      <c r="I70" s="4" t="inlineStr">
        <is>
          <t>€24,900</t>
        </is>
      </c>
      <c r="J70" s="4" t="inlineStr">
        <is>
          <t>$28,400</t>
        </is>
      </c>
      <c r="K70" s="4" t="inlineStr">
        <is>
          <t>کارشناسی AI/CS با ریاضی</t>
        </is>
      </c>
      <c r="L70" s="4" t="inlineStr">
        <is>
          <t>6.5</t>
        </is>
      </c>
      <c r="M70" s="4" t="inlineStr">
        <is>
          <t>157</t>
        </is>
      </c>
      <c r="N70" s="11" t="inlineStr">
        <is>
          <t>Target/Reach</t>
        </is>
      </c>
      <c r="O7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0" s="4" t="inlineStr">
        <is>
          <t>شهریهٔ رسمی 2026/27؛ بورس ASML €5k</t>
        </is>
      </c>
      <c r="Q70" s="8" t="inlineStr">
        <is>
          <t>https://www.rug.nl/masters/artificial-intelligence/?lang=en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University of Groningen (RUG)</t>
        </is>
      </c>
      <c r="D71" s="4" t="inlineStr">
        <is>
          <t>Groningen (خرونینگن) — شمال هلند</t>
        </is>
      </c>
      <c r="E71" s="4" t="inlineStr">
        <is>
          <t>متوسط — €1,050–1,350</t>
        </is>
      </c>
      <c r="F71" s="4" t="inlineStr">
        <is>
          <t>MSc Computing Science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≈ €21,400 (2025) → ≈ €22,500</t>
        </is>
      </c>
      <c r="J71" s="4" t="inlineStr">
        <is>
          <t>$25,600</t>
        </is>
      </c>
      <c r="K71" s="4" t="inlineStr">
        <is>
          <t>کارشناسی CS</t>
        </is>
      </c>
      <c r="L71" s="4" t="inlineStr">
        <is>
          <t>6.5</t>
        </is>
      </c>
      <c r="M71" s="4" t="inlineStr">
        <is>
          <t>157</t>
        </is>
      </c>
      <c r="N71" s="10" t="inlineStr">
        <is>
          <t>Target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/>
      <c r="Q71" s="8" t="inlineStr">
        <is>
          <t>https://www.rug.nl/masters/computing-science/?lang=en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Utrecht University</t>
        </is>
      </c>
      <c r="D72" s="4" t="inlineStr">
        <is>
          <t>Utrecht (اوترخت) — مرکز هلند؛ قطب استودیوهای بازی</t>
        </is>
      </c>
      <c r="E72" s="4" t="inlineStr">
        <is>
          <t>گران — €1,200–1,500</t>
        </is>
      </c>
      <c r="F72" s="4" t="inlineStr">
        <is>
          <t>MSc Game and Media Technology</t>
        </is>
      </c>
      <c r="G72" s="4" t="inlineStr">
        <is>
          <t>توسعه بازی</t>
        </is>
      </c>
      <c r="H72" s="4" t="inlineStr">
        <is>
          <t>۲ سال</t>
        </is>
      </c>
      <c r="I72" s="4" t="inlineStr">
        <is>
          <t>€25,306</t>
        </is>
      </c>
      <c r="J72" s="4" t="inlineStr">
        <is>
          <t>$28,800</t>
        </is>
      </c>
      <c r="K72" s="4" t="inlineStr">
        <is>
          <t>کارشناسی CS؛ ارشد پژوهشی گزینشی</t>
        </is>
      </c>
      <c r="L72" s="4" t="inlineStr">
        <is>
          <t>6.5</t>
        </is>
      </c>
      <c r="M72" s="4" t="inlineStr">
        <is>
          <t>113</t>
        </is>
      </c>
      <c r="N72" s="12" t="inlineStr">
        <is>
          <t>Reach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تنها ارشد پژوهشی بازی هلند؛ Utrecht قطب استودیوهای بازی</t>
        </is>
      </c>
      <c r="Q72" s="8" t="inlineStr">
        <is>
          <t>https://www.uu.nl/en/masters/game-and-media-technology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Utrecht University</t>
        </is>
      </c>
      <c r="D73" s="4" t="inlineStr">
        <is>
          <t>Utrecht (اوترخت) — مرکز هلند؛ قطب استودیوهای بازی</t>
        </is>
      </c>
      <c r="E73" s="4" t="inlineStr">
        <is>
          <t>گران — €1,200–1,500</t>
        </is>
      </c>
      <c r="F73" s="4" t="inlineStr">
        <is>
          <t>MSc Artificial Intelligence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€25,306</t>
        </is>
      </c>
      <c r="J73" s="4" t="inlineStr">
        <is>
          <t>$28,800</t>
        </is>
      </c>
      <c r="K73" s="4" t="inlineStr">
        <is>
          <t>کارشناسی CS/AI؛ گزینشی</t>
        </is>
      </c>
      <c r="L73" s="4" t="inlineStr">
        <is>
          <t>6.5</t>
        </is>
      </c>
      <c r="M73" s="4" t="inlineStr">
        <is>
          <t>113</t>
        </is>
      </c>
      <c r="N73" s="12" t="inlineStr">
        <is>
          <t>Reach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>
        <is>
          <t>همان باند شهریهٔ Utrecht 2026/27</t>
        </is>
      </c>
      <c r="Q73" s="8" t="inlineStr">
        <is>
          <t>https://www.uu.nl/en/masters/artificial-intelligence</t>
        </is>
      </c>
    </row>
    <row r="74">
      <c r="A74" s="2" t="n">
        <v>73</v>
      </c>
      <c r="B74" s="2" t="inlineStr">
        <is>
          <t>هلند</t>
        </is>
      </c>
      <c r="C74" s="4" t="inlineStr">
        <is>
          <t>University of Amsterdam (UvA)</t>
        </is>
      </c>
      <c r="D74" s="4" t="inlineStr">
        <is>
          <t>Amsterdam (آمستردام)</t>
        </is>
      </c>
      <c r="E74" s="4" t="inlineStr">
        <is>
          <t>خیلی گران — €1,300–1,700</t>
        </is>
      </c>
      <c r="F74" s="4" t="inlineStr">
        <is>
          <t>MSc Software Engineering (۱ ساله!)</t>
        </is>
      </c>
      <c r="G74" s="4" t="inlineStr">
        <is>
          <t>مهندسی نرم‌افزار / علوم کامپیوتر</t>
        </is>
      </c>
      <c r="H74" s="4" t="inlineStr">
        <is>
          <t>۱ سال</t>
        </is>
      </c>
      <c r="I74" s="4" t="inlineStr">
        <is>
          <t>≈ €23,540</t>
        </is>
      </c>
      <c r="J74" s="4" t="inlineStr">
        <is>
          <t>$26,800</t>
        </is>
      </c>
      <c r="K74" s="4" t="inlineStr">
        <is>
          <t>کارشناسی CS</t>
        </is>
      </c>
      <c r="L74" s="4" t="inlineStr">
        <is>
          <t>6.5</t>
        </is>
      </c>
      <c r="M74" s="4" t="inlineStr">
        <is>
          <t>60</t>
        </is>
      </c>
      <c r="N74" s="11" t="inlineStr">
        <is>
          <t>Target/Reach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تنها ارشد ۱ سالهٔ معتبر هلند → کل هزینه نصف؛ اما اجارهٔ Amsterdam €900–1,300</t>
        </is>
      </c>
      <c r="Q74" s="8" t="inlineStr">
        <is>
          <t>https://www.uva.nl/en/programmes/masters/software-engineering/software-engineering.html</t>
        </is>
      </c>
    </row>
    <row r="75">
      <c r="A75" s="2" t="n">
        <v>74</v>
      </c>
      <c r="B75" s="2" t="inlineStr">
        <is>
          <t>هلند</t>
        </is>
      </c>
      <c r="C75" s="4" t="inlineStr">
        <is>
          <t>University of Amsterdam (UvA)</t>
        </is>
      </c>
      <c r="D75" s="4" t="inlineStr">
        <is>
          <t>Amsterdam (آمستردام)</t>
        </is>
      </c>
      <c r="E75" s="4" t="inlineStr">
        <is>
          <t>خیلی گران — €1,300–1,700</t>
        </is>
      </c>
      <c r="F75" s="4" t="inlineStr">
        <is>
          <t>MSc Artificial Intelligence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€26,000</t>
        </is>
      </c>
      <c r="J75" s="4" t="inlineStr">
        <is>
          <t>$29,600</t>
        </is>
      </c>
      <c r="K75" s="4" t="inlineStr">
        <is>
          <t>کارشناسی AI/CS با ریاضی قوی؛ بسیار رقابتی</t>
        </is>
      </c>
      <c r="L75" s="4" t="inlineStr">
        <is>
          <t>6.5</t>
        </is>
      </c>
      <c r="M75" s="4" t="inlineStr">
        <is>
          <t>60</t>
        </is>
      </c>
      <c r="N75" s="12" t="inlineStr">
        <is>
          <t>Reach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https://www.uva.nl/en/programmes/masters/artificial-intelligence/artificial-intelligence.html</t>
        </is>
      </c>
    </row>
    <row r="76">
      <c r="A76" s="2" t="n">
        <v>75</v>
      </c>
      <c r="B76" s="2" t="inlineStr">
        <is>
          <t>هلند</t>
        </is>
      </c>
      <c r="C76" s="4" t="inlineStr">
        <is>
          <t>TU Eindhoven (TU/e)</t>
        </is>
      </c>
      <c r="D76" s="4" t="inlineStr">
        <is>
          <t>Eindhoven (آیندهوون) — Brainport: ASML، Philips، NXP</t>
        </is>
      </c>
      <c r="E76" s="4" t="inlineStr">
        <is>
          <t>گران — €1,100–1,400</t>
        </is>
      </c>
      <c r="F76" s="4" t="inlineStr">
        <is>
          <t>MSc Data Science and Artificial Intelligence</t>
        </is>
      </c>
      <c r="G76" s="4" t="inlineStr">
        <is>
          <t>علم داده / تحلیل داده</t>
        </is>
      </c>
      <c r="H76" s="4" t="inlineStr">
        <is>
          <t>۲ سال</t>
        </is>
      </c>
      <c r="I76" s="4" t="inlineStr">
        <is>
          <t>€22,400 (2027/28 رسمی؛ 2026/27: €21,700)</t>
        </is>
      </c>
      <c r="J76" s="4" t="inlineStr">
        <is>
          <t>$25,500</t>
        </is>
      </c>
      <c r="K76" s="4" t="inlineStr">
        <is>
          <t>کارشناسی CS/ریاضی؛ گزینش بر اساس معدل</t>
        </is>
      </c>
      <c r="L76" s="4" t="inlineStr">
        <is>
          <t>6.5</t>
        </is>
      </c>
      <c r="M76" s="4" t="inlineStr">
        <is>
          <t>152</t>
        </is>
      </c>
      <c r="N76" s="12" t="inlineStr">
        <is>
          <t>Reach</t>
        </is>
      </c>
      <c r="O7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6" s="4" t="inlineStr">
        <is>
          <t>Brainport (ASML، Philips، NXP)</t>
        </is>
      </c>
      <c r="Q76" s="8" t="inlineStr">
        <is>
          <t>https://www.tue.nl/en/education/graduate-school/master-data-science-and-artificial-intelligence</t>
        </is>
      </c>
    </row>
    <row r="77">
      <c r="A77" s="2" t="n">
        <v>76</v>
      </c>
      <c r="B77" s="2" t="inlineStr">
        <is>
          <t>هلند</t>
        </is>
      </c>
      <c r="C77" s="4" t="inlineStr">
        <is>
          <t>TU Eindhoven (TU/e)</t>
        </is>
      </c>
      <c r="D77" s="4" t="inlineStr">
        <is>
          <t>Eindhoven (آیندهوون) — Brainport: ASML، Philips، NXP</t>
        </is>
      </c>
      <c r="E77" s="4" t="inlineStr">
        <is>
          <t>گران — €1,100–1,400</t>
        </is>
      </c>
      <c r="F77" s="4" t="inlineStr">
        <is>
          <t>MSc Embedded Systems</t>
        </is>
      </c>
      <c r="G77" s="4" t="inlineStr">
        <is>
          <t>سیستم‌های نهفته / رباتیک / خودران</t>
        </is>
      </c>
      <c r="H77" s="4" t="inlineStr">
        <is>
          <t>۲ سال</t>
        </is>
      </c>
      <c r="I77" s="4" t="inlineStr">
        <is>
          <t>€22,400 (2027/28 رسمی؛ 2026/27: €21,700)</t>
        </is>
      </c>
      <c r="J77" s="4" t="inlineStr">
        <is>
          <t>$25,500</t>
        </is>
      </c>
      <c r="K77" s="4" t="inlineStr">
        <is>
          <t>کارشناسی CS/EE؛ گزینش</t>
        </is>
      </c>
      <c r="L77" s="4" t="inlineStr">
        <is>
          <t>6.5</t>
        </is>
      </c>
      <c r="M77" s="4" t="inlineStr">
        <is>
          <t>152</t>
        </is>
      </c>
      <c r="N77" s="12" t="inlineStr">
        <is>
          <t>Reach</t>
        </is>
      </c>
      <c r="O7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7" s="4" t="inlineStr">
        <is>
          <t>ASML/NXP بزرگ‌ترین کارفرمایان Embedded اروپا</t>
        </is>
      </c>
      <c r="Q77" s="8" t="inlineStr">
        <is>
          <t>https://www.tue.nl/en/education/graduate-school/master-embedded-systems</t>
        </is>
      </c>
    </row>
    <row r="78">
      <c r="A78" s="2" t="n">
        <v>77</v>
      </c>
      <c r="B78" s="2" t="inlineStr">
        <is>
          <t>هلند</t>
        </is>
      </c>
      <c r="C78" s="4" t="inlineStr">
        <is>
          <t>TU Delft</t>
        </is>
      </c>
      <c r="D78" s="4" t="inlineStr">
        <is>
          <t>Delft (دلفت) — کنار Den Haag/Rotterdam</t>
        </is>
      </c>
      <c r="E78" s="4" t="inlineStr">
        <is>
          <t>گران — €1,200–1,500</t>
        </is>
      </c>
      <c r="F78" s="4" t="inlineStr">
        <is>
          <t>MSc Computer Science / MSc Computer &amp; Embedded Systems Engineering</t>
        </is>
      </c>
      <c r="G78" s="4" t="inlineStr">
        <is>
          <t>مهندسی نرم‌افزار / علوم کامپیوتر</t>
        </is>
      </c>
      <c r="H78" s="4" t="inlineStr">
        <is>
          <t>۲ سال</t>
        </is>
      </c>
      <c r="I78" s="4" t="inlineStr">
        <is>
          <t>€22,290 (2025/26) → ≈ €23,000</t>
        </is>
      </c>
      <c r="J78" s="4" t="inlineStr">
        <is>
          <t>$26,200</t>
        </is>
      </c>
      <c r="K78" s="4" t="inlineStr">
        <is>
          <t>معدل ≥ ۷۵٪ / ۲۰٪ برتر</t>
        </is>
      </c>
      <c r="L78" s="4" t="inlineStr">
        <is>
          <t>7.0</t>
        </is>
      </c>
      <c r="M78" s="4" t="inlineStr">
        <is>
          <t>48</t>
        </is>
      </c>
      <c r="N78" s="12" t="inlineStr">
        <is>
          <t>Reach</t>
        </is>
      </c>
      <c r="O78" s="4" t="inlineStr">
        <is>
          <t>4/5 — بیشترین حجم آگهی در هر ۶ کشور؛ ورود جونیور از ۲۰۲۳ سخت‌تر شده — سابقهٔ کار شما مزیت است</t>
        </is>
      </c>
      <c r="P78" s="4" t="inlineStr">
        <is>
          <t>معتبرترین، ولی برای معدل ۱۵.۷۷ دور از دسترس</t>
        </is>
      </c>
      <c r="Q78" s="8" t="inlineStr">
        <is>
          <t>https://www.tudelft.nl/onderwijs/opleidingen/masters/cs/msc-computer-science</t>
        </is>
      </c>
    </row>
    <row r="79">
      <c r="A79" s="2" t="n">
        <v>78</v>
      </c>
      <c r="B79" s="2" t="inlineStr">
        <is>
          <t>هلند</t>
        </is>
      </c>
      <c r="C79" s="4" t="inlineStr">
        <is>
          <t>Breda University of Applied Sciences (BUas)</t>
        </is>
      </c>
      <c r="D79" s="4" t="inlineStr">
        <is>
          <t>Breda (بردا) — جنوب هلند</t>
        </is>
      </c>
      <c r="E79" s="4" t="inlineStr">
        <is>
          <t>متوسط — €1,000–1,300</t>
        </is>
      </c>
      <c r="F79" s="4" t="inlineStr">
        <is>
          <t>Master Game Technology (۱ ساله)</t>
        </is>
      </c>
      <c r="G79" s="4" t="inlineStr">
        <is>
          <t>توسعه بازی</t>
        </is>
      </c>
      <c r="H79" s="4" t="inlineStr">
        <is>
          <t>۱ سال</t>
        </is>
      </c>
      <c r="I79" s="4" t="inlineStr">
        <is>
          <t>≈ €15,200</t>
        </is>
      </c>
      <c r="J79" s="4" t="inlineStr">
        <is>
          <t>$17,300</t>
        </is>
      </c>
      <c r="K79" s="4" t="inlineStr">
        <is>
          <t>کارشناسی IT/برنامه‌نویسی/بازی + پیشنهاد پروژه</t>
        </is>
      </c>
      <c r="L79" s="4" t="inlineStr">
        <is>
          <t>6.0</t>
        </is>
      </c>
      <c r="M79" s="4" t="inlineStr">
        <is>
          <t>— (UAS)</t>
        </is>
      </c>
      <c r="N79" s="9" t="inlineStr">
        <is>
          <t>Safe/Target</t>
        </is>
      </c>
      <c r="O7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9" s="4" t="inlineStr">
        <is>
          <t>برنامهٔ بازی BUas در اروپا شناخته‌شده است؛ مدرک UAS (نه پژوهشی)</t>
        </is>
      </c>
      <c r="Q79" s="8" t="inlineStr">
        <is>
          <t>https://www.topuniversities.com/universities/breda-university-applied-sciences/postgrad/master-game-technology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Linköping University (LiU)</t>
        </is>
      </c>
      <c r="D80" s="4" t="inlineStr">
        <is>
          <t>Linköping (لینشوپینگ) — Saab، Ericsson</t>
        </is>
      </c>
      <c r="E80" s="4" t="inlineStr">
        <is>
          <t>متوسط — SEK 10,500–12,500</t>
        </is>
      </c>
      <c r="F80" s="4" t="inlineStr">
        <is>
          <t>MSc Computer Science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166,000</t>
        </is>
      </c>
      <c r="J80" s="4" t="inlineStr">
        <is>
          <t>$16,800</t>
        </is>
      </c>
      <c r="K80" s="4" t="inlineStr">
        <is>
          <t>گزینش بر اساس گروه معدل</t>
        </is>
      </c>
      <c r="L80" s="4" t="inlineStr">
        <is>
          <t>6.5</t>
        </is>
      </c>
      <c r="M80" s="4" t="inlineStr">
        <is>
          <t>308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>
        <is>
          <t>گزینهٔ Target جدول اصلی</t>
        </is>
      </c>
      <c r="Q80" s="8" t="inlineStr">
        <is>
          <t>https://liu.se/en/education/program/6mics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Linköping University (LiU)</t>
        </is>
      </c>
      <c r="D81" s="4" t="inlineStr">
        <is>
          <t>Linköping (لینشوپینگ) — Saab، Ericsson</t>
        </is>
      </c>
      <c r="E81" s="4" t="inlineStr">
        <is>
          <t>متوسط — SEK 10,500–12,500</t>
        </is>
      </c>
      <c r="F81" s="4" t="inlineStr">
        <is>
          <t>MSc Statistics and Machine Learning</t>
        </is>
      </c>
      <c r="G81" s="4" t="inlineStr">
        <is>
          <t>هوش مصنوعی / یادگیری ماشین</t>
        </is>
      </c>
      <c r="H81" s="4" t="inlineStr">
        <is>
          <t>۲ سال</t>
        </is>
      </c>
      <c r="I81" s="4" t="inlineStr">
        <is>
          <t>≈ SEK 166,000 (همان باند)</t>
        </is>
      </c>
      <c r="J81" s="4" t="inlineStr">
        <is>
          <t>$16,800</t>
        </is>
      </c>
      <c r="K81" s="4" t="inlineStr">
        <is>
          <t>کارشناسی با ≥ ۳۰ واحد ریاضی/آمار + برنامه‌نویسی</t>
        </is>
      </c>
      <c r="L81" s="4" t="inlineStr">
        <is>
          <t>6.5</t>
        </is>
      </c>
      <c r="M81" s="4" t="inlineStr">
        <is>
          <t>308</t>
        </is>
      </c>
      <c r="N81" s="10" t="inlineStr">
        <is>
          <t>Target</t>
        </is>
      </c>
      <c r="O8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1" s="4" t="inlineStr"/>
      <c r="Q81" s="8" t="inlineStr">
        <is>
          <t>https://liu.se/en/education/program/f7msl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Halmstad University</t>
        </is>
      </c>
      <c r="D82" s="4" t="inlineStr">
        <is>
          <t>Halmstad (هالمستاد) — غرب سوئد</t>
        </is>
      </c>
      <c r="E82" s="4" t="inlineStr">
        <is>
          <t>متوسط — SEK 10,000–12,000</t>
        </is>
      </c>
      <c r="F82" s="4" t="inlineStr">
        <is>
          <t>MSc Embedded and Intelligent Systems (120 cr)</t>
        </is>
      </c>
      <c r="G82" s="4" t="inlineStr">
        <is>
          <t>سیستم‌های نهفته / رباتیک / خودران</t>
        </is>
      </c>
      <c r="H82" s="4" t="inlineStr">
        <is>
          <t>۲ سال</t>
        </is>
      </c>
      <c r="I82" s="4" t="inlineStr">
        <is>
          <t>≈ SEK 151,000</t>
        </is>
      </c>
      <c r="J82" s="4" t="inlineStr">
        <is>
          <t>$15,300</t>
        </is>
      </c>
      <c r="K82" s="4" t="inlineStr">
        <is>
          <t>کارشناسی CS/EE</t>
        </is>
      </c>
      <c r="L82" s="4" t="inlineStr">
        <is>
          <t>6.5</t>
        </is>
      </c>
      <c r="M82" s="4" t="inlineStr">
        <is>
          <t>—</t>
        </is>
      </c>
      <c r="N82" s="7" t="inlineStr">
        <is>
          <t>Safe</t>
        </is>
      </c>
      <c r="O8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2" s="4" t="inlineStr">
        <is>
          <t>Volvo/HMS در منطقه؛ بدون رتبهٔ QS</t>
        </is>
      </c>
      <c r="Q82" s="8" t="inlineStr">
        <is>
          <t>https://www.hh.se/english/education/programmes.html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Blekinge Institute of Technology (BTH)</t>
        </is>
      </c>
      <c r="D83" s="4" t="inlineStr">
        <is>
          <t>Karlskrona (کارلسکرونا) — Ericsson، Telenor</t>
        </is>
      </c>
      <c r="E83" s="4" t="inlineStr">
        <is>
          <t>ارزان — SEK 9,500–11,500</t>
        </is>
      </c>
      <c r="F83" s="4" t="inlineStr">
        <is>
          <t>MSc Software Engineering (120 cr)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SEK 140,000</t>
        </is>
      </c>
      <c r="J83" s="4" t="inlineStr">
        <is>
          <t>$14,100</t>
        </is>
      </c>
      <c r="K83" s="4" t="inlineStr">
        <is>
          <t>≥ ۹۰ واحد CS/SE</t>
        </is>
      </c>
      <c r="L83" s="4" t="inlineStr">
        <is>
          <t>6.5</t>
        </is>
      </c>
      <c r="M83" s="4" t="inlineStr">
        <is>
          <t>—</t>
        </is>
      </c>
      <c r="N83" s="9" t="inlineStr">
        <is>
          <t>Safe/Target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Ericsson و Telenor در Karlskrona؛ ⚠️ نسخهٔ ۶۰ واحدی از راه دور است</t>
        </is>
      </c>
      <c r="Q83" s="8" t="inlineStr">
        <is>
          <t>https://www.bth.se/eng/programmes/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KTH Royal Institute of Technology</t>
        </is>
      </c>
      <c r="D84" s="4" t="inlineStr">
        <is>
          <t>Stockholm (استکهلم)</t>
        </is>
      </c>
      <c r="E84" s="4" t="inlineStr">
        <is>
          <t>گران — SEK 12,500–15,000</t>
        </is>
      </c>
      <c r="F84" s="4" t="inlineStr">
        <is>
          <t>MSc Machine Learning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≈ SEK 180,000–190,000 (کل دوره ≈ 360k–380k)</t>
        </is>
      </c>
      <c r="J84" s="4" t="inlineStr">
        <is>
          <t>$18,200–19,200</t>
        </is>
      </c>
      <c r="K84" s="4" t="inlineStr">
        <is>
          <t>کارشناسی CS/ریاضی قوی؛ بسیار رقابتی</t>
        </is>
      </c>
      <c r="L84" s="4" t="inlineStr">
        <is>
          <t>6.5</t>
        </is>
      </c>
      <c r="M84" s="4" t="inlineStr">
        <is>
          <t>82</t>
        </is>
      </c>
      <c r="N84" s="12" t="inlineStr">
        <is>
          <t>Reach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Stockholm گران (اتاق SEK 7–10k)؛ رقم دقیق روی kth.se فقط در سامانهٔ اپلای نمایش داده می‌شود</t>
        </is>
      </c>
      <c r="Q84" s="8" t="inlineStr">
        <is>
          <t>https://www.kth.se/en/studies/master/machine-learning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KTH Royal Institute of Technology</t>
        </is>
      </c>
      <c r="D85" s="4" t="inlineStr">
        <is>
          <t>Stockholm (استکهلم)</t>
        </is>
      </c>
      <c r="E85" s="4" t="inlineStr">
        <is>
          <t>گران — SEK 12,500–15,000</t>
        </is>
      </c>
      <c r="F85" s="4" t="inlineStr">
        <is>
          <t>MSc Cybersecurity</t>
        </is>
      </c>
      <c r="G85" s="4" t="inlineStr">
        <is>
          <t>امنیت سایبری</t>
        </is>
      </c>
      <c r="H85" s="4" t="inlineStr">
        <is>
          <t>۲ سال</t>
        </is>
      </c>
      <c r="I85" s="4" t="inlineStr">
        <is>
          <t>≈ SEK 180,000–190,000</t>
        </is>
      </c>
      <c r="J85" s="4" t="inlineStr">
        <is>
          <t>$18,200–19,200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82</t>
        </is>
      </c>
      <c r="N85" s="12" t="inlineStr">
        <is>
          <t>Reach</t>
        </is>
      </c>
      <c r="O8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5" s="4" t="inlineStr"/>
      <c r="Q85" s="8" t="inlineStr">
        <is>
          <t>https://www.kth.se/en/studies/master/cybersecurity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KTH Royal Institute of Technology</t>
        </is>
      </c>
      <c r="D86" s="4" t="inlineStr">
        <is>
          <t>Stockholm – Kista (استکهلم، شیستا؛ قطب ICT)</t>
        </is>
      </c>
      <c r="E86" s="4" t="inlineStr">
        <is>
          <t>گران — SEK 12,500–15,000</t>
        </is>
      </c>
      <c r="F86" s="4" t="inlineStr">
        <is>
          <t>MSc Software Engineering of Distributed Systems</t>
        </is>
      </c>
      <c r="G86" s="4" t="inlineStr">
        <is>
          <t>ابری / سیستم‌های توزیع‌شده / DevOps</t>
        </is>
      </c>
      <c r="H86" s="4" t="inlineStr">
        <is>
          <t>۲ سال</t>
        </is>
      </c>
      <c r="I86" s="4" t="inlineStr">
        <is>
          <t>SEK 180,000–190,000</t>
        </is>
      </c>
      <c r="J86" s="4" t="inlineStr">
        <is>
          <t>$18,200–19,200</t>
        </is>
      </c>
      <c r="K86" s="4" t="inlineStr">
        <is>
          <t>کارشناسی CS</t>
        </is>
      </c>
      <c r="L86" s="4" t="inlineStr">
        <is>
          <t>6.5</t>
        </is>
      </c>
      <c r="M86" s="4" t="inlineStr">
        <is>
          <t>82</t>
        </is>
      </c>
      <c r="N86" s="11" t="inlineStr">
        <is>
          <t>Target/Reach</t>
        </is>
      </c>
      <c r="O86" s="4" t="inlineStr">
        <is>
          <t>4/5 — تقاضای پایدار و کمتر مدرک‌محور؛ گواهی AWS/Azure کنار مدرک وزن زیادی دارد</t>
        </is>
      </c>
      <c r="P86" s="4" t="inlineStr">
        <is>
          <t>Kista = قطب ICT سوئد (Ericsson)</t>
        </is>
      </c>
      <c r="Q86" s="8" t="inlineStr">
        <is>
          <t>https://www.kth.se/en/studies/master/software-engineering-of-distributed-systems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Chalmers University of Technology</t>
        </is>
      </c>
      <c r="D87" s="4" t="inlineStr">
        <is>
          <t>Gothenburg / Göteborg (گوتنبرگ) — Volvo، Ericsson</t>
        </is>
      </c>
      <c r="E87" s="4" t="inlineStr">
        <is>
          <t>متوسط تا گران — SEK 11,500–13,500</t>
        </is>
      </c>
      <c r="F87" s="4" t="inlineStr">
        <is>
          <t>MSc Data Science and AI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≈ SEK 175,000 (2026/27؛ 2025/26: 160,000)</t>
        </is>
      </c>
      <c r="J87" s="4" t="inlineStr">
        <is>
          <t>$17,700</t>
        </is>
      </c>
      <c r="K87" s="4" t="inlineStr">
        <is>
          <t>کارشناسی CS/ریاضی</t>
        </is>
      </c>
      <c r="L87" s="4" t="inlineStr">
        <is>
          <t>6.5</t>
        </is>
      </c>
      <c r="M87" s="4" t="inlineStr">
        <is>
          <t>174</t>
        </is>
      </c>
      <c r="N87" s="11" t="inlineStr">
        <is>
          <t>Target/Reach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7" s="8" t="inlineStr">
        <is>
          <t>https://www.chalmers.se/en/education/find-masters-programme/data-science-and-ai-msc/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Chalmers University of Technology</t>
        </is>
      </c>
      <c r="D88" s="4" t="inlineStr">
        <is>
          <t>Gothenburg / Göteborg (گوتنبرگ) — Volvo، Ericsson</t>
        </is>
      </c>
      <c r="E88" s="4" t="inlineStr">
        <is>
          <t>متوسط تا گران — SEK 11,500–13,500</t>
        </is>
      </c>
      <c r="F88" s="4" t="inlineStr">
        <is>
          <t>MSc Software Engineering and Technology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175,000 (2026/27)</t>
        </is>
      </c>
      <c r="J88" s="4" t="inlineStr">
        <is>
          <t>$17,700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174</t>
        </is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https://www.chalmers.se/en/education/find-masters-programme/software-engineering-and-technology-msc/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Chalmers University of Technology</t>
        </is>
      </c>
      <c r="D89" s="4" t="inlineStr">
        <is>
          <t>Gothenburg / Göteborg (گوتنبرگ) — Volvo، Ericsson</t>
        </is>
      </c>
      <c r="E89" s="4" t="inlineStr">
        <is>
          <t>متوسط تا گران — SEK 11,500–13,500</t>
        </is>
      </c>
      <c r="F89" s="4" t="inlineStr">
        <is>
          <t>MSc Interaction Design and Technologies</t>
        </is>
      </c>
      <c r="G89" s="4" t="inlineStr">
        <is>
          <t>HCI / طراحی تعامل / UX</t>
        </is>
      </c>
      <c r="H89" s="4" t="inlineStr">
        <is>
          <t>۲ سال</t>
        </is>
      </c>
      <c r="I89" s="4" t="inlineStr">
        <is>
          <t>≈ SEK 175,000 (2026/27)</t>
        </is>
      </c>
      <c r="J89" s="4" t="inlineStr">
        <is>
          <t>$17,700</t>
        </is>
      </c>
      <c r="K89" s="4" t="inlineStr">
        <is>
          <t>کارشناسی CS/Design</t>
        </is>
      </c>
      <c r="L89" s="4" t="inlineStr">
        <is>
          <t>6.5</t>
        </is>
      </c>
      <c r="M89" s="4" t="inlineStr">
        <is>
          <t>174</t>
        </is>
      </c>
      <c r="N89" s="10" t="inlineStr">
        <is>
          <t>Target</t>
        </is>
      </c>
      <c r="O8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9" s="4" t="inlineStr"/>
      <c r="Q89" s="8" t="inlineStr">
        <is>
          <t>https://www.chalmers.se/en/education/find-masters-programme/interaction-design-and-technologies-msc/</t>
        </is>
      </c>
    </row>
    <row r="90">
      <c r="A90" s="2" t="n">
        <v>89</v>
      </c>
      <c r="B90" s="2" t="inlineStr">
        <is>
          <t>سوئد</t>
        </is>
      </c>
      <c r="C90" s="4" t="inlineStr">
        <is>
          <t>University of Gothenburg (مشترک با Chalmers)</t>
        </is>
      </c>
      <c r="D90" s="4" t="inlineStr">
        <is>
          <t>Gothenburg / Göteborg (گوتنبرگ) — Volvo، Ericsson</t>
        </is>
      </c>
      <c r="E90" s="4" t="inlineStr">
        <is>
          <t>متوسط تا گران — SEK 11,500–13,500</t>
        </is>
      </c>
      <c r="F90" s="4" t="inlineStr">
        <is>
          <t>MSc Game Design &amp; Technology</t>
        </is>
      </c>
      <c r="G90" s="4" t="inlineStr">
        <is>
          <t>توسعه بازی</t>
        </is>
      </c>
      <c r="H90" s="4" t="inlineStr">
        <is>
          <t>۲ سال</t>
        </is>
      </c>
      <c r="I90" s="4" t="inlineStr">
        <is>
          <t>SEK 147,000 (ورودی ۲۰۲۷: کل دوره SEK 294,000 رسمی)</t>
        </is>
      </c>
      <c r="J90" s="4" t="inlineStr">
        <is>
          <t>$14,800</t>
        </is>
      </c>
      <c r="K90" s="4" t="inlineStr">
        <is>
          <t>کارشناسی CS/Design/Media</t>
        </is>
      </c>
      <c r="L90" s="4" t="inlineStr">
        <is>
          <t>6.5</t>
        </is>
      </c>
      <c r="M90" s="4" t="inlineStr">
        <is>
          <t>225</t>
        </is>
      </c>
      <c r="N90" s="10" t="inlineStr">
        <is>
          <t>Target</t>
        </is>
      </c>
      <c r="O9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0" s="4" t="inlineStr">
        <is>
          <t>Gothenburg: استودیوهای EA DICE/Ghost؛ بازار بازی ضعیف</t>
        </is>
      </c>
      <c r="Q90" s="8" t="inlineStr">
        <is>
          <t>https://www.gu.se/en/study-gothenburg/game-design-technology-masters-programme-n2gdt</t>
        </is>
      </c>
    </row>
    <row r="91">
      <c r="A91" s="2" t="n">
        <v>90</v>
      </c>
      <c r="B91" s="2" t="inlineStr">
        <is>
          <t>سوئد</t>
        </is>
      </c>
      <c r="C91" s="4" t="inlineStr">
        <is>
          <t>Uppsala University</t>
        </is>
      </c>
      <c r="D91" s="4" t="inlineStr">
        <is>
          <t>Uppsala (اوپسالا) — ۴۰ دقیقه تا استکهلم</t>
        </is>
      </c>
      <c r="E91" s="4" t="inlineStr">
        <is>
          <t>متوسط تا گران — SEK 11,000–13,000</t>
        </is>
      </c>
      <c r="F91" s="4" t="inlineStr">
        <is>
          <t>MSc Computer Science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SEK 145,000–150,000</t>
        </is>
      </c>
      <c r="J91" s="4" t="inlineStr">
        <is>
          <t>$14,600–15,200</t>
        </is>
      </c>
      <c r="K91" s="4" t="inlineStr">
        <is>
          <t>کارشناسی CS</t>
        </is>
      </c>
      <c r="L91" s="4" t="inlineStr">
        <is>
          <t>6.5</t>
        </is>
      </c>
      <c r="M91" s="4" t="inlineStr">
        <is>
          <t>87</t>
        </is>
      </c>
      <c r="N91" s="11" t="inlineStr">
        <is>
          <t>Target/Reach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>
        <is>
          <t>رتبهٔ بالا با شهریهٔ پایین‌تر از KTH</t>
        </is>
      </c>
      <c r="Q91" s="8" t="inlineStr">
        <is>
          <t>https://www.uu.se/en/study/programme/masters-programme-in-computer-science</t>
        </is>
      </c>
    </row>
    <row r="92">
      <c r="A92" s="2" t="n">
        <v>91</v>
      </c>
      <c r="B92" s="2" t="inlineStr">
        <is>
          <t>سوئد</t>
        </is>
      </c>
      <c r="C92" s="4" t="inlineStr">
        <is>
          <t>Umeå University</t>
        </is>
      </c>
      <c r="D92" s="4" t="inlineStr">
        <is>
          <t>Umeå (اومئو) — شمال سوئد</t>
        </is>
      </c>
      <c r="E92" s="4" t="inlineStr">
        <is>
          <t>ارزان تا متوسط — SEK 10,000–12,000</t>
        </is>
      </c>
      <c r="F92" s="4" t="inlineStr">
        <is>
          <t>MSc Artificial Intelligence</t>
        </is>
      </c>
      <c r="G92" s="4" t="inlineStr">
        <is>
          <t>هوش مصنوعی / یادگیری ماشین</t>
        </is>
      </c>
      <c r="H92" s="4" t="inlineStr">
        <is>
          <t>۲ سال</t>
        </is>
      </c>
      <c r="I92" s="4" t="inlineStr">
        <is>
          <t>SEK 152,300</t>
        </is>
      </c>
      <c r="J92" s="4" t="inlineStr">
        <is>
          <t>$15,400</t>
        </is>
      </c>
      <c r="K92" s="4" t="inlineStr">
        <is>
          <t>کارشناسی CS/ریاضی</t>
        </is>
      </c>
      <c r="L92" s="4" t="inlineStr">
        <is>
          <t>6.5</t>
        </is>
      </c>
      <c r="M92" s="4" t="inlineStr">
        <is>
          <t>438</t>
        </is>
      </c>
      <c r="N92" s="10" t="inlineStr">
        <is>
          <t>Target</t>
        </is>
      </c>
      <c r="O9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2" s="4" t="inlineStr">
        <is>
          <t>شمال سوئد، شهر دانشجویی ارزان؛ کل دوره SEK 304,600</t>
        </is>
      </c>
      <c r="Q92" s="8" t="inlineStr">
        <is>
          <t>https://www.umu.se/en/education/master/masters-programme-in-artificial-intelligence/</t>
        </is>
      </c>
    </row>
    <row r="93">
      <c r="A93" s="2" t="n">
        <v>92</v>
      </c>
      <c r="B93" s="2" t="inlineStr">
        <is>
          <t>سوئد</t>
        </is>
      </c>
      <c r="C93" s="4" t="inlineStr">
        <is>
          <t>University of Skövde</t>
        </is>
      </c>
      <c r="D93" s="4" t="inlineStr">
        <is>
          <t>Skövde (شوده) — Sweden Game Arena</t>
        </is>
      </c>
      <c r="E93" s="4" t="inlineStr">
        <is>
          <t>ارزان — SEK 9,500–11,500</t>
        </is>
      </c>
      <c r="F93" s="4" t="inlineStr">
        <is>
          <t>MSc Data Science (120 cr)</t>
        </is>
      </c>
      <c r="G93" s="4" t="inlineStr">
        <is>
          <t>علم داده / تحلیل داده</t>
        </is>
      </c>
      <c r="H93" s="4" t="inlineStr">
        <is>
          <t>۲ سال</t>
        </is>
      </c>
      <c r="I93" s="4" t="inlineStr">
        <is>
          <t>SEK 135,000</t>
        </is>
      </c>
      <c r="J93" s="4" t="inlineStr">
        <is>
          <t>$13,600</t>
        </is>
      </c>
      <c r="K93" s="4" t="inlineStr">
        <is>
          <t>کارشناسی CS/مرتبط</t>
        </is>
      </c>
      <c r="L93" s="4" t="inlineStr">
        <is>
          <t>6.5</t>
        </is>
      </c>
      <c r="M93" s="4" t="inlineStr">
        <is>
          <t>—</t>
        </is>
      </c>
      <c r="N93" s="7" t="inlineStr">
        <is>
          <t>Safe</t>
        </is>
      </c>
      <c r="O93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3" s="4" t="inlineStr">
        <is>
          <t>ارزان؛ Skövde قطب بازی سوئد (Sweden Game Arena)</t>
        </is>
      </c>
      <c r="Q93" s="8" t="inlineStr">
        <is>
          <t>https://www.his.se/en/education/</t>
        </is>
      </c>
    </row>
    <row r="94">
      <c r="A94" s="2" t="n">
        <v>93</v>
      </c>
      <c r="B94" s="2" t="inlineStr">
        <is>
          <t>سوئد</t>
        </is>
      </c>
      <c r="C94" s="4" t="inlineStr">
        <is>
          <t>Mälardalen University (MDU)</t>
        </is>
      </c>
      <c r="D94" s="4" t="inlineStr">
        <is>
          <t>Västerås (وسترئوس) — ABB، Westinghouse؛ ۱ ساعت تا استکهلم</t>
        </is>
      </c>
      <c r="E94" s="4" t="inlineStr">
        <is>
          <t>متوسط — SEK 10,000–12,000</t>
        </is>
      </c>
      <c r="F94" s="4" t="inlineStr">
        <is>
          <t>MSc Intelligent Embedded Systems</t>
        </is>
      </c>
      <c r="G94" s="4" t="inlineStr">
        <is>
          <t>سیستم‌های نهفته / رباتیک / خودران</t>
        </is>
      </c>
      <c r="H94" s="4" t="inlineStr">
        <is>
          <t>۲ سال</t>
        </is>
      </c>
      <c r="I94" s="4" t="inlineStr">
        <is>
          <t>≈ SEK 135,000</t>
        </is>
      </c>
      <c r="J94" s="4" t="inlineStr">
        <is>
          <t>$13,600</t>
        </is>
      </c>
      <c r="K94" s="4" t="inlineStr">
        <is>
          <t>کارشناسی CS/EE</t>
        </is>
      </c>
      <c r="L94" s="4" t="inlineStr">
        <is>
          <t>6.5</t>
        </is>
      </c>
      <c r="M94" s="4" t="inlineStr">
        <is>
          <t>—</t>
        </is>
      </c>
      <c r="N94" s="7" t="inlineStr">
        <is>
          <t>Safe</t>
        </is>
      </c>
      <c r="O9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4" s="4" t="inlineStr">
        <is>
          <t>ABB و Westinghouse در Västerås؛ رقم 2024/25</t>
        </is>
      </c>
      <c r="Q94" s="8" t="inlineStr">
        <is>
          <t>https://www.mdu.se/en/malardalen-university/education</t>
        </is>
      </c>
    </row>
    <row r="95">
      <c r="A95" s="2" t="n">
        <v>94</v>
      </c>
      <c r="B95" s="2" t="inlineStr">
        <is>
          <t>سوئد</t>
        </is>
      </c>
      <c r="C95" s="4" t="inlineStr">
        <is>
          <t>Mälardalen University (MDU)</t>
        </is>
      </c>
      <c r="D95" s="4" t="inlineStr">
        <is>
          <t>Västerås (وسترئوس) — ABB، Westinghouse؛ ۱ ساعت تا استکهلم</t>
        </is>
      </c>
      <c r="E95" s="4" t="inlineStr">
        <is>
          <t>متوسط — SEK 10,000–12,000</t>
        </is>
      </c>
      <c r="F95" s="4" t="inlineStr">
        <is>
          <t>MSc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≈ SEK 135,000</t>
        </is>
      </c>
      <c r="J95" s="4" t="inlineStr">
        <is>
          <t>$13,600</t>
        </is>
      </c>
      <c r="K95" s="4" t="inlineStr">
        <is>
          <t>کارشناسی CS/SE</t>
        </is>
      </c>
      <c r="L95" s="4" t="inlineStr">
        <is>
          <t>6.5</t>
        </is>
      </c>
      <c r="M95" s="4" t="inlineStr">
        <is>
          <t>—</t>
        </is>
      </c>
      <c r="N95" s="7" t="inlineStr">
        <is>
          <t>Safe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/>
      <c r="Q95" s="8" t="inlineStr">
        <is>
          <t>https://www.mdu.se/en/malardalen-university/education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Aalborg University (AAU)</t>
        </is>
      </c>
      <c r="D96" s="4" t="inlineStr">
        <is>
          <t>Aalborg (آلبورگ) — شمال یوتلند</t>
        </is>
      </c>
      <c r="E96" s="4" t="inlineStr">
        <is>
          <t>متوسط — DKK 8,000–9,500</t>
        </is>
      </c>
      <c r="F96" s="4" t="inlineStr">
        <is>
          <t>MSc Computer Science (IT)</t>
        </is>
      </c>
      <c r="G96" s="4" t="inlineStr">
        <is>
          <t>مهندسی نرم‌افزار / علوم کامپیوتر</t>
        </is>
      </c>
      <c r="H96" s="4" t="inlineStr">
        <is>
          <t>۲ سال</t>
        </is>
      </c>
      <c r="I96" s="4" t="inlineStr">
        <is>
          <t>≈ €14,910 (2025/26: €7,455 در ترم؛ نرخ ۲۰۲۶ روی سایت AAU منتشر نشده — mastersportal: €15,340)</t>
        </is>
      </c>
      <c r="J96" s="4" t="inlineStr">
        <is>
          <t>$17,000–17,500</t>
        </is>
      </c>
      <c r="K96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6" s="4" t="inlineStr">
        <is>
          <t>6.5 (هر بخش ≥ 6.0)</t>
        </is>
      </c>
      <c r="M96" s="4">
        <f>329</f>
        <v/>
      </c>
      <c r="N96" s="10" t="inlineStr">
        <is>
          <t>Target</t>
        </is>
      </c>
      <c r="O96" s="4" t="inlineStr">
        <is>
          <t>4/5 — بیشترین حجم آگهی در هر ۶ کشور؛ ورود جونیور از ۲۰۲۳ سخت‌تر شده — سابقهٔ کار شما مزیت است</t>
        </is>
      </c>
      <c r="P96" s="4" t="inlineStr">
        <is>
          <t>گزینهٔ Target جدول اصلی؛ PBL (پروژه‌محور)؛ ظرفیت محدود</t>
        </is>
      </c>
      <c r="Q96" s="8" t="inlineStr">
        <is>
          <t>https://www.en.aau.dk/education/master/computer-science-it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Aalborg University (AAU)</t>
        </is>
      </c>
      <c r="D97" s="4" t="inlineStr">
        <is>
          <t>Aalborg (آلبورگ) — شمال یوتلند</t>
        </is>
      </c>
      <c r="E97" s="4" t="inlineStr">
        <is>
          <t>متوسط — DKK 8,000–9,500</t>
        </is>
      </c>
      <c r="F97" s="4" t="inlineStr">
        <is>
          <t>MSc Software</t>
        </is>
      </c>
      <c r="G97" s="4" t="inlineStr">
        <is>
          <t>مهندسی نرم‌افزار / علوم کامپیوتر</t>
        </is>
      </c>
      <c r="H97" s="4" t="inlineStr">
        <is>
          <t>۲ سال</t>
        </is>
      </c>
      <c r="I97" s="4" t="inlineStr">
        <is>
          <t>≈ €14,910–15,340</t>
        </is>
      </c>
      <c r="J97" s="4" t="inlineStr">
        <is>
          <t>$17,000–17,500</t>
        </is>
      </c>
      <c r="K97" s="4" t="inlineStr">
        <is>
          <t>کارشناسی SE/CS</t>
        </is>
      </c>
      <c r="L97" s="4" t="inlineStr">
        <is>
          <t>6.5</t>
        </is>
      </c>
      <c r="M97" s="4">
        <f>329</f>
        <v/>
      </c>
      <c r="N97" s="10" t="inlineStr">
        <is>
          <t>Target</t>
        </is>
      </c>
      <c r="O97" s="4" t="inlineStr">
        <is>
          <t>4/5 — بیشترین حجم آگهی در هر ۶ کشور؛ ورود جونیور از ۲۰۲۳ سخت‌تر شده — سابقهٔ کار شما مزیت است</t>
        </is>
      </c>
      <c r="P97" s="4" t="inlineStr"/>
      <c r="Q97" s="8" t="inlineStr">
        <is>
          <t>https://www.en.aau.dk/education/master/software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Aalborg University (AAU)</t>
        </is>
      </c>
      <c r="D98" s="4" t="inlineStr">
        <is>
          <t>Copenhagen – Sydhavn (کپنهاگ؛ کمپوس AAU)</t>
        </is>
      </c>
      <c r="E98" s="4" t="inlineStr">
        <is>
          <t>خیلی گران — DKK 10,000–12,500</t>
        </is>
      </c>
      <c r="F98" s="4" t="inlineStr">
        <is>
          <t>MSc Eng Cyber Security</t>
        </is>
      </c>
      <c r="G98" s="4" t="inlineStr">
        <is>
          <t>امنیت سایبری</t>
        </is>
      </c>
      <c r="H98" s="4" t="inlineStr">
        <is>
          <t>۲ سال</t>
        </is>
      </c>
      <c r="I98" s="4" t="inlineStr">
        <is>
          <t>≈ €14,910–15,340</t>
        </is>
      </c>
      <c r="J98" s="4" t="inlineStr">
        <is>
          <t>$17,000–17,500</t>
        </is>
      </c>
      <c r="K98" s="4" t="inlineStr">
        <is>
          <t>کارشناسی CS/EE مرتبط؛ مهلت ۱ مارس</t>
        </is>
      </c>
      <c r="L98" s="4" t="inlineStr">
        <is>
          <t>6.5</t>
        </is>
      </c>
      <c r="M98" s="4">
        <f>329</f>
        <v/>
      </c>
      <c r="N98" s="10" t="inlineStr">
        <is>
          <t>Target</t>
        </is>
      </c>
      <c r="O9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8" s="4" t="inlineStr">
        <is>
          <t>کمپوس کپنهاگ: اجاره بالاتر ولی بازار کار بزرگ</t>
        </is>
      </c>
      <c r="Q98" s="8" t="inlineStr">
        <is>
          <t>https://www.en.aau.dk/education/master/cyber-security/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Aalborg University (AAU)</t>
        </is>
      </c>
      <c r="D99" s="4" t="inlineStr">
        <is>
          <t>Aalborg یا Copenhagen (هر دو کمپوس)</t>
        </is>
      </c>
      <c r="E99" s="4" t="inlineStr">
        <is>
          <t>متوسط (Aalborg) تا خیلی گران (Copenhagen)</t>
        </is>
      </c>
      <c r="F99" s="4" t="inlineStr">
        <is>
          <t>MSc Medialogy</t>
        </is>
      </c>
      <c r="G99" s="4" t="inlineStr">
        <is>
          <t>HCI / طراحی تعامل / UX</t>
        </is>
      </c>
      <c r="H99" s="4" t="inlineStr">
        <is>
          <t>۲ سال</t>
        </is>
      </c>
      <c r="I99" s="4" t="inlineStr">
        <is>
          <t>≈ €14,910–15,340</t>
        </is>
      </c>
      <c r="J99" s="4" t="inlineStr">
        <is>
          <t>$17,000–17,500</t>
        </is>
      </c>
      <c r="K99" s="4" t="inlineStr">
        <is>
          <t>کارشناسی مرتبط (Medialogy، CS، Media Tech)</t>
        </is>
      </c>
      <c r="L99" s="4" t="inlineStr">
        <is>
          <t>6.5</t>
        </is>
      </c>
      <c r="M99" s="4">
        <f>329</f>
        <v/>
      </c>
      <c r="N99" s="10" t="inlineStr">
        <is>
          <t>Target</t>
        </is>
      </c>
      <c r="O9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9" s="4" t="inlineStr">
        <is>
          <t>تعامل، AR/VR، بازی؛ بین HCI و Game</t>
        </is>
      </c>
      <c r="Q99" s="8" t="inlineStr">
        <is>
          <t>https://www.en.aau.dk/education/master/medialogy-aal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University of Southern Denmark (SDU)</t>
        </is>
      </c>
      <c r="D100" s="4" t="inlineStr">
        <is>
          <t>Odense (اودنسه) — سومین شهر؛ خوشهٔ رباتیک</t>
        </is>
      </c>
      <c r="E100" s="4" t="inlineStr">
        <is>
          <t>متوسط — DKK 8,000–10,000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€17,300 (از ورودی سپتامبر ۲۰۲۶؛ قبلاً €13,900)</t>
        </is>
      </c>
      <c r="J100" s="4" t="inlineStr">
        <is>
          <t>$19,700</t>
        </is>
      </c>
      <c r="K100" s="4" t="inlineStr">
        <is>
          <t>≥ ۱۰۰ ECTS دروس CS؛ ظرفیت محدود + آزمون</t>
        </is>
      </c>
      <c r="L100" s="4" t="inlineStr">
        <is>
          <t>6.5</t>
        </is>
      </c>
      <c r="M100" s="4">
        <f>283</f>
        <v/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⚠️ افزایش شهریهٔ ۲۰۲۶ — جدول اصلی اصلاح شد</t>
        </is>
      </c>
      <c r="Q100" s="8" t="inlineStr">
        <is>
          <t>https://www.sdu.dk/en/uddannelse/fees_and_funding/tuition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University of Southern Denmark (SDU)</t>
        </is>
      </c>
      <c r="D101" s="4" t="inlineStr">
        <is>
          <t>Odense (اودنسه) — سومین شهر؛ خوشهٔ رباتیک</t>
        </is>
      </c>
      <c r="E101" s="4" t="inlineStr">
        <is>
          <t>متوسط — DKK 8,000–10,000</t>
        </is>
      </c>
      <c r="F101" s="4" t="inlineStr">
        <is>
          <t>MSc Eng Software Engineering</t>
        </is>
      </c>
      <c r="G101" s="4" t="inlineStr">
        <is>
          <t>مهندسی نرم‌افزار / علوم کامپیوتر</t>
        </is>
      </c>
      <c r="H101" s="4" t="inlineStr">
        <is>
          <t>۲ سال</t>
        </is>
      </c>
      <c r="I101" s="4" t="inlineStr">
        <is>
          <t>€17,300</t>
        </is>
      </c>
      <c r="J101" s="4" t="inlineStr">
        <is>
          <t>$19,700</t>
        </is>
      </c>
      <c r="K101" s="4" t="inlineStr">
        <is>
          <t>کارشناسی SE/CS</t>
        </is>
      </c>
      <c r="L101" s="4" t="inlineStr">
        <is>
          <t>6.5</t>
        </is>
      </c>
      <c r="M101" s="4">
        <f>283</f>
        <v/>
      </c>
      <c r="N101" s="10" t="inlineStr">
        <is>
          <t>Target</t>
        </is>
      </c>
      <c r="O101" s="4" t="inlineStr">
        <is>
          <t>4/5 — بیشترین حجم آگهی در هر ۶ کشور؛ ورود جونیور از ۲۰۲۳ سخت‌تر شده — سابقهٔ کار شما مزیت است</t>
        </is>
      </c>
      <c r="P101" s="4" t="inlineStr">
        <is>
          <t>گرایش‌های Interactive Tech &amp; Games، Cyber-security &amp; Data Intelligence</t>
        </is>
      </c>
      <c r="Q101" s="8" t="inlineStr">
        <is>
          <t>https://www.sdu.dk/en/uddannelse/kandidat/softwareengineering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University of Southern Denmark (SDU)</t>
        </is>
      </c>
      <c r="D102" s="4" t="inlineStr">
        <is>
          <t>Odense (اودنسه) — سومین شهر؛ خوشهٔ رباتیک</t>
        </is>
      </c>
      <c r="E102" s="4" t="inlineStr">
        <is>
          <t>متوسط — DKK 8,000–10,000</t>
        </is>
      </c>
      <c r="F102" s="4" t="inlineStr">
        <is>
          <t>MSc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€17,300</t>
        </is>
      </c>
      <c r="J102" s="4" t="inlineStr">
        <is>
          <t>$19,700</t>
        </is>
      </c>
      <c r="K102" s="4" t="inlineStr">
        <is>
          <t>کارشناسی CS/AI</t>
        </is>
      </c>
      <c r="L102" s="4" t="inlineStr">
        <is>
          <t>6.5</t>
        </is>
      </c>
      <c r="M102" s="4">
        <f>283</f>
        <v/>
      </c>
      <c r="N102" s="10" t="inlineStr">
        <is>
          <t>Target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شروع سپتامبر و فوریه</t>
        </is>
      </c>
      <c r="Q102" s="8" t="inlineStr">
        <is>
          <t>https://www.sdu.dk/en/studyscience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University of Southern Denmark (SDU)</t>
        </is>
      </c>
      <c r="D103" s="4" t="inlineStr">
        <is>
          <t>Odense (اودنسه) — سومین شهر؛ خوشهٔ رباتیک</t>
        </is>
      </c>
      <c r="E103" s="4" t="inlineStr">
        <is>
          <t>متوسط — DKK 8,000–10,000</t>
        </is>
      </c>
      <c r="F103" s="4" t="inlineStr">
        <is>
          <t>MSc Eng Robot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مرتبط (CS/EE/Mechatronics)</t>
        </is>
      </c>
      <c r="L103" s="4" t="inlineStr">
        <is>
          <t>6.5</t>
        </is>
      </c>
      <c r="M103" s="4">
        <f>283</f>
        <v/>
      </c>
      <c r="N103" s="10" t="inlineStr">
        <is>
          <t>Target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>
        <is>
          <t>Odense Robotics cluster (Universal Robots، MiR)</t>
        </is>
      </c>
      <c r="Q103" s="8" t="inlineStr">
        <is>
          <t>https://www.sdu.dk/en/uddannelse/kandidat/alle-kandidatuddannelser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University of Southern Denmark (SDU)</t>
        </is>
      </c>
      <c r="D104" s="4" t="inlineStr">
        <is>
          <t>Kolding (کولدینگ) — جنوب یوتلند</t>
        </is>
      </c>
      <c r="E104" s="4" t="inlineStr">
        <is>
          <t>ارزان تا متوسط — DKK 7,500–9,000</t>
        </is>
      </c>
      <c r="F104" s="4" t="inlineStr">
        <is>
          <t>MSc Data Science</t>
        </is>
      </c>
      <c r="G104" s="4" t="inlineStr">
        <is>
          <t>علم داده / تحلیل داده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با محتوای کمی/برنامه‌نویسی</t>
        </is>
      </c>
      <c r="L104" s="4" t="inlineStr">
        <is>
          <t>6.5</t>
        </is>
      </c>
      <c r="M104" s="4">
        <f>283</f>
        <v/>
      </c>
      <c r="N104" s="10" t="inlineStr">
        <is>
          <t>Target</t>
        </is>
      </c>
      <c r="O10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4" s="4" t="inlineStr"/>
      <c r="Q104" s="8" t="inlineStr">
        <is>
          <t>https://www.sdu.dk/en/uddannelse/kandidat/alle-kandidatuddannelser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IT University of Copenhagen (ITU)</t>
        </is>
      </c>
      <c r="D105" s="4" t="inlineStr">
        <is>
          <t>Copenhagen (کپنهاگ)</t>
        </is>
      </c>
      <c r="E105" s="4" t="inlineStr">
        <is>
          <t>خیلی گران — DKK 10,000–12,500</t>
        </is>
      </c>
      <c r="F105" s="4" t="inlineStr">
        <is>
          <t>MSc Games — track Game Technology</t>
        </is>
      </c>
      <c r="G105" s="4" t="inlineStr">
        <is>
          <t>توسعه بازی</t>
        </is>
      </c>
      <c r="H105" s="4" t="inlineStr">
        <is>
          <t>۲ سال</t>
        </is>
      </c>
      <c r="I105" s="4" t="inlineStr">
        <is>
          <t>€16,500 (€8,250 در ترم؛ ورودی ۲۰۲۶ — رسمی)</t>
        </is>
      </c>
      <c r="J105" s="4" t="inlineStr">
        <is>
          <t>$18,800</t>
        </is>
      </c>
      <c r="K105" s="4" t="inlineStr">
        <is>
          <t>برای track فنی: کارشناسی CS</t>
        </is>
      </c>
      <c r="L105" s="4" t="inlineStr">
        <is>
          <t>6.5</t>
        </is>
      </c>
      <c r="M105" s="4" t="inlineStr">
        <is>
          <t>— (تخصصی)</t>
        </is>
      </c>
      <c r="N105" s="10" t="inlineStr">
        <is>
          <t>Target</t>
        </is>
      </c>
      <c r="O10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05" s="4" t="inlineStr">
        <is>
          <t>شناخته‌شده‌ترین ارشد بازی اسکاندیناوی؛ Copenhagen (IO Interactive، Unity Copenhagen)</t>
        </is>
      </c>
      <c r="Q105" s="8" t="inlineStr">
        <is>
          <t>https://en.itu.dk/Programmes/MSc-Programmes/Applying-to-a-MSc-programme/Non-EU-EOES</t>
        </is>
      </c>
    </row>
    <row r="106">
      <c r="A106" s="2" t="n">
        <v>105</v>
      </c>
      <c r="B106" s="2" t="inlineStr">
        <is>
          <t>دانمارک</t>
        </is>
      </c>
      <c r="C106" s="4" t="inlineStr">
        <is>
          <t>IT University of Copenhagen (ITU)</t>
        </is>
      </c>
      <c r="D106" s="4" t="inlineStr">
        <is>
          <t>Copenhagen (کپنهاگ)</t>
        </is>
      </c>
      <c r="E106" s="4" t="inlineStr">
        <is>
          <t>خیلی گران — DKK 10,000–12,500</t>
        </is>
      </c>
      <c r="F106" s="4" t="inlineStr">
        <is>
          <t>MSc Computer Science</t>
        </is>
      </c>
      <c r="G106" s="4" t="inlineStr">
        <is>
          <t>مهندسی نرم‌افزار / علوم کامپیوتر</t>
        </is>
      </c>
      <c r="H106" s="4" t="inlineStr">
        <is>
          <t>۲ سال</t>
        </is>
      </c>
      <c r="I106" s="4" t="inlineStr">
        <is>
          <t>€16,500 (€8,250 در ترم)</t>
        </is>
      </c>
      <c r="J106" s="4" t="inlineStr">
        <is>
          <t>$18,800</t>
        </is>
      </c>
      <c r="K106" s="4" t="inlineStr">
        <is>
          <t>کارشناسی CS/SE با برنامه‌نویسی قابل توجه</t>
        </is>
      </c>
      <c r="L106" s="4" t="inlineStr">
        <is>
          <t>6.5</t>
        </is>
      </c>
      <c r="M106" s="4" t="inlineStr">
        <is>
          <t>— (تخصصی)</t>
        </is>
      </c>
      <c r="N106" s="10" t="inlineStr">
        <is>
          <t>Target</t>
        </is>
      </c>
      <c r="O106" s="4" t="inlineStr">
        <is>
          <t>4/5 — بیشترین حجم آگهی در هر ۶ کشور؛ ورود جونیور از ۲۰۲۳ سخت‌تر شده — سابقهٔ کار شما مزیت است</t>
        </is>
      </c>
      <c r="P106" s="4" t="inlineStr">
        <is>
          <t>ارزان‌تر از DTU/KU در کپنهاگ؛ رقم قدیمی €13,400 (پورتال studyindenmark) منسوخ است</t>
        </is>
      </c>
      <c r="Q106" s="8" t="inlineStr">
        <is>
          <t>https://en.itu.dk/Programmes/MSc-Programmes/Applying-to-a-MSc-programme/Non-EU-EOES</t>
        </is>
      </c>
    </row>
    <row r="107">
      <c r="A107" s="2" t="n">
        <v>106</v>
      </c>
      <c r="B107" s="2" t="inlineStr">
        <is>
          <t>دانمارک</t>
        </is>
      </c>
      <c r="C107" s="4" t="inlineStr">
        <is>
          <t>IT University of Copenhagen (ITU)</t>
        </is>
      </c>
      <c r="D107" s="4" t="inlineStr">
        <is>
          <t>Copenhagen (کپنهاگ)</t>
        </is>
      </c>
      <c r="E107" s="4" t="inlineStr">
        <is>
          <t>خیلی گران — DKK 10,000–12,500</t>
        </is>
      </c>
      <c r="F107" s="4" t="inlineStr">
        <is>
          <t>MSc Data Science</t>
        </is>
      </c>
      <c r="G107" s="4" t="inlineStr">
        <is>
          <t>علم داده / تحلیل داده</t>
        </is>
      </c>
      <c r="H107" s="4" t="inlineStr">
        <is>
          <t>۲ سال</t>
        </is>
      </c>
      <c r="I107" s="4" t="inlineStr">
        <is>
          <t>€16,500 (€8,250 در ترم)</t>
        </is>
      </c>
      <c r="J107" s="4" t="inlineStr">
        <is>
          <t>$18,800</t>
        </is>
      </c>
      <c r="K107" s="4" t="inlineStr">
        <is>
          <t>کارشناسی مرتبط با داده/CS</t>
        </is>
      </c>
      <c r="L107" s="4" t="inlineStr">
        <is>
          <t>6.5</t>
        </is>
      </c>
      <c r="M107" s="4" t="inlineStr">
        <is>
          <t>— (تخصصی)</t>
        </is>
      </c>
      <c r="N107" s="10" t="inlineStr">
        <is>
          <t>Target</t>
        </is>
      </c>
      <c r="O10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7" s="4" t="inlineStr"/>
      <c r="Q107" s="8" t="inlineStr">
        <is>
          <t>https://en.itu.dk/Programmes/MSc-Programmes/Applying-to-a-MSc-programme/Non-EU-EOES</t>
        </is>
      </c>
    </row>
    <row r="108">
      <c r="A108" s="2" t="n">
        <v>107</v>
      </c>
      <c r="B108" s="2" t="inlineStr">
        <is>
          <t>دانمارک</t>
        </is>
      </c>
      <c r="C108" s="4" t="inlineStr">
        <is>
          <t>Technical University of Denmark (DTU)</t>
        </is>
      </c>
      <c r="D108" s="4" t="inlineStr">
        <is>
          <t>Kgs. Lyngby (لینگبی) — ۱۵ کیلومتری کپنهاگ</t>
        </is>
      </c>
      <c r="E108" s="4" t="inlineStr">
        <is>
          <t>خیلی گران — DKK 9,500–12,000</t>
        </is>
      </c>
      <c r="F108" s="4" t="inlineStr">
        <is>
          <t>MSc Eng Human-Centered Artificial Intelligence</t>
        </is>
      </c>
      <c r="G108" s="4" t="inlineStr">
        <is>
          <t>هوش مصنوعی / یادگیری ماشین</t>
        </is>
      </c>
      <c r="H108" s="4" t="inlineStr">
        <is>
          <t>۲ سال</t>
        </is>
      </c>
      <c r="I108" s="4" t="inlineStr">
        <is>
          <t>€15,000</t>
        </is>
      </c>
      <c r="J108" s="4" t="inlineStr">
        <is>
          <t>$17,100</t>
        </is>
      </c>
      <c r="K108" s="4" t="inlineStr">
        <is>
          <t>ظرفیت محدود؛ امتیازدهی: معدل ۶۰٪ + سابقهٔ کار ۱۰٪</t>
        </is>
      </c>
      <c r="L108" s="4" t="inlineStr">
        <is>
          <t>6.5</t>
        </is>
      </c>
      <c r="M108" s="4" t="inlineStr">
        <is>
          <t>105</t>
        </is>
      </c>
      <c r="N108" s="12" t="inlineStr">
        <is>
          <t>Reach</t>
        </is>
      </c>
      <c r="O10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8" s="4" t="inlineStr">
        <is>
          <t>معدل ۱۵.۷۷ در رقابت DTU ضعیف است</t>
        </is>
      </c>
      <c r="Q108" s="8" t="inlineStr">
        <is>
          <t>https://www.dtu.dk/english/education/graduate/msc-programmes/human-centered-artificial-intelligence</t>
        </is>
      </c>
    </row>
    <row r="109">
      <c r="A109" s="2" t="n">
        <v>108</v>
      </c>
      <c r="B109" s="2" t="inlineStr">
        <is>
          <t>دانمارک</t>
        </is>
      </c>
      <c r="C109" s="4" t="inlineStr">
        <is>
          <t>Technical University of Denmark (DTU)</t>
        </is>
      </c>
      <c r="D109" s="4" t="inlineStr">
        <is>
          <t>Kgs. Lyngby (لینگبی) — ۱۵ کیلومتری کپنهاگ</t>
        </is>
      </c>
      <c r="E109" s="4" t="inlineStr">
        <is>
          <t>خیلی گران — DKK 9,500–12,000</t>
        </is>
      </c>
      <c r="F109" s="4" t="inlineStr">
        <is>
          <t>MSc Eng Autonomous Systems</t>
        </is>
      </c>
      <c r="G109" s="4" t="inlineStr">
        <is>
          <t>سیستم‌های نهفته / رباتیک / خودران</t>
        </is>
      </c>
      <c r="H109" s="4" t="inlineStr">
        <is>
          <t>۲ سال</t>
        </is>
      </c>
      <c r="I109" s="4" t="inlineStr">
        <is>
          <t>€15,000</t>
        </is>
      </c>
      <c r="J109" s="4" t="inlineStr">
        <is>
          <t>$17,100</t>
        </is>
      </c>
      <c r="K109" s="4" t="inlineStr">
        <is>
          <t>۸۰–۹۰ ECTS دروس مرتبط؛ ظرفیت محدود</t>
        </is>
      </c>
      <c r="L109" s="4" t="inlineStr">
        <is>
          <t>6.5</t>
        </is>
      </c>
      <c r="M109" s="4" t="inlineStr">
        <is>
          <t>105</t>
        </is>
      </c>
      <c r="N109" s="12" t="inlineStr">
        <is>
          <t>Reach</t>
        </is>
      </c>
      <c r="O10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9" s="4" t="inlineStr"/>
      <c r="Q109" s="8" t="inlineStr">
        <is>
          <t>https://www.dtu.dk/english/education/graduate/msc-programmes/autonomous-systems/prerequisites</t>
        </is>
      </c>
    </row>
    <row r="110">
      <c r="A110" s="2" t="n">
        <v>109</v>
      </c>
      <c r="B110" s="2" t="inlineStr">
        <is>
          <t>دانمارک</t>
        </is>
      </c>
      <c r="C110" s="4" t="inlineStr">
        <is>
          <t>Technical University of Denmark (DTU)</t>
        </is>
      </c>
      <c r="D110" s="4" t="inlineStr">
        <is>
          <t>Kgs. Lyngby (لینگبی) — ۱۵ کیلومتری کپنهاگ</t>
        </is>
      </c>
      <c r="E110" s="4" t="inlineStr">
        <is>
          <t>خیلی گران — DKK 9,500–12,000</t>
        </is>
      </c>
      <c r="F110" s="4" t="inlineStr">
        <is>
          <t>MSc Eng Computer Science and Engineering</t>
        </is>
      </c>
      <c r="G110" s="4" t="inlineStr">
        <is>
          <t>مهندسی نرم‌افزار / علوم کامپیوتر</t>
        </is>
      </c>
      <c r="H110" s="4" t="inlineStr">
        <is>
          <t>۲ سال</t>
        </is>
      </c>
      <c r="I110" s="4" t="inlineStr">
        <is>
          <t>€15,000</t>
        </is>
      </c>
      <c r="J110" s="4" t="inlineStr">
        <is>
          <t>$17,100</t>
        </is>
      </c>
      <c r="K110" s="4" t="inlineStr">
        <is>
          <t>ظرفیت محدود؛ گزینش با معدل</t>
        </is>
      </c>
      <c r="L110" s="4" t="inlineStr">
        <is>
          <t>6.5</t>
        </is>
      </c>
      <c r="M110" s="4" t="inlineStr">
        <is>
          <t>105</t>
        </is>
      </c>
      <c r="N110" s="12" t="inlineStr">
        <is>
          <t>Reach</t>
        </is>
      </c>
      <c r="O110" s="4" t="inlineStr">
        <is>
          <t>4/5 — بیشترین حجم آگهی در هر ۶ کشور؛ ورود جونیور از ۲۰۲۳ سخت‌تر شده — سابقهٔ کار شما مزیت است</t>
        </is>
      </c>
      <c r="P110" s="4" t="inlineStr"/>
      <c r="Q110" s="8" t="inlineStr">
        <is>
          <t>https://www.dtu.dk/english/education/graduate/msc-programmes/computer-science-and-engineering</t>
        </is>
      </c>
    </row>
    <row r="111">
      <c r="A111" s="2" t="n">
        <v>110</v>
      </c>
      <c r="B111" s="2" t="inlineStr">
        <is>
          <t>دانمارک</t>
        </is>
      </c>
      <c r="C111" s="4" t="inlineStr">
        <is>
          <t>Aarhus University (AU)</t>
        </is>
      </c>
      <c r="D111" s="4" t="inlineStr">
        <is>
          <t>Aarhus (آرهوس) — دومین شهر دانمارک</t>
        </is>
      </c>
      <c r="E111" s="4" t="inlineStr">
        <is>
          <t>گران — DKK 9,000–11,000</t>
        </is>
      </c>
      <c r="F111" s="4" t="inlineStr">
        <is>
          <t>MSc Computer Science</t>
        </is>
      </c>
      <c r="G111" s="4" t="inlineStr">
        <is>
          <t>مهندسی نرم‌افزار / علوم کامپیوتر</t>
        </is>
      </c>
      <c r="H111" s="4" t="inlineStr">
        <is>
          <t>۲ سال</t>
        </is>
      </c>
      <c r="I111" s="4" t="inlineStr">
        <is>
          <t>€17,300</t>
        </is>
      </c>
      <c r="J111" s="4" t="inlineStr">
        <is>
          <t>$19,700</t>
        </is>
      </c>
      <c r="K111" s="4" t="inlineStr">
        <is>
          <t>کارشناسی CS با واحدهای مشخص</t>
        </is>
      </c>
      <c r="L111" s="4" t="inlineStr">
        <is>
          <t>6.5</t>
        </is>
      </c>
      <c r="M111" s="4" t="inlineStr">
        <is>
          <t>128</t>
        </is>
      </c>
      <c r="N111" s="11" t="inlineStr">
        <is>
          <t>Target/Reach</t>
        </is>
      </c>
      <c r="O111" s="4" t="inlineStr">
        <is>
          <t>4/5 — بیشترین حجم آگهی در هر ۶ کشور؛ ورود جونیور از ۲۰۲۳ سخت‌تر شده — سابقهٔ کار شما مزیت است</t>
        </is>
      </c>
      <c r="P111" s="4" t="inlineStr">
        <is>
          <t>Aarhus: دومین شهر، ارزان‌تر از کپنهاگ</t>
        </is>
      </c>
      <c r="Q111" s="8" t="inlineStr">
        <is>
          <t>https://masters.au.dk/computerscience</t>
        </is>
      </c>
    </row>
    <row r="113" ht="34" customHeight="1">
      <c r="B113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14" ht="34" customHeight="1">
      <c r="B114" s="13" t="inlineStr">
        <is>
          <t>شهریهٔ دلاری با نرخ نرخ تبدیل ۲۷ سپتامبر ۲۰۲۶: €1 = $1.14 · £1 = $1.325 · $1 ≈ SEK 9.9 · $1 ≈ DKK 6.55 · CHF 1 = $1.21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15" ht="34" customHeight="1">
      <c r="B115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6" ht="34" customHeight="1">
      <c r="B116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7" ht="34" customHeight="1">
      <c r="B117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8" ht="34" customHeight="1">
      <c r="B11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11"/>
  <mergeCells count="6">
    <mergeCell ref="B115:Q115"/>
    <mergeCell ref="B114:Q114"/>
    <mergeCell ref="B118:Q118"/>
    <mergeCell ref="B113:Q113"/>
    <mergeCell ref="B116:Q116"/>
    <mergeCell ref="B117:Q117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46" customWidth="1" min="3" max="3"/>
    <col width="18" customWidth="1" min="4" max="4"/>
    <col width="46" customWidth="1" min="5" max="5"/>
    <col width="34" customWidth="1" min="6" max="6"/>
    <col width="40" customWidth="1" min="7" max="7"/>
    <col width="50" customWidth="1" min="8" max="8"/>
    <col width="30" customWidth="1" min="9" max="9"/>
  </cols>
  <sheetData>
    <row r="1" ht="40" customHeight="1">
      <c r="A1" s="1" t="inlineStr">
        <is>
          <t>کشور</t>
        </is>
      </c>
      <c r="B1" s="1" t="inlineStr">
        <is>
          <t>چه کسی خوابگاه می‌دهد؟</t>
        </is>
      </c>
      <c r="C1" s="1" t="inlineStr">
        <is>
          <t>تضمین برای دانشجوی ارشد بین‌المللی؟</t>
        </is>
      </c>
      <c r="D1" s="1" t="inlineStr">
        <is>
          <t>هزینه‌اش داخل شهریه است؟</t>
        </is>
      </c>
      <c r="E1" s="1" t="inlineStr">
        <is>
          <t>اجارهٔ خوابگاه (ماهانه، معمولاً با قبوض)</t>
        </is>
      </c>
      <c r="F1" s="1" t="inlineStr">
        <is>
          <t>غذا (catered)؟</t>
        </is>
      </c>
      <c r="G1" s="1" t="inlineStr">
        <is>
          <t>اگر خوابگاه نشد: اتاق/خانهٔ خصوصی (ماهانه)</t>
        </is>
      </c>
      <c r="H1" s="1" t="inlineStr">
        <is>
          <t>زمان اقدام، ودیعه، ضامن — نکات ایرانی‌ها</t>
        </is>
      </c>
      <c r="I1" s="1" t="inlineStr">
        <is>
          <t>منبع</t>
        </is>
      </c>
    </row>
    <row r="2">
      <c r="A2" s="3" t="inlineStr">
        <is>
          <t>آلمان 🇩🇪</t>
        </is>
      </c>
      <c r="B2" s="4" t="inlineStr">
        <is>
          <t>Studierendenwerk (نهاد عمومی هر شهر)؛ خودِ دانشگاه خوابگاه ندارد. ۱,۷۰۰ خوابگاه / ≈ ۱۹۶ هزار جا در کل کشور</t>
        </is>
      </c>
      <c r="C2" s="4" t="inlineStr">
        <is>
          <t>❌ هیچ تضمینی؛ لیست انتظار. Stuttgart: معمولاً ۶–۸ ماه برای ترم زمستان · Darmstadt/Aachen سخت · Dresden، Chemnitz، Magdeburg، Passau، Saarbrücken راحت‌تر. بلافاصله بعد از پذیرش (قبل از ویزا) در لیست بنویسید</t>
        </is>
      </c>
      <c r="D2" s="4" t="inlineStr">
        <is>
          <t>❌ جدا (شهریه‌ای هم نیست)</t>
        </is>
      </c>
      <c r="E2" s="4" t="inlineStr">
        <is>
          <t>میانگین ملی ≈ €306–330 با همهٔ قبوض (DSW) · Stuttgart میانگین €345 (بازهٔ €229–500) · شرق آلمان €220–330</t>
        </is>
      </c>
      <c r="F2" s="4" t="inlineStr">
        <is>
          <t>❌ بدون غذا؛ Mensa ناهار €3–5</t>
        </is>
      </c>
      <c r="G2" s="4" t="inlineStr">
        <is>
          <t>اتاق در WG: Stuttgart/Darmstadt/Aachen/Erlangen €450–700 · Dresden/Chemnitz/Magdeburg/Passau/Saarbrücken €280–450 · آپارتمان یک‌خوابه €600–1,000</t>
        </is>
      </c>
      <c r="H2" s="4" t="inlineStr">
        <is>
          <t>ودیعهٔ ۲–۳ اجاره · بدون آدرس رسمی (Anmeldung) کارت اقامت نمی‌گیرید → قبل از پرواز حداقل اقامت موقت رزرو کنید · WGهای خصوصی معمولاً SCHUFA نمی‌خواهند ولی مصاحبهٔ ویدئویی و گواهی حساب مسدود کمک می‌کند</t>
        </is>
      </c>
      <c r="I2" s="5" t="inlineStr">
        <is>
          <t>studierendenwerke.de؛ studierendenwerk-stuttgart.de؛ hdm-stuttgart.de</t>
        </is>
      </c>
    </row>
    <row r="3">
      <c r="A3" s="3" t="inlineStr">
        <is>
          <t>هلند 🇳🇱</t>
        </is>
      </c>
      <c r="B3" s="4" t="inlineStr">
        <is>
          <t>دانشگاه‌ها خوابگاه ندارند؛ با شرکت‌های مسکن دانشجویی (SSH، Roomspot/De Veste، Vestide، Plaza) تعدادی اتاق «رزرو» می‌کنند</t>
        </is>
      </c>
      <c r="C3" s="4" t="inlineStr">
        <is>
          <t>❌ نه. Twente: پیشنهاد اتاق برای دانشجویان ویزایی از طریق Roomspot، اول‌آمده‌اول‌گرفته · Radboud: «کمک مسکن» با فرم PAS تا ۱ ژوئن، اتاق مبلهٔ €370–650، بدون تضمین · Utrecht: استودیوهای رزروشدهٔ ارشد در ۲۸ می ۲۰۲۶ همه تمام شد · UvA/Delft/Leiden: قرعه‌کشی</t>
        </is>
      </c>
      <c r="D3" s="4" t="inlineStr">
        <is>
          <t>❌ جدا</t>
        </is>
      </c>
      <c r="E3" s="4" t="inlineStr">
        <is>
          <t>Enschede/Nijmegen €370–650 · Eindhoven/Utrecht €500–870 (Utrecht Plaza: €868 با قبوض) · Amsterdam/Delft/Leiden €700–1,100</t>
        </is>
      </c>
      <c r="F3" s="4" t="inlineStr">
        <is>
          <t>❌</t>
        </is>
      </c>
      <c r="G3" s="4" t="inlineStr">
        <is>
          <t>اتاق €500–900 · استودیو €900–1,400 · بحران ملی مسکن؛ بدون اتاق ثبت‌نام BSN و بانک هم گیر می‌کند</t>
        </is>
      </c>
      <c r="H3" s="4" t="inlineStr">
        <is>
          <t>بعضی ارائه‌دهنده‌ها ۳ ماه اجاره پیش می‌گیرند · ودیعه ۱–۲ ماه (Utrecht: €1,306) · قرارداد ۱۲ ماههٔ غیرقابل فسخ · کلاهبرداری آنلاین زیاد: فقط از کانال دانشگاه/SSH</t>
        </is>
      </c>
      <c r="I3" s="5" t="inlineStr">
        <is>
          <t>ru.nl؛ sshn.nl؛ uu.nl؛ utwente.nl (issuu)</t>
        </is>
      </c>
    </row>
    <row r="4">
      <c r="A4" s="3" t="inlineStr">
        <is>
          <t>سوئد 🇸🇪</t>
        </is>
      </c>
      <c r="B4" s="4" t="inlineStr">
        <is>
          <t>شرکت‌های مسکن دانشجویی/شهرداری (SGS گوتنبرگ، SSSB استکهلم، Studentbostäder لینشوپینگ…)؛ بعضی دانشگاه‌ها برای «شهریه‌پردازها» سهمیه دارند</t>
        </is>
      </c>
      <c r="C4" s="4" t="inlineStr">
        <is>
          <t>✅ Uppsala: تضمین رسمی برای شهریه‌پردازها · LiU: یک پیشنهاد اتاق برای سال اول · KTH/Stockholm University: ❌ · Halmstad: «تضمین نمی‌کند» · Chalmers/MDU/BTH/Skövde: سهمیه یا صف — بلافاصله بعد از پرداخت شهریه اقدام کنید</t>
        </is>
      </c>
      <c r="D4" s="4" t="inlineStr">
        <is>
          <t>❌ جدا</t>
        </is>
      </c>
      <c r="E4" s="4" t="inlineStr">
        <is>
          <t>اتاق کریدوری SEK 3,500–6,500 (Stockholm 4,500–8,000؛ Linköping/Halmstad/Västerås/Karlskrona/Skövde ارزان‌تر)</t>
        </is>
      </c>
      <c r="F4" s="4" t="inlineStr">
        <is>
          <t>❌</t>
        </is>
      </c>
      <c r="G4" s="4" t="inlineStr">
        <is>
          <t>اتاق SEK 5,000–8,000 · آپارتمان کوچک SEK 8,000–13,000 · در استکهلم/گوتنبرگ بدون صف چندساله تقریباً غیرممکن</t>
        </is>
      </c>
      <c r="H4" s="4" t="inlineStr">
        <is>
          <t>بدون شمارهٔ ملی (personnummer) اجارهٔ خصوصی سخت است؛ اجارهٔ دست‌دوم (andrahand) رایج و پرکلاهبرداری · ودیعه معمولاً ۱ ماه</t>
        </is>
      </c>
      <c r="I4" s="5" t="inlineStr">
        <is>
          <t>uu.se؛ liu.se؛ hh.se؛ su.se</t>
        </is>
      </c>
    </row>
    <row r="5">
      <c r="A5" s="3" t="inlineStr">
        <is>
          <t>دانمارک 🇩🇰</t>
        </is>
      </c>
      <c r="B5" s="4" t="inlineStr">
        <is>
          <t>دفتر مسکن بین‌الملل دانشگاه (AAU، SDU، AU) + خوابگاه‌های kollegium و شرکت‌های عمومی (KKIK/CIU در کپنهاگ)</t>
        </is>
      </c>
      <c r="C5" s="4" t="inlineStr">
        <is>
          <t>AAU Aalborg: «تقریباً ۱۰۰٪» (دفتر مسکن بین‌الملل، ۲۲۰+ واحد مبله) · AAU Copenhagen: ❌ صریحاً «بدون تضمین» · SDU Odense: کمک، بدون تضمین · ITU/DTU/KU کپنهاگ: ❌</t>
        </is>
      </c>
      <c r="D5" s="4" t="inlineStr">
        <is>
          <t>❌ جدا</t>
        </is>
      </c>
      <c r="E5" s="4" t="inlineStr">
        <is>
          <t>Aalborg DKK 3,200–4,700 (میانگین 3,950؛ اینترنت/آب/گرمایش/برق داخل) · Odense DKK 3,500–5,500 · Copenhagen DKK 3,500–6,000 (KKIK/CIU) تا 5,000–9,000 (خوابگاه خصوصی/co-living)</t>
        </is>
      </c>
      <c r="F5" s="4" t="inlineStr">
        <is>
          <t>❌</t>
        </is>
      </c>
      <c r="G5" s="4" t="inlineStr">
        <is>
          <t>Aalborg/Odense اتاق DKK 3,500–5,000 · Copenhagen آپارتمان از DKK 7,000+</t>
        </is>
      </c>
      <c r="H5" s="4" t="inlineStr">
        <is>
          <t>AAU اجاره را سه‌ماهه می‌گیرد · ودیعه تا ۳ ماه · کمک‌هزینهٔ مسکن دولتی برای دانشجوی بین‌المللی ممنوع (گرفتنش = لغو اقامت)</t>
        </is>
      </c>
      <c r="I5" s="5" t="inlineStr">
        <is>
          <t>en.aau.dk؛ sdu.dk</t>
        </is>
      </c>
    </row>
    <row r="6">
      <c r="A6" s="3" t="inlineStr">
        <is>
          <t>سوئیس 🇨🇭</t>
        </is>
      </c>
      <c r="B6" s="4" t="inlineStr">
        <is>
          <t>تعاونی‌های خوابگاه (WOKO/Juwo زوریخ، FMEL لوزان، خوابگاه‌های USI لوگانو، WoVe بازل، StuWo برن…)؛ دانشگاه فقط معرفی می‌کند</t>
        </is>
      </c>
      <c r="C6" s="4" t="inlineStr">
        <is>
          <t>❌ هیچ‌جا. زوریخ لیست انتظار ۳–۱۲ ماه — روز پذیرش ثبت‌نام کنید · لوزان FMEL زود پر می‌شود · لوگانو/فریبورگ/نوشاتل/برن/لوسرن آسان‌تر</t>
        </is>
      </c>
      <c r="D6" s="4" t="inlineStr">
        <is>
          <t>❌ جدا</t>
        </is>
      </c>
      <c r="E6" s="4" t="inlineStr">
        <is>
          <t>WOKO زوریخ CHF 480–900 · FMEL ≈ CHF 500–900 · USI/Bern/Fribourg/Neuchâtel/Luzern ≈ CHF 450–800</t>
        </is>
      </c>
      <c r="F6" s="4" t="inlineStr">
        <is>
          <t>❌ (Mensa ناهار CHF 7–12)</t>
        </is>
      </c>
      <c r="G6" s="4" t="inlineStr">
        <is>
          <t>اتاق در WG: زوریخ CHF 700–1,200، بقیه CHF 600–900 · استودیو CHF 1,200–1,800</t>
        </is>
      </c>
      <c r="H6" s="4" t="inlineStr">
        <is>
          <t>ودیعهٔ ۲–۳ ماه · اجارهٔ خصوصی زوریخ اغلب گواهی عدم بدهی (Betreibungsauszug) + ضامن یا بیمهٔ ودیعه می‌خواهد · اجازهٔ اقامت به آدرس ثبت‌شده وابسته است</t>
        </is>
      </c>
      <c r="I6" s="5" t="inlineStr">
        <is>
          <t>woko.ch؛ fmel.ch؛ برآوردهای ردیف ۱۰ جدول اصلی</t>
        </is>
      </c>
    </row>
    <row r="7">
      <c r="A7" s="3" t="inlineStr">
        <is>
          <t>انگلستان 🇬🇧</t>
        </is>
      </c>
      <c r="B7" s="4" t="inlineStr">
        <is>
          <t>خودِ دانشگاه (halls) + خوابگاه‌های خصوصی PBSA (Unite، iQ، Student Roost…)</t>
        </is>
      </c>
      <c r="C7" s="4" t="inlineStr">
        <is>
          <t>✅ در بسیاری از دانشگاه‌ها برای ارشد، اگر تا مهلت اقدام کنید: York (تا ۳۱ ژوئیه)، Essex (برای کل دوره)، Brunel (همهٔ دانشجویان جدید؛ مهلت ۱۵ مارس!)، Teesside/Northumbria/Newcastle/Sheffield/Lancaster معمولاً بله (تأیید کنید) · ❌ Imperial، UCL، KCL، Durham (کالج‌ها برای PG بدون تضمین)، Warwick محدود</t>
        </is>
      </c>
      <c r="D7" s="4" t="inlineStr">
        <is>
          <t>❌ همیشه جدا؛ قرارداد ۴۰–۵۱ هفته؛ قبوض و اینترنت داخل</t>
        </is>
      </c>
      <c r="E7" s="4" t="inlineStr">
        <is>
          <t>شمال: Northumbria £94–158/هفته (رسمی) · Teesside ≈ £95–140 · Newcastle £118–240 (رسمی) · York £186–224 (رسمی؛ ۵۱ هفته = £9.5–11.4k/سال) · Durham PG ≈ £183–200 self-catered · جنوب/لندن: Essex ≈ £115–200 · Brunel ≈ £150–240 · UCL/KCL ≈ £190–350 · Imperial £210–410. یعنی ماهانه ≈ £400–700 شمال، £650–1,000 جنوب، £900–1,800 لندن</t>
        </is>
      </c>
      <c r="F7" s="4" t="inlineStr">
        <is>
          <t>✅ «catered halls» وجود دارد ولی عمدتاً برای سال اول کارشناسی. برای ارشد: Durham (کالج‌های catered: صبحانه+ناهار+شام فقط در هفته‌های ترم ≈ ۳۰ هفته؛ ≈ £262/هفته = £10.2k/سال؛ سهم غذا ≈ £3,087) · Northumbria گزینهٔ catered دارد · York، Essex، Brunel، Newcastle، Teesside برای PG فقط self-catered</t>
        </is>
      </c>
      <c r="G7" s="4" t="inlineStr">
        <is>
          <t>اتاق در خانهٔ مشترک: شمال £450–650/ماه · Colchester/Coventry/York £550–750 · لندن £900–1,400 · PBSA خصوصی £140–290/هفته شمال، £270–450 لندن</t>
        </is>
      </c>
      <c r="H7" s="4" t="inlineStr">
        <is>
          <t>مزیت بزرگ برای ایرانی: خوابگاه دانشگاه ضامن بریتانیایی نمی‌خواهد (اجارهٔ خصوصی معمولاً ضامن UK یا ۶–۱۲ ماه پیش‌پرداخت؛ خدمات ضامن ≈ £138/ماه) · پیش‌پرداخت £250–500 (Brunel £350/£450) · UCL طرح ضامن دانشگاهی £50 دارد؛ Imperial فقط برای UG/PhD</t>
        </is>
      </c>
      <c r="I7" s="5" t="inlineStr">
        <is>
          <t>york.ac.uk؛ essex.ac.uk؛ brunel.ac.uk؛ ncl.ac.uk؛ northumbria.ac.uk؛ durham.ac.uk؛ palatinate.org.uk</t>
        </is>
      </c>
    </row>
    <row r="9">
      <c r="A9" s="1" t="inlineStr">
        <is>
          <t>دانشگاه</t>
        </is>
      </c>
      <c r="B9" s="1" t="inlineStr">
        <is>
          <t>کشور / شهر</t>
        </is>
      </c>
      <c r="C9" s="1" t="inlineStr">
        <is>
          <t>خوابگاه یا کمک دانشگاه</t>
        </is>
      </c>
      <c r="D9" s="1" t="inlineStr">
        <is>
          <t>تضمین برای ارشد؟</t>
        </is>
      </c>
      <c r="E9" s="1" t="inlineStr">
        <is>
          <t>اجاره (ماهانه ≈)</t>
        </is>
      </c>
      <c r="F9" s="1" t="inlineStr">
        <is>
          <t>غذا؟</t>
        </is>
      </c>
      <c r="G9" s="1" t="inlineStr">
        <is>
          <t>مهلت / نکته</t>
        </is>
      </c>
      <c r="H9" s="1" t="inlineStr">
        <is>
          <t>منبع</t>
        </is>
      </c>
      <c r="I9" s="1" t="n"/>
    </row>
    <row r="10">
      <c r="A10" s="3" t="inlineStr">
        <is>
          <t>Universität Stuttgart</t>
        </is>
      </c>
      <c r="B10" s="4" t="inlineStr">
        <is>
          <t>آلمان / Stuttgart</t>
        </is>
      </c>
      <c r="C10" s="4" t="inlineStr">
        <is>
          <t>Studierendenwerk Stuttgart (۳۵ مجموعه، ۷,۲۰۰ جا)</t>
        </is>
      </c>
      <c r="D10" s="4" t="inlineStr">
        <is>
          <t>❌ لیست انتظار ۶–۸ ماه</t>
        </is>
      </c>
      <c r="E10" s="4" t="inlineStr">
        <is>
          <t>€229–500 (میانگین €345) با قبوض</t>
        </is>
      </c>
      <c r="F10" s="4" t="inlineStr">
        <is>
          <t>❌</t>
        </is>
      </c>
      <c r="G10" s="4" t="inlineStr">
        <is>
          <t>همان روز پذیرش ثبت‌نام؛ Esslingen/Göppingen زودتر خالی می‌شود</t>
        </is>
      </c>
      <c r="H10" s="5" t="inlineStr">
        <is>
          <t>studierendenwerk-stuttgart.de</t>
        </is>
      </c>
      <c r="I10" s="4" t="n"/>
    </row>
    <row r="11">
      <c r="A11" s="3" t="inlineStr">
        <is>
          <t>Uni Passau / Saarland / TU Dresden / Chemnitz / OVGU</t>
        </is>
      </c>
      <c r="B11" s="4" t="inlineStr">
        <is>
          <t>آلمان / شهرهای ارزان</t>
        </is>
      </c>
      <c r="C11" s="4" t="inlineStr">
        <is>
          <t>Studierendenwerk محلی</t>
        </is>
      </c>
      <c r="D11" s="4" t="inlineStr">
        <is>
          <t>❌ ولی معمولاً ظرفیت هست</t>
        </is>
      </c>
      <c r="E11" s="4" t="inlineStr">
        <is>
          <t>€220–380 با قبوض (≈)</t>
        </is>
      </c>
      <c r="F11" s="4" t="inlineStr">
        <is>
          <t>❌</t>
        </is>
      </c>
      <c r="G11" s="4" t="inlineStr">
        <is>
          <t>شهرهای کوچک/شرقی: بدون بحران؛ WG خصوصی €280–450</t>
        </is>
      </c>
      <c r="H11" s="5" t="inlineStr">
        <is>
          <t>studierendenwerke.de (≈)</t>
        </is>
      </c>
      <c r="I11" s="4" t="n"/>
    </row>
    <row r="12">
      <c r="A12" s="3" t="inlineStr">
        <is>
          <t>TU Darmstadt / RWTH Aachen / FAU Erlangen</t>
        </is>
      </c>
      <c r="B12" s="4" t="inlineStr">
        <is>
          <t>آلمان / شهرهای گران</t>
        </is>
      </c>
      <c r="C12" s="4" t="inlineStr">
        <is>
          <t>Studierendenwerk محلی</t>
        </is>
      </c>
      <c r="D12" s="4" t="inlineStr">
        <is>
          <t>❌ صف طولانی</t>
        </is>
      </c>
      <c r="E12" s="4" t="inlineStr">
        <is>
          <t>€300–450 با قبوض (≈)</t>
        </is>
      </c>
      <c r="F12" s="4" t="inlineStr">
        <is>
          <t>❌</t>
        </is>
      </c>
      <c r="G12" s="4" t="inlineStr">
        <is>
          <t>WG خصوصی €450–700؛ زودتر از همه اقدام کنید</t>
        </is>
      </c>
      <c r="H12" s="5" t="inlineStr">
        <is>
          <t>studierendenwerke.de (≈)</t>
        </is>
      </c>
      <c r="I12" s="4" t="n"/>
    </row>
    <row r="13">
      <c r="A13" s="3" t="inlineStr">
        <is>
          <t>University of Twente</t>
        </is>
      </c>
      <c r="B13" s="4" t="inlineStr">
        <is>
          <t>هلند / Enschede</t>
        </is>
      </c>
      <c r="C13" s="4" t="inlineStr">
        <is>
          <t>اتاق‌های کمپوس و شهر از طریق Roomspot (اول‌آمده‌اول‌گرفته)</t>
        </is>
      </c>
      <c r="D13" s="4" t="inlineStr">
        <is>
          <t>پیشنهاد برای دانشجویان ویزایی اگر زود اقدام کنند</t>
        </is>
      </c>
      <c r="E13" s="4" t="inlineStr">
        <is>
          <t>€300–800</t>
        </is>
      </c>
      <c r="F13" s="4" t="inlineStr">
        <is>
          <t>❌</t>
        </is>
      </c>
      <c r="G13" s="4" t="inlineStr">
        <is>
          <t>بلافاصله بعد از پذیرش در Roomspot ثبت‌نام کنید</t>
        </is>
      </c>
      <c r="H13" s="5" t="inlineStr">
        <is>
          <t>utwente.nl (issuu)</t>
        </is>
      </c>
      <c r="I13" s="4" t="n"/>
    </row>
    <row r="14">
      <c r="A14" s="3" t="inlineStr">
        <is>
          <t>Radboud University</t>
        </is>
      </c>
      <c r="B14" s="4" t="inlineStr">
        <is>
          <t>هلند / Nijmegen</t>
        </is>
      </c>
      <c r="C14" s="4" t="inlineStr">
        <is>
          <t>میانجی‌گری دانشگاه + SSH&amp; (اتاق‌های مبله برای کل دوره)</t>
        </is>
      </c>
      <c r="D14" s="4" t="inlineStr">
        <is>
          <t>❌ «کمک، نه تضمین»</t>
        </is>
      </c>
      <c r="E14" s="4" t="inlineStr">
        <is>
          <t>€370–650</t>
        </is>
      </c>
      <c r="F14" s="4" t="inlineStr">
        <is>
          <t>❌</t>
        </is>
      </c>
      <c r="G14" s="4" t="inlineStr">
        <is>
          <t>فرم PAS تا ۱ ژوئن؛ پیشنهادها می–ژوئیه؛ گاهی ۳ ماه پیش‌پرداخت</t>
        </is>
      </c>
      <c r="H14" s="5" t="inlineStr">
        <is>
          <t>ru.nl؛ sshn.nl</t>
        </is>
      </c>
      <c r="I14" s="4" t="n"/>
    </row>
    <row r="15">
      <c r="A15" s="3" t="inlineStr">
        <is>
          <t>Utrecht / TU Eindhoven / UvA / Delft / Leiden</t>
        </is>
      </c>
      <c r="B15" s="4" t="inlineStr">
        <is>
          <t>هلند / شهرهای بزرگ</t>
        </is>
      </c>
      <c r="C15" s="4" t="inlineStr">
        <is>
          <t>اتاق‌های رزروشده با SSH/Plaza/Vestide؛ قرعه‌کشی یا اول‌آمده</t>
        </is>
      </c>
      <c r="D15" s="4" t="inlineStr">
        <is>
          <t>❌ (Utrecht ۲۰۲۶: ۲۸ می تمام شد)</t>
        </is>
      </c>
      <c r="E15" s="4" t="inlineStr">
        <is>
          <t>€650–1,100 (Utrecht استودیو €868 با قبوض)</t>
        </is>
      </c>
      <c r="F15" s="4" t="inlineStr">
        <is>
          <t>❌</t>
        </is>
      </c>
      <c r="G15" s="4" t="inlineStr">
        <is>
          <t>ودیعه ≈ ۲ ماه (Utrecht €1,306)؛ قرارداد ۱۲ ماههٔ ثابت</t>
        </is>
      </c>
      <c r="H15" s="5" t="inlineStr">
        <is>
          <t>uu.nl</t>
        </is>
      </c>
      <c r="I15" s="4" t="n"/>
    </row>
    <row r="16">
      <c r="A16" s="3" t="inlineStr">
        <is>
          <t>Uppsala University</t>
        </is>
      </c>
      <c r="B16" s="4" t="inlineStr">
        <is>
          <t>سوئد / Uppsala</t>
        </is>
      </c>
      <c r="C16" s="4" t="inlineStr">
        <is>
          <t>Housing Office دانشگاه</t>
        </is>
      </c>
      <c r="D16" s="4" t="inlineStr">
        <is>
          <t>✅ تضمین رسمی برای شهریه‌پردازها</t>
        </is>
      </c>
      <c r="E16" s="4" t="inlineStr">
        <is>
          <t>SEK 3,500–6,100</t>
        </is>
      </c>
      <c r="F16" s="4" t="inlineStr">
        <is>
          <t>❌</t>
        </is>
      </c>
      <c r="G16" s="4" t="inlineStr">
        <is>
          <t>شهریه را تا مهلت بپردازید و به‌موقع درخواست دهید</t>
        </is>
      </c>
      <c r="H16" s="5" t="inlineStr">
        <is>
          <t>uu.se</t>
        </is>
      </c>
      <c r="I16" s="4" t="n"/>
    </row>
    <row r="17">
      <c r="A17" s="3" t="inlineStr">
        <is>
          <t>Linköping University</t>
        </is>
      </c>
      <c r="B17" s="4" t="inlineStr">
        <is>
          <t>سوئد / Linköping</t>
        </is>
      </c>
      <c r="C17" s="4" t="inlineStr">
        <is>
          <t>یک پیشنهاد اتاق برای سال اول (Studentbostäder)</t>
        </is>
      </c>
      <c r="D17" s="4" t="inlineStr">
        <is>
          <t>✅ یک پیشنهاد (نه انتخاب)</t>
        </is>
      </c>
      <c r="E17" s="4" t="inlineStr">
        <is>
          <t>SEK 3,500–5,500 (≈)</t>
        </is>
      </c>
      <c r="F17" s="4" t="inlineStr">
        <is>
          <t>❌</t>
        </is>
      </c>
      <c r="G17" s="4" t="inlineStr">
        <is>
          <t>بعد از پرداخت شهریه؛ رد کنید = از دست می‌رود</t>
        </is>
      </c>
      <c r="H17" s="5" t="inlineStr">
        <is>
          <t>liu.se</t>
        </is>
      </c>
      <c r="I17" s="4" t="n"/>
    </row>
    <row r="18">
      <c r="A18" s="3" t="inlineStr">
        <is>
          <t>KTH / Chalmers</t>
        </is>
      </c>
      <c r="B18" s="4" t="inlineStr">
        <is>
          <t>سوئد / Stockholm / Göteborg</t>
        </is>
      </c>
      <c r="C18" s="4" t="inlineStr">
        <is>
          <t>KTH Accommodation (محدود)؛ Chalmers از طریق SGS برای شهریه‌پردازها</t>
        </is>
      </c>
      <c r="D18" s="4" t="inlineStr">
        <is>
          <t>❌ KTH بدون تضمین؛ Chalmers سهمیه (چک شود)</t>
        </is>
      </c>
      <c r="E18" s="4" t="inlineStr">
        <is>
          <t>SEK 4,500–8,000</t>
        </is>
      </c>
      <c r="F18" s="4" t="inlineStr">
        <is>
          <t>❌</t>
        </is>
      </c>
      <c r="G18" s="4" t="inlineStr">
        <is>
          <t>SSSB استکهلم صف ۶–۱۸ ماه؛ Plan B لازم</t>
        </is>
      </c>
      <c r="H18" s="5" t="inlineStr">
        <is>
          <t>su.se؛ leapscholar (≈)</t>
        </is>
      </c>
      <c r="I18" s="4" t="n"/>
    </row>
    <row r="19">
      <c r="A19" s="3" t="inlineStr">
        <is>
          <t>Halmstad / MDU / BTH / Skövde</t>
        </is>
      </c>
      <c r="B19" s="4" t="inlineStr">
        <is>
          <t>سوئد / شهرهای کوچک</t>
        </is>
      </c>
      <c r="C19" s="4" t="inlineStr">
        <is>
          <t>معرفی به شرکت‌های مسکن شهرداری</t>
        </is>
      </c>
      <c r="D19" s="4" t="inlineStr">
        <is>
          <t>❌ Halmstad صریحاً «تضمین نمی‌کند»؛ بقیه صف</t>
        </is>
      </c>
      <c r="E19" s="4" t="inlineStr">
        <is>
          <t>SEK 3,500–5,500 (≈)</t>
        </is>
      </c>
      <c r="F19" s="4" t="inlineStr">
        <is>
          <t>❌</t>
        </is>
      </c>
      <c r="G19" s="4" t="inlineStr">
        <is>
          <t>شهرهای کوچک: معمولاً ظرف چند هفته پیدا می‌شود</t>
        </is>
      </c>
      <c r="H19" s="5" t="inlineStr">
        <is>
          <t>hh.se (≈)</t>
        </is>
      </c>
      <c r="I19" s="4" t="n"/>
    </row>
    <row r="20">
      <c r="A20" s="3" t="inlineStr">
        <is>
          <t>Aalborg University (Aalborg)</t>
        </is>
      </c>
      <c r="B20" s="4" t="inlineStr">
        <is>
          <t>دانمارک / Aalborg</t>
        </is>
      </c>
      <c r="C20" s="4" t="inlineStr">
        <is>
          <t>International Accommodation Office؛ ۲۲۰+ واحد مبله</t>
        </is>
      </c>
      <c r="D20" s="4" t="inlineStr">
        <is>
          <t>✅ «تقریباً ۱۰۰٪»</t>
        </is>
      </c>
      <c r="E20" s="4" t="inlineStr">
        <is>
          <t>DKK 3,200–4,700 (میانگین 3,950) با اینترنت/آب/گرمایش/برق</t>
        </is>
      </c>
      <c r="F20" s="4" t="inlineStr">
        <is>
          <t>❌</t>
        </is>
      </c>
      <c r="G20" s="4" t="inlineStr">
        <is>
          <t>اجاره سه‌ماهه؛ ثبت‌نام studieboligaalborg.dk ۱ ژوئیه – ۳۱ اوت</t>
        </is>
      </c>
      <c r="H20" s="5" t="inlineStr">
        <is>
          <t>en.aau.dk؛ findunirooms</t>
        </is>
      </c>
      <c r="I20" s="4" t="n"/>
    </row>
    <row r="21">
      <c r="A21" s="3" t="inlineStr">
        <is>
          <t>AAU Copenhagen / ITU / DTU / KU</t>
        </is>
      </c>
      <c r="B21" s="4" t="inlineStr">
        <is>
          <t>دانمارک / Copenhagen</t>
        </is>
      </c>
      <c r="C21" s="4" t="inlineStr">
        <is>
          <t>راهنمایی؛ KKIK/CIU؛ خوابگاه‌های خصوصی</t>
        </is>
      </c>
      <c r="D21" s="4" t="inlineStr">
        <is>
          <t>❌ صریحاً بدون تضمین</t>
        </is>
      </c>
      <c r="E21" s="4" t="inlineStr">
        <is>
          <t>DKK 3,500–6,000 (KKIK/CIU) · 5,000–9,000 خوابگاه/co-living · آپارتمان 7,000+</t>
        </is>
      </c>
      <c r="F21" s="4" t="inlineStr">
        <is>
          <t>❌</t>
        </is>
      </c>
      <c r="G21" s="4" t="inlineStr">
        <is>
          <t>«سخت‌ترین بازار اروپا» (خود AAU)؛ ۶ ماه قبل شروع کنید</t>
        </is>
      </c>
      <c r="H21" s="5" t="inlineStr">
        <is>
          <t>en.aau.dk</t>
        </is>
      </c>
      <c r="I21" s="4" t="n"/>
    </row>
    <row r="22">
      <c r="A22" s="3" t="inlineStr">
        <is>
          <t>SDU Odense</t>
        </is>
      </c>
      <c r="B22" s="4" t="inlineStr">
        <is>
          <t>دانمارک / Odense</t>
        </is>
      </c>
      <c r="C22" s="4" t="inlineStr">
        <is>
          <t>SDU Housing (کمک با kollegium)</t>
        </is>
      </c>
      <c r="D22" s="4" t="inlineStr">
        <is>
          <t>❌ کمک، بدون تضمین</t>
        </is>
      </c>
      <c r="E22" s="4" t="inlineStr">
        <is>
          <t>DKK 3,500–5,500 (≈)</t>
        </is>
      </c>
      <c r="F22" s="4" t="inlineStr">
        <is>
          <t>❌</t>
        </is>
      </c>
      <c r="G22" s="4" t="inlineStr">
        <is>
          <t>Odense خیلی ارزان‌تر از کپنهاگ</t>
        </is>
      </c>
      <c r="H22" s="5" t="inlineStr">
        <is>
          <t>sdu.dk (≈)</t>
        </is>
      </c>
      <c r="I22" s="4" t="n"/>
    </row>
    <row r="23">
      <c r="A23" s="3" t="inlineStr">
        <is>
          <t>ETH Zürich / UZH / ZHAW</t>
        </is>
      </c>
      <c r="B23" s="4" t="inlineStr">
        <is>
          <t>سوئیس / Zürich</t>
        </is>
      </c>
      <c r="C23" s="4" t="inlineStr">
        <is>
          <t>WOKO، Juwo (تعاونی‌ها)؛ دانشگاه فقط معرفی می‌کند</t>
        </is>
      </c>
      <c r="D23" s="4" t="inlineStr">
        <is>
          <t>❌ لیست انتظار ۳–۱۲ ماه</t>
        </is>
      </c>
      <c r="E23" s="4" t="inlineStr">
        <is>
          <t>CHF 480–900؛ WG خصوصی 700–1,200</t>
        </is>
      </c>
      <c r="F23" s="4" t="inlineStr">
        <is>
          <t>❌</t>
        </is>
      </c>
      <c r="G23" s="4" t="inlineStr">
        <is>
          <t>روز پذیرش در WOKO ثبت‌نام کنید؛ اجارهٔ خصوصی: ضامن/بیمهٔ ودیعه</t>
        </is>
      </c>
      <c r="H23" s="5" t="inlineStr">
        <is>
          <t>woko.ch</t>
        </is>
      </c>
      <c r="I23" s="4" t="n"/>
    </row>
    <row r="24">
      <c r="A24" s="3" t="inlineStr">
        <is>
          <t>EPFL</t>
        </is>
      </c>
      <c r="B24" s="4" t="inlineStr">
        <is>
          <t>سوئیس / Lausanne</t>
        </is>
      </c>
      <c r="C24" s="4" t="inlineStr">
        <is>
          <t>FMEL (بنیاد خوابگاه‌های لوزان)</t>
        </is>
      </c>
      <c r="D24" s="4" t="inlineStr">
        <is>
          <t>❌ زود پر می‌شود</t>
        </is>
      </c>
      <c r="E24" s="4" t="inlineStr">
        <is>
          <t>≈ CHF 500–900</t>
        </is>
      </c>
      <c r="F24" s="4" t="inlineStr">
        <is>
          <t>❌</t>
        </is>
      </c>
      <c r="G24" s="4" t="inlineStr">
        <is>
          <t>بلافاصله بعد از پذیرش دور اول (مارس)</t>
        </is>
      </c>
      <c r="H24" s="5" t="inlineStr">
        <is>
          <t>fmel.ch (≈)</t>
        </is>
      </c>
      <c r="I24" s="4" t="n"/>
    </row>
    <row r="25">
      <c r="A25" s="3" t="inlineStr">
        <is>
          <t>USI / Bern / Fribourg / Neuchâtel / Basel / HSLU</t>
        </is>
      </c>
      <c r="B25" s="4" t="inlineStr">
        <is>
          <t>سوئیس / شهرهای کوچک‌تر</t>
        </is>
      </c>
      <c r="C25" s="4" t="inlineStr">
        <is>
          <t>خوابگاه‌های دانشجویی محلی + معرفی دانشگاه</t>
        </is>
      </c>
      <c r="D25" s="4" t="inlineStr">
        <is>
          <t>❌ ولی بازار آسان‌تر از زوریخ</t>
        </is>
      </c>
      <c r="E25" s="4" t="inlineStr">
        <is>
          <t>≈ CHF 450–800؛ WG 600–900</t>
        </is>
      </c>
      <c r="F25" s="4" t="inlineStr">
        <is>
          <t>❌</t>
        </is>
      </c>
      <c r="G25" s="4" t="inlineStr">
        <is>
          <t>لوگانو/فریبورگ/نوشاتل ارزان‌ترین سوئیس</t>
        </is>
      </c>
      <c r="H25" s="5" t="inlineStr">
        <is>
          <t>برآورد</t>
        </is>
      </c>
      <c r="I25" s="4" t="n"/>
    </row>
    <row r="26">
      <c r="A26" s="3" t="inlineStr">
        <is>
          <t>Teesside University</t>
        </is>
      </c>
      <c r="B26" s="4" t="inlineStr">
        <is>
          <t>انگلستان / Middlesbrough</t>
        </is>
      </c>
      <c r="C26" s="4" t="inlineStr">
        <is>
          <t>خوابگاه دانشگاه + PBSA خصوصی</t>
        </is>
      </c>
      <c r="D26" s="4" t="inlineStr">
        <is>
          <t>معمولاً بله برای دانشجویان جدید (تأیید کنید)</t>
        </is>
      </c>
      <c r="E26" s="4" t="inlineStr">
        <is>
          <t>≈ £95–140/هفته (≈ £410–610/ماه) با قبوض؛ PBSA از £138/هفته</t>
        </is>
      </c>
      <c r="F26" s="4" t="inlineStr">
        <is>
          <t>❌ (PG)</t>
        </is>
      </c>
      <c r="G26" s="4" t="inlineStr">
        <is>
          <t>ارزان‌ترین شهر جدول انگلستان</t>
        </is>
      </c>
      <c r="H26" s="5" t="inlineStr">
        <is>
          <t>tees.ac.uk (≈)</t>
        </is>
      </c>
      <c r="I26" s="4" t="n"/>
    </row>
    <row r="27">
      <c r="A27" s="3" t="inlineStr">
        <is>
          <t>Northumbria University</t>
        </is>
      </c>
      <c r="B27" s="4" t="inlineStr">
        <is>
          <t>انگلستان / Newcastle</t>
        </is>
      </c>
      <c r="C27" s="4" t="inlineStr">
        <is>
          <t>خوابگاه دانشگاه</t>
        </is>
      </c>
      <c r="D27" s="4" t="inlineStr">
        <is>
          <t>معمولاً بله (تأیید کنید)</t>
        </is>
      </c>
      <c r="E27" s="4" t="inlineStr">
        <is>
          <t>£94.19–158.31/هفته با قبوض (رسمی) = £410–690/ماه</t>
        </is>
      </c>
      <c r="F27" s="4" t="inlineStr">
        <is>
          <t>✅ گزینهٔ catered دارد</t>
        </is>
      </c>
      <c r="G27" s="4" t="inlineStr">
        <is>
          <t>حداقل زندگی ≈ £1,015/ماه (خود دانشگاه)</t>
        </is>
      </c>
      <c r="H27" s="5" t="inlineStr">
        <is>
          <t>northumbria.ac.uk</t>
        </is>
      </c>
      <c r="I27" s="4" t="n"/>
    </row>
    <row r="28">
      <c r="A28" s="3" t="inlineStr">
        <is>
          <t>Newcastle University</t>
        </is>
      </c>
      <c r="B28" s="4" t="inlineStr">
        <is>
          <t>انگلستان / Newcastle</t>
        </is>
      </c>
      <c r="C28" s="4" t="inlineStr">
        <is>
          <t>خوابگاه‌های دانشگاه (Bowsden Court، Grand Hotel، Bernicia…)</t>
        </is>
      </c>
      <c r="D28" s="4" t="inlineStr">
        <is>
          <t>برای PG جدید معمولاً بله (تأیید کنید)</t>
        </is>
      </c>
      <c r="E28" s="4" t="inlineStr">
        <is>
          <t>£117.60–239.75/هفته (رسمی 2026/27)</t>
        </is>
      </c>
      <c r="F28" s="4" t="inlineStr">
        <is>
          <t>❌ (PG)</t>
        </is>
      </c>
      <c r="G28" s="4" t="inlineStr">
        <is>
          <t>Bowsden Court برای PG/خانواده</t>
        </is>
      </c>
      <c r="H28" s="5" t="inlineStr">
        <is>
          <t>ncl.ac.uk</t>
        </is>
      </c>
      <c r="I28" s="4" t="n"/>
    </row>
    <row r="29">
      <c r="A29" s="3" t="inlineStr">
        <is>
          <t>University of York</t>
        </is>
      </c>
      <c r="B29" s="4" t="inlineStr">
        <is>
          <t>انگلستان / York</t>
        </is>
      </c>
      <c r="C29" s="4" t="inlineStr">
        <is>
          <t>خوابگاه کمپوس (Wentworth Graduate College، Halifax)</t>
        </is>
      </c>
      <c r="D29" s="4" t="inlineStr">
        <is>
          <t>✅ تضمین PG اگر تا ۳۱ ژوئیه اقدام کنید</t>
        </is>
      </c>
      <c r="E29" s="4" t="inlineStr">
        <is>
          <t>£186–224/هفته × ۵۱ هفته = £9,486–11,424/سال (رسمی 2026/27)</t>
        </is>
      </c>
      <c r="F29" s="4" t="inlineStr">
        <is>
          <t>❌ (PG self-catered)</t>
        </is>
      </c>
      <c r="G29" s="4" t="inlineStr">
        <is>
          <t>پیشنهاد بدون قید ویزا تا ۷ اوت</t>
        </is>
      </c>
      <c r="H29" s="5" t="inlineStr">
        <is>
          <t>york.ac.uk</t>
        </is>
      </c>
      <c r="I29" s="4" t="n"/>
    </row>
    <row r="30">
      <c r="A30" s="3" t="inlineStr">
        <is>
          <t>University of Essex</t>
        </is>
      </c>
      <c r="B30" s="4" t="inlineStr">
        <is>
          <t>انگلستان / Colchester</t>
        </is>
      </c>
      <c r="C30" s="4" t="inlineStr">
        <is>
          <t>خوابگاه کمپوس</t>
        </is>
      </c>
      <c r="D30" s="4" t="inlineStr">
        <is>
          <t>✅ تضمین برای PG برای کل دوره (اکتبر: مهلت ≈ ۱۲ سپتامبر؛ ژانویه: ۳۰ نوامبر)</t>
        </is>
      </c>
      <c r="E30" s="4" t="inlineStr">
        <is>
          <t>≈ £115–200/هفته (چک شود)</t>
        </is>
      </c>
      <c r="F30" s="4" t="inlineStr">
        <is>
          <t>❌</t>
        </is>
      </c>
      <c r="G30" s="4" t="inlineStr">
        <is>
          <t>ورود زودهنگام رایگان برای ورودی ژانویه</t>
        </is>
      </c>
      <c r="H30" s="5" t="inlineStr">
        <is>
          <t>essex.ac.uk</t>
        </is>
      </c>
      <c r="I30" s="4" t="n"/>
    </row>
    <row r="31">
      <c r="A31" s="3" t="inlineStr">
        <is>
          <t>Brunel University London</t>
        </is>
      </c>
      <c r="B31" s="4" t="inlineStr">
        <is>
          <t>انگلستان / Uxbridge</t>
        </is>
      </c>
      <c r="C31" s="4" t="inlineStr">
        <is>
          <t>خوابگاه کمپوس</t>
        </is>
      </c>
      <c r="D31" s="4" t="inlineStr">
        <is>
          <t>✅ تضمین برای همهٔ دانشجویان جدید — مهلت ۱۵ مارس ۲۰۲۶ برای 2026/27</t>
        </is>
      </c>
      <c r="E31" s="4" t="inlineStr">
        <is>
          <t>≈ £150–240/هفته (چک شود)</t>
        </is>
      </c>
      <c r="F31" s="4" t="inlineStr">
        <is>
          <t>❌</t>
        </is>
      </c>
      <c r="G31" s="4" t="inlineStr">
        <is>
          <t>پیش‌پرداخت £350 (اتاق) / £450 (استودیو)</t>
        </is>
      </c>
      <c r="H31" s="5" t="inlineStr">
        <is>
          <t>brunel.ac.uk</t>
        </is>
      </c>
      <c r="I31" s="4" t="n"/>
    </row>
    <row r="32">
      <c r="A32" s="3" t="inlineStr">
        <is>
          <t>Warwick / Sheffield / Lancaster / Leicester</t>
        </is>
      </c>
      <c r="B32" s="4" t="inlineStr">
        <is>
          <t>انگلستان / شهرهای متوسط</t>
        </is>
      </c>
      <c r="C32" s="4" t="inlineStr">
        <is>
          <t>خوابگاه دانشگاه</t>
        </is>
      </c>
      <c r="D32" s="4" t="inlineStr">
        <is>
          <t>Sheffield/Lancaster معمولاً بله برای PG؛ Warwick محدود (تأیید کنید)</t>
        </is>
      </c>
      <c r="E32" s="4" t="inlineStr">
        <is>
          <t>≈ £125–210/هفته</t>
        </is>
      </c>
      <c r="F32" s="4" t="inlineStr">
        <is>
          <t>❌ (PG)</t>
        </is>
      </c>
      <c r="G32" s="4" t="inlineStr">
        <is>
          <t>اتاق خصوصی £550–750/ماه</t>
        </is>
      </c>
      <c r="H32" s="5" t="inlineStr">
        <is>
          <t>برآورد</t>
        </is>
      </c>
      <c r="I32" s="4" t="n"/>
    </row>
    <row r="33">
      <c r="A33" s="3" t="inlineStr">
        <is>
          <t>Durham University</t>
        </is>
      </c>
      <c r="B33" s="4" t="inlineStr">
        <is>
          <t>انگلستان / Durham</t>
        </is>
      </c>
      <c r="C33" s="4" t="inlineStr">
        <is>
          <t>کالج‌ها (۱۷ کالج؛ Ustinov فقط PG)</t>
        </is>
      </c>
      <c r="D33" s="4" t="inlineStr">
        <is>
          <t>❌ PG بدون تضمین؛ کالج‌ها بعد از پذیرش تماس می‌گیرند</t>
        </is>
      </c>
      <c r="E33" s="4" t="inlineStr">
        <is>
          <t>PG self-catered ≈ £183–200/هفته (۳۹ هفته £7,146–7,801، 25/26) · catered £262/هفته (£10,233/سال)</t>
        </is>
      </c>
      <c r="F33" s="4" t="inlineStr">
        <is>
          <t>✅ کالج‌های catered (۳ وعده در ترم) — عمدتاً کارشناسی؛ بعضی کالج‌ها برای PG هم</t>
        </is>
      </c>
      <c r="G33" s="4" t="inlineStr">
        <is>
          <t>سهم غذا ≈ £3,087/سال؛ اجارهٔ خصوصی از £190/هفته</t>
        </is>
      </c>
      <c r="H33" s="5" t="inlineStr">
        <is>
          <t>durham.ac.uk؛ palatinate.org.uk</t>
        </is>
      </c>
      <c r="I33" s="4" t="n"/>
    </row>
    <row r="34">
      <c r="A34" s="3" t="inlineStr">
        <is>
          <t>University of Bristol</t>
        </is>
      </c>
      <c r="B34" s="4" t="inlineStr">
        <is>
          <t>انگلستان / Bristol</t>
        </is>
      </c>
      <c r="C34" s="4" t="inlineStr">
        <is>
          <t>خوابگاه دانشگاه (catered و self-catered)</t>
        </is>
      </c>
      <c r="D34" s="4" t="inlineStr">
        <is>
          <t>PG: محدود (تأیید کنید)</t>
        </is>
      </c>
      <c r="E34" s="4" t="inlineStr">
        <is>
          <t>≈ £150–260/هفته</t>
        </is>
      </c>
      <c r="F34" s="4" t="inlineStr">
        <is>
          <t>✅ catered halls (عمدتاً UG)</t>
        </is>
      </c>
      <c r="G34" s="4" t="inlineStr">
        <is>
          <t>بریستول یکی از گران‌ترین شهرهای خارج لندن</t>
        </is>
      </c>
      <c r="H34" s="5" t="inlineStr">
        <is>
          <t>برآورد</t>
        </is>
      </c>
      <c r="I34" s="4" t="n"/>
    </row>
    <row r="35">
      <c r="A35" s="3" t="inlineStr">
        <is>
          <t>UCL / King's College London</t>
        </is>
      </c>
      <c r="B35" s="4" t="inlineStr">
        <is>
          <t>انگلستان / London</t>
        </is>
      </c>
      <c r="C35" s="4" t="inlineStr">
        <is>
          <t>خوابگاه‌های دانشگاه و بین‌دانشگاهی</t>
        </is>
      </c>
      <c r="D35" s="4" t="inlineStr">
        <is>
          <t>❌ PG بدون تضمین</t>
        </is>
      </c>
      <c r="E35" s="4" t="inlineStr">
        <is>
          <t>≈ £190–350/هفته (£820–1,500/ماه)</t>
        </is>
      </c>
      <c r="F35" s="4" t="inlineStr">
        <is>
          <t>❌ (PG)</t>
        </is>
      </c>
      <c r="G35" s="4" t="inlineStr">
        <is>
          <t>UCL طرح ضامن اجاره £50 (سقف £1,517/ماه)</t>
        </is>
      </c>
      <c r="H35" s="5" t="inlineStr">
        <is>
          <t>harveywjames (≈)</t>
        </is>
      </c>
      <c r="I35" s="4" t="n"/>
    </row>
    <row r="36">
      <c r="A36" s="3" t="inlineStr">
        <is>
          <t>Imperial College London</t>
        </is>
      </c>
      <c r="B36" s="4" t="inlineStr">
        <is>
          <t>انگلستان / London</t>
        </is>
      </c>
      <c r="C36" s="4" t="inlineStr">
        <is>
          <t>خوابگاه (Beit، Holbein…) + GradPad</t>
        </is>
      </c>
      <c r="D36" s="4" t="inlineStr">
        <is>
          <t>❌ PG بدون تضمین</t>
        </is>
      </c>
      <c r="E36" s="4" t="inlineStr">
        <is>
          <t>£210–410/هفته (۲۰۲۶) = £900–1,800/ماه؛ خانهٔ مشترک £180–450/هفته</t>
        </is>
      </c>
      <c r="F36" s="4" t="inlineStr">
        <is>
          <t>❌ (PG)</t>
        </is>
      </c>
      <c r="G36" s="4" t="inlineStr">
        <is>
          <t>طرح ضامن اجاره فقط UG/PhD؛ برآورد خود Imperial برای زندگی: £16.4–17k / ۹ ماه</t>
        </is>
      </c>
      <c r="H36" s="5" t="inlineStr">
        <is>
          <t>harveywjames؛ ukfreshersguide (≈)</t>
        </is>
      </c>
      <c r="I36" s="4" t="n"/>
    </row>
    <row r="38">
      <c r="A38" s="1" t="inlineStr">
        <is>
          <t>شهر / کشور</t>
        </is>
      </c>
      <c r="B38" s="1" t="inlineStr">
        <is>
          <t>خوابگاه استاندارد (حمام مشترک) — سالانه</t>
        </is>
      </c>
      <c r="C38" s="1" t="inlineStr">
        <is>
          <t>خوابگاه en-suite — سالانه</t>
        </is>
      </c>
      <c r="D38" s="1" t="inlineStr">
        <is>
          <t>اتاق در خانهٔ مشترک خصوصی — سالانه (+ قبوض ≈ £80/ماه)</t>
        </is>
      </c>
      <c r="E38" s="1" t="inlineStr">
        <is>
          <t>en-suite در برابر اتاق خصوصی</t>
        </is>
      </c>
      <c r="F38" s="1" t="inlineStr">
        <is>
          <t>استاندارد در برابر en-suite (پول حمام اختصاصی)</t>
        </is>
      </c>
      <c r="G38" s="1" t="inlineStr">
        <is>
          <t>نکته</t>
        </is>
      </c>
      <c r="H38" s="1" t="n"/>
      <c r="I38" s="1" t="n"/>
    </row>
    <row r="39">
      <c r="A39" s="3" t="inlineStr">
        <is>
          <t>Newcastle / Middlesbrough (Northumbria، Newcastle، Teesside)</t>
        </is>
      </c>
      <c r="B39" s="4" t="inlineStr">
        <is>
          <t>£94–118/هفته × ۵۱ = £4,800–6,000 (رسمی Northumbria £94.19، Newcastle £117.60)</t>
        </is>
      </c>
      <c r="C39" s="4" t="inlineStr">
        <is>
          <t>£140–190/هفته × ۵۱ = £7,100–9,700</t>
        </is>
      </c>
      <c r="D39" s="4" t="inlineStr">
        <is>
          <t>£450–650/ماه × ۱۲ + £960 = £6,400–8,800 (+ ضامن ≈ £1,650 اگر لازم شود)</t>
        </is>
      </c>
      <c r="E39" s="4" t="inlineStr">
        <is>
          <t>≈ برابر (−£1,000 تا +£1,700)</t>
        </is>
      </c>
      <c r="F39" s="4" t="inlineStr">
        <is>
          <t>استاندارد £2,300–3,700 ارزان‌تر</t>
        </is>
      </c>
      <c r="G39" s="4" t="inlineStr">
        <is>
          <t>ارزان‌ترین راه واقعی: اتاق استاندارد ۵۱ هفته‌ای ≈ £4,900 با همهٔ قبوض</t>
        </is>
      </c>
      <c r="H39" s="4" t="n"/>
      <c r="I39" s="4" t="n"/>
    </row>
    <row r="40">
      <c r="A40" s="3" t="inlineStr">
        <is>
          <t>York (اعداد رسمی PG 2026/27)</t>
        </is>
      </c>
      <c r="B40" s="4" t="inlineStr">
        <is>
          <t>£186 × ۵۱ = £9,486</t>
        </is>
      </c>
      <c r="C40" s="4" t="inlineStr">
        <is>
          <t>£206 × ۵۱ = £10,506</t>
        </is>
      </c>
      <c r="D40" s="4" t="inlineStr">
        <is>
          <t>£550–750/ماه × ۱۲ + £960 = £7,560–9,960</t>
        </is>
      </c>
      <c r="E40" s="4" t="inlineStr">
        <is>
          <t>❌ en-suite £500–2,900 گران‌تر از اتاق خصوصی</t>
        </is>
      </c>
      <c r="F40" s="4" t="inlineStr">
        <is>
          <t>استاندارد £1,020 ارزان‌تر</t>
        </is>
      </c>
      <c r="G40" s="4" t="inlineStr">
        <is>
          <t>York خوابگاه گران دارد؛ مزیتش تضمین و بی‌ضامنی است، نه قیمت</t>
        </is>
      </c>
      <c r="H40" s="4" t="n"/>
      <c r="I40" s="4" t="n"/>
    </row>
    <row r="41">
      <c r="A41" s="3" t="inlineStr">
        <is>
          <t>Colchester (Essex)</t>
        </is>
      </c>
      <c r="B41" s="4" t="inlineStr">
        <is>
          <t>≈ £115–140 × ۴۰–۵۱ = £4,600–7,100</t>
        </is>
      </c>
      <c r="C41" s="4" t="inlineStr">
        <is>
          <t>≈ £160–200 × ۴۰–۵۱ = £6,400–10,200</t>
        </is>
      </c>
      <c r="D41" s="4" t="inlineStr">
        <is>
          <t>£550–700/ماه × ۱۲ + £960 = £7,560–9,360</t>
        </is>
      </c>
      <c r="E41" s="4" t="inlineStr">
        <is>
          <t>≈ برابر</t>
        </is>
      </c>
      <c r="F41" s="4" t="inlineStr">
        <is>
          <t>استاندارد £1,800–3,000 ارزان‌تر</t>
        </is>
      </c>
      <c r="G41" s="4" t="inlineStr">
        <is>
          <t>قرارداد ۴۰ هفته‌ای برای ارشد ۱۲ ماهه کافی نیست → ۸–۱۲ هفتهٔ تابستان جدا</t>
        </is>
      </c>
      <c r="H41" s="4" t="n"/>
      <c r="I41" s="4" t="n"/>
    </row>
    <row r="42">
      <c r="A42" s="3" t="inlineStr">
        <is>
          <t>Uxbridge (Brunel) — غرب لندن</t>
        </is>
      </c>
      <c r="B42" s="4" t="inlineStr">
        <is>
          <t>≈ £150–170 × ۴۰–۵۰ = £6,000–8,500</t>
        </is>
      </c>
      <c r="C42" s="4" t="inlineStr">
        <is>
          <t>≈ £190–240 × ۴۰–۵۰ = £7,600–12,000</t>
        </is>
      </c>
      <c r="D42" s="4" t="inlineStr">
        <is>
          <t>£900–1,200/ماه × ۱۲ + £1,200 = £12,000–15,600</t>
        </is>
      </c>
      <c r="E42" s="4" t="inlineStr">
        <is>
          <t>✅ en-suite £2,000–5,000 ارزان‌تر</t>
        </is>
      </c>
      <c r="F42" s="4" t="inlineStr">
        <is>
          <t>استاندارد £1,600–3,500 ارزان‌تر</t>
        </is>
      </c>
      <c r="G42" s="4" t="inlineStr">
        <is>
          <t>در لندن و حومه خوابگاه دانشگاه واقعاً می‌صرفد + تضمین Brunel (مهلت ۱۵ مارس)</t>
        </is>
      </c>
      <c r="H42" s="4" t="n"/>
      <c r="I42" s="4" t="n"/>
    </row>
    <row r="43">
      <c r="A43" s="3" t="inlineStr">
        <is>
          <t>Durham (کالج، PG self-catered)</t>
        </is>
      </c>
      <c r="B43" s="4" t="inlineStr">
        <is>
          <t>£183 × ۳۹ = £7,146 + ۱۳ هفته تابستان ≈ £1,950 = £9,100</t>
        </is>
      </c>
      <c r="C43" s="4" t="inlineStr">
        <is>
          <t>£200 × ۳۹ = £7,801 + تابستان ≈ £1,950 = £9,750</t>
        </is>
      </c>
      <c r="D43" s="4" t="inlineStr">
        <is>
          <t>£550–700/ماه × ۱۲ + £960 = £7,560–9,360</t>
        </is>
      </c>
      <c r="E43" s="4" t="inlineStr">
        <is>
          <t>≈ برابر تا £2,000 گران‌تر</t>
        </is>
      </c>
      <c r="F43" s="4" t="inlineStr">
        <is>
          <t>استاندارد £650 ارزان‌تر</t>
        </is>
      </c>
      <c r="G43" s="4" t="inlineStr">
        <is>
          <t>قرارداد ۳۹ هفته‌ای دورهام برای ارشد ۱۲ ماهه مشکل‌ساز است</t>
        </is>
      </c>
      <c r="H43" s="4" t="n"/>
      <c r="I43" s="4" t="n"/>
    </row>
    <row r="44">
      <c r="A44" s="3" t="inlineStr">
        <is>
          <t>London مرکز (UCL / KCL / Imperial)</t>
        </is>
      </c>
      <c r="B44" s="4" t="inlineStr">
        <is>
          <t>£210–250 × ۴۰–۵۱ = £8,400–12,750</t>
        </is>
      </c>
      <c r="C44" s="4" t="inlineStr">
        <is>
          <t>£260–350 × ۴۰–۵۱ = £10,400–17,850</t>
        </is>
      </c>
      <c r="D44" s="4" t="inlineStr">
        <is>
          <t>£1,000–1,400/ماه × ۱۲ + £1,200 = £13,200–18,000 (+ ضامن)</t>
        </is>
      </c>
      <c r="E44" s="4" t="inlineStr">
        <is>
          <t>✅ £0–3,000 ارزان‌تر (اگر گیرتان بیاید — PG بدون تضمین)</t>
        </is>
      </c>
      <c r="F44" s="4" t="inlineStr">
        <is>
          <t>استاندارد £2,000–5,000 ارزان‌تر</t>
        </is>
      </c>
      <c r="G44" s="4" t="inlineStr">
        <is>
          <t>در لندن هر دو گران‌اند؛ تفاوت اصلی «ضامن نخواستن» خوابگاه است</t>
        </is>
      </c>
      <c r="H44" s="4" t="n"/>
      <c r="I44" s="4" t="n"/>
    </row>
    <row r="45">
      <c r="A45" s="3" t="inlineStr">
        <is>
          <t>آلمان (Studierendenwerk در برابر WG)</t>
        </is>
      </c>
      <c r="B45" s="4" t="inlineStr">
        <is>
          <t>€230–450/ماه با قبوض = €2,800–5,400</t>
        </is>
      </c>
      <c r="C45" s="4" t="inlineStr">
        <is>
          <t>— (خوابگاه‌های آلمان معمولاً حمام مشترک یا آپارتمان تک‌نفره)</t>
        </is>
      </c>
      <c r="D45" s="4" t="inlineStr">
        <is>
          <t>€450–700 + €80 قبوض = €6,400–9,400</t>
        </is>
      </c>
      <c r="E45" s="4" t="inlineStr">
        <is>
          <t>✅ خوابگاه €1,500–4,500 ارزان‌تر</t>
        </is>
      </c>
      <c r="F45" s="4" t="inlineStr">
        <is>
          <t>—</t>
        </is>
      </c>
      <c r="G45" s="4" t="inlineStr">
        <is>
          <t>بزرگ‌ترین صرفه‌جویی نسبی — ولی لیست انتظار</t>
        </is>
      </c>
      <c r="H45" s="4" t="n"/>
      <c r="I45" s="4" t="n"/>
    </row>
    <row r="46">
      <c r="A46" s="3" t="inlineStr">
        <is>
          <t>هلند (اتاق رزروشده در برابر بازار)</t>
        </is>
      </c>
      <c r="B46" s="4" t="inlineStr">
        <is>
          <t>€370–650 = €4,400–7,800</t>
        </is>
      </c>
      <c r="C46" s="4" t="inlineStr">
        <is>
          <t>—</t>
        </is>
      </c>
      <c r="D46" s="4" t="inlineStr">
        <is>
          <t>€600–1,000 = €7,200–12,000</t>
        </is>
      </c>
      <c r="E46" s="4" t="inlineStr">
        <is>
          <t>✅ €1,500–4,000 ارزان‌تر</t>
        </is>
      </c>
      <c r="F46" s="4" t="inlineStr">
        <is>
          <t>—</t>
        </is>
      </c>
      <c r="G46" s="4" t="inlineStr">
        <is>
          <t>اتاق رزروشده فقط سال اول و بدون تضمین</t>
        </is>
      </c>
      <c r="H46" s="4" t="n"/>
      <c r="I46" s="4" t="n"/>
    </row>
    <row r="47">
      <c r="A47" s="3" t="inlineStr">
        <is>
          <t>سوئد (کریدوری در برابر خصوصی)</t>
        </is>
      </c>
      <c r="B47" s="4" t="inlineStr">
        <is>
          <t>SEK 3,500–6,500 = SEK 42–78k</t>
        </is>
      </c>
      <c r="C47" s="4" t="inlineStr">
        <is>
          <t>—</t>
        </is>
      </c>
      <c r="D47" s="4" t="inlineStr">
        <is>
          <t>SEK 5,000–8,000 (+ برق) = SEK 62–100k</t>
        </is>
      </c>
      <c r="E47" s="4" t="inlineStr">
        <is>
          <t>✅ SEK 15–25k ارزان‌تر (≈ $1,500–2,500)</t>
        </is>
      </c>
      <c r="F47" s="4" t="inlineStr">
        <is>
          <t>—</t>
        </is>
      </c>
      <c r="G47" s="4" t="inlineStr">
        <is>
          <t>Uppsala/LiU تضمین؛ استکهلم صف</t>
        </is>
      </c>
      <c r="H47" s="4" t="n"/>
      <c r="I47" s="4" t="n"/>
    </row>
    <row r="48">
      <c r="A48" s="3" t="inlineStr">
        <is>
          <t>دانمارک (kollegium در برابر خصوصی)</t>
        </is>
      </c>
      <c r="B48" s="4" t="inlineStr">
        <is>
          <t>DKK 3,200–4,700 = DKK 38–56k</t>
        </is>
      </c>
      <c r="C48" s="4" t="inlineStr">
        <is>
          <t>—</t>
        </is>
      </c>
      <c r="D48" s="4" t="inlineStr">
        <is>
          <t>DKK 4,500–7,000 = DKK 54–84k</t>
        </is>
      </c>
      <c r="E48" s="4" t="inlineStr">
        <is>
          <t>✅ DKK 15–30k ارزان‌تر (≈ $2,300–4,600)</t>
        </is>
      </c>
      <c r="F48" s="4" t="inlineStr">
        <is>
          <t>—</t>
        </is>
      </c>
      <c r="G48" s="4" t="inlineStr">
        <is>
          <t>Aalborg تضمین؛ کپنهاگ نه</t>
        </is>
      </c>
      <c r="H48" s="4" t="n"/>
      <c r="I48" s="4" t="n"/>
    </row>
    <row r="49">
      <c r="A49" s="3" t="inlineStr">
        <is>
          <t>سوئیس (WOKO/FMEL در برابر WG)</t>
        </is>
      </c>
      <c r="B49" s="4" t="inlineStr">
        <is>
          <t>CHF 480–900 = CHF 5,800–10,800</t>
        </is>
      </c>
      <c r="C49" s="4" t="inlineStr">
        <is>
          <t>—</t>
        </is>
      </c>
      <c r="D49" s="4" t="inlineStr">
        <is>
          <t>CHF 700–1,200 = CHF 8,400–14,400</t>
        </is>
      </c>
      <c r="E49" s="4" t="inlineStr">
        <is>
          <t>✅ CHF 2,500–5,000 ارزان‌تر (≈ $3,000–6,000)</t>
        </is>
      </c>
      <c r="F49" s="4" t="inlineStr">
        <is>
          <t>—</t>
        </is>
      </c>
      <c r="G49" s="4" t="inlineStr">
        <is>
          <t>بزرگ‌ترین صرفه‌جویی مطلق — ولی زوریخ ۳–۱۲ ماه صف</t>
        </is>
      </c>
      <c r="H49" s="4" t="n"/>
      <c r="I49" s="4" t="n"/>
    </row>
    <row r="51" ht="48" customHeight="1">
      <c r="A51" s="14" t="inlineStr">
        <is>
          <t>پاسخ کوتاه به «انگلیس خوابگاه با ناهار و شام می‌دهد»: بله، «catered halls» وجود دارد (معمولاً صبحانه + شام، در Durham سه وعده)، ولی (۱) تقریباً همه‌جا فقط برای سال اول کارشناسی است و برای ارشد فقط چند جا (Durham، Northumbria، بعضی کالج‌های Bristol)، (۲) فقط در هفته‌های ترم (≈ ۳۰ هفته) غذا می‌دهند، (۳) هیچ‌جا داخل شهریه نیست — Durham ≈ £3,087 در سال برای غذا جدا می‌گیرد و اجارهٔ catered ≈ £262/هفته است.</t>
        </is>
      </c>
    </row>
    <row r="52" ht="48" customHeight="1">
      <c r="A52" s="16" t="inlineStr">
        <is>
          <t>• در هیچ‌یک از ۶ کشور خوابگاه داخل شهریه نیست. ارزان‌ترین خوابگاه‌ها: آلمان (€230–450 با قبوض) و شهرهای کوچک سوئد/دانمارک؛ گران‌ترین: لندن (£900–1,800/ماه) و زوریخ (CHF 700–1,200 اتاق).</t>
        </is>
      </c>
    </row>
    <row r="53" ht="48" customHeight="1">
      <c r="A53" s="16" t="inlineStr">
        <is>
          <t>• تضمین واقعی برای دانشجوی ارشد بین‌المللی فقط در: Uppsala، LiU (یک پیشنهاد)، AAU Aalborg، و دانشگاه‌های انگلستان با مهلت (York ۳۱ ژوئیه، Essex، Brunel ۱۵ مارس، احتمالاً Teesside/Northumbria/Newcastle/Sheffield/Lancaster). آلمان، هلند، سوئیس و لندن: هیچ تضمینی.</t>
        </is>
      </c>
    </row>
    <row r="54" ht="48" customHeight="1">
      <c r="A54" s="16" t="inlineStr">
        <is>
          <t>• برای ایرانی‌ها: خوابگاه دانشگاه در انگلستان ضامن بریتانیایی نمی‌خواهد — اجارهٔ خصوصی می‌خواهد (یا ۶–۱۲ ماه پیش‌پرداخت). در هلند/سوئیس/آلمان ودیعهٔ ۲–۳ ماه + گاهی پیش‌پرداخت ۳ ماه را در «نقد روز صفر» حساب کنید. آدرس ثبت‌شده در آلمان (Anmeldung)، هلند (BSN) و سوئیس شرط گرفتن کارت اقامت/بانک است.</t>
        </is>
      </c>
    </row>
    <row r="55" ht="48" customHeight="1">
      <c r="A55" s="16" t="inlineStr">
        <is>
          <t>• اعداد «رسمی» از صفحهٔ دانشگاه (۲۰۲۶/۲۷) و اعداد با «≈» برآورد از منابع ثانویه‌اند؛ اجاره‌ها هر سال ۳–۸٪ بالا می‌رود.</t>
        </is>
      </c>
    </row>
    <row r="56" ht="48" customHeight="1">
      <c r="A56" s="16" t="inlineStr">
        <is>
          <t>• en-suite در برابر اتاق خصوصی (جدول سوم): در شمال انگلستان و York خوابگاه en-suite تقریباً هم‌قیمت یا حتی گران‌تر از اتاق در خانهٔ مشترک است؛ صرفه‌جویی واقعی از (۱) اتاق استاندارد با حمام مشترک (£1,000–3,700 در سال کمتر از en-suite) و (۲) نخواستن ضامن/پیش‌پرداخت و قبوض ثابت می‌آید. در لندن، حومهٔ لندن و در آلمان/سوئیس/هلند/سوئد/دانمارک خوابگاه واقعاً ارزان‌تر از بازار است.</t>
        </is>
      </c>
    </row>
  </sheetData>
  <mergeCells count="6">
    <mergeCell ref="A52:I52"/>
    <mergeCell ref="A51:I51"/>
    <mergeCell ref="A56:I56"/>
    <mergeCell ref="A53:I53"/>
    <mergeCell ref="A55:I55"/>
    <mergeCell ref="A54:I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انگلستان $38–65k (۱ سال)  &lt;  سوئد $54–65k  &lt;  دانمارک $63–76k  &lt;  هلند $75–90k. سوئیس گسترده‌ترین بازه را دارد: $35–84k — Neuchâtel/Fribourg (۱.۵ سال) $35–47k کنار انگلستان، Bern $39–51k، UZH $45–58k، HSLU $53–64k، USI/EPFL $60–75k، ETH $66–84k کنار هلند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سوئیس: تحصیل و Big Tech زوریخ انگلیسی، ولی اداری به زبان کانتون و PR/تابعیت با A2–B1 زبان محلی (۱۰ سال)؛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سوئیس (CHF 85–105k) ≫ دانمارک &gt; آلمان &gt; هلند ≈ سوئد &gt; انگلستان. دسترسی برای جونیورِ فقط‌انگلیسی: هلند &gt; آلمان ≈ سوئیس (فقط شرکت‌های بزرگ، ۶ ماه فرصت)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9">
      <c r="A9" s="4" t="inlineStr">
        <is>
          <t>تغییرات اصلی نسبت به جدول اول</t>
        </is>
      </c>
      <c r="B9" s="4" t="inlineStr">
        <is>
          <t>• ردیف ۵ب (بورس/تخفیف شهریهٔ واقعاً در دسترس شما) اضافه شد — ۲۸ سپتامبر ۲۰۲۶؛ امتیازها را عوض نمی‌کند
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7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7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7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7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7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7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7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7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7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7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7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7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7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7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7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17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17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7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7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7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7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7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7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7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7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7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7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7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7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7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7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7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7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7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7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7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7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7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7" t="inlineStr">
        <is>
          <t>https://studerende.ida.dk/snart-nyuddannet/loen/softwareingenioer-loen-saa-meget-kommer-du-til-at-tjene/</t>
        </is>
      </c>
    </row>
    <row r="41">
      <c r="A41" s="4" t="inlineStr">
        <is>
          <t>مسکن – DSW: میانگین اجارهٔ خوابگاه Studierendenwerk ≈ €306 با قبوض؛ ۱,۷۰۰ خوابگاه / ۱۹۶ هزار جا</t>
        </is>
      </c>
      <c r="B41" s="17" t="inlineStr">
        <is>
          <t>https://www.studierendenwerke.de/en/topics/accomodation/accommodation-and-studies</t>
        </is>
      </c>
    </row>
    <row r="42">
      <c r="A42" s="4" t="inlineStr">
        <is>
          <t>مسکن – Studierendenwerk Stuttgart: €229–399 با قبوض، لیست انتظار معمول ۶–۸ ماه (اطلاعیهٔ رسمی)</t>
        </is>
      </c>
      <c r="B42" s="17" t="inlineStr">
        <is>
          <t>https://www.studierendenwerk-stuttgart.de/ueber-uns/presse/pressemitteilungen/mitteilung/wohnraum-fuer-studierende-in-der-hochschulregion-stuttgart</t>
        </is>
      </c>
    </row>
    <row r="43">
      <c r="A43" s="4" t="inlineStr">
        <is>
          <t>مسکن – Radboud: کمک مسکن (فرم PAS تا ۱ ژوئن)، بدون تضمین، گاهی ۳ ماه پیش‌پرداخت</t>
        </is>
      </c>
      <c r="B43" s="17" t="inlineStr">
        <is>
          <t>https://www.ru.nl/en/students/international-students/housing/housing-options/apply-for-help-with-housing</t>
        </is>
      </c>
    </row>
    <row r="44">
      <c r="A44" s="4" t="inlineStr">
        <is>
          <t>مسکن – Radboud بروشور 2026–27: اتاق مبلهٔ €370–650؛ زندگی €1,100–1,200</t>
        </is>
      </c>
      <c r="B44" s="17" t="inlineStr">
        <is>
          <t>https://www.timeshighereducation.com/cms-academic/sites/default/files/institution_downloads/2025-08/OM_BAMA_intbrochure_2026-2027_interactieve_3.pdf</t>
        </is>
      </c>
    </row>
    <row r="45">
      <c r="A45" s="4" t="inlineStr">
        <is>
          <t>مسکن – Utrecht: استودیوهای رزروشدهٔ ارشد €868 با قبوض، ودیعه €1,306؛ ۲۸ می ۲۰۲۶ تمام شد</t>
        </is>
      </c>
      <c r="B45" s="17" t="inlineStr">
        <is>
          <t>https://www.uu.nl/en/education/welcome-to-utrecht/prepare-your-stay/arrange-housing/ways-to-find-housing/uu-reserved-accommodation-progamme/reserved-accommodation-for-masters-sep-26/reserved-housing-plaza</t>
        </is>
      </c>
    </row>
    <row r="46">
      <c r="A46" s="4" t="inlineStr">
        <is>
          <t>مسکن – Twente: اجاره €300–800؛ Roomspot؛ پیشنهاد برای دانشجویان ویزایی اول‌آمده‌اول‌گرفته</t>
        </is>
      </c>
      <c r="B46" s="17" t="inlineStr">
        <is>
          <t>https://issuu.com/utwente/docs/master_programmes_university_of_twente/s/16597294</t>
        </is>
      </c>
    </row>
    <row r="47">
      <c r="A47" s="4" t="inlineStr">
        <is>
          <t>مسکن – Uppsala: تضمین رسمی خوابگاه برای شهریه‌پردازها</t>
        </is>
      </c>
      <c r="B47" s="17" t="inlineStr">
        <is>
          <t>https://www.uu.se/en/study/masters-studies/living-in-sweden/housing</t>
        </is>
      </c>
    </row>
    <row r="48">
      <c r="A48" s="4" t="inlineStr">
        <is>
          <t>مسکن – Stockholm University: بدون تضمین؛ ≈ ۶۰۰ واحد برای بین‌المللی‌ها</t>
        </is>
      </c>
      <c r="B48" s="17" t="inlineStr">
        <is>
          <t>https://medarbetare.su.se/en/education/first-and-second-level/internationalisation-for-students/housing-for-international-students</t>
        </is>
      </c>
    </row>
    <row r="49">
      <c r="A49" s="4" t="inlineStr">
        <is>
          <t>مسکن – AAU Copenhagen: صریحاً بدون تضمین؛ KKIK/CIU DKK 3,500–6,000؛ خوابگاه 5,000–9,000</t>
        </is>
      </c>
      <c r="B49" s="17" t="inlineStr">
        <is>
          <t>https://www.en.aau.dk/living-in-denmark/accommodation/international-students-in-copenhagen</t>
        </is>
      </c>
    </row>
    <row r="50">
      <c r="A50" s="4" t="inlineStr">
        <is>
          <t>مسکن – AAU Aalborg: دفتر مسکن بین‌الملل، ۲۲۰+ واحد مبله، «تقریباً ۱۰۰٪ تضمین»، DKK 3,200–4,700 (ثانویه + بروشور AAU)</t>
        </is>
      </c>
      <c r="B50" s="17" t="inlineStr">
        <is>
          <t>https://www.findunirooms.com/denmark/aalborg-university/</t>
        </is>
      </c>
    </row>
    <row r="51">
      <c r="A51" s="4" t="inlineStr">
        <is>
          <t>مسکن – York: تضمین PG تا ۳۱ ژوئیه؛ اجارهٔ 2026/27 £186–224/هفته (۵۱ هفته)</t>
        </is>
      </c>
      <c r="B51" s="17" t="inlineStr">
        <is>
          <t>https://www.york.ac.uk/study/accommodation/postgraduate/</t>
        </is>
      </c>
    </row>
    <row r="52">
      <c r="A52" s="4" t="inlineStr">
        <is>
          <t>مسکن – Essex: تضمین خوابگاه PG برای کل دوره با اقدام تا مهلت</t>
        </is>
      </c>
      <c r="B52" s="17" t="inlineStr">
        <is>
          <t>https://www.essex.ac.uk/life/accommodation/apply/new-students/postgraduate</t>
        </is>
      </c>
    </row>
    <row r="53">
      <c r="A53" s="4" t="inlineStr">
        <is>
          <t>مسکن – Brunel: تضمین برای همهٔ دانشجویان جدید؛ مهلت ۱۵ مارس ۲۰۲۶؛ پیش‌پرداخت £350/£450</t>
        </is>
      </c>
      <c r="B53" s="17" t="inlineStr">
        <is>
          <t>https://www.brunel.ac.uk/life/accommodation/how-to-apply</t>
        </is>
      </c>
    </row>
    <row r="54">
      <c r="A54" s="4" t="inlineStr">
        <is>
          <t>مسکن – Newcastle: فهرست خوابگاه‌های PG 2026/27 (£117.60–239.75/هفته)</t>
        </is>
      </c>
      <c r="B54" s="17" t="inlineStr">
        <is>
          <t>https://www.ncl.ac.uk/accommodation/university/</t>
        </is>
      </c>
    </row>
    <row r="55">
      <c r="A55" s="4" t="inlineStr">
        <is>
          <t>مسکن – Northumbria: خوابگاه £94.19–158.31/هفته با قبوض؛ catered و self-catered؛ حداقل زندگی £1,015/ماه</t>
        </is>
      </c>
      <c r="B55" s="17" t="inlineStr">
        <is>
          <t>https://www.northumbria.ac.uk/study-at-northumbria/postgraduate-study/pg-info-new/postgraduate-study-living-costs/</t>
        </is>
      </c>
    </row>
    <row r="56">
      <c r="A56" s="4" t="inlineStr">
        <is>
          <t>مسکن – Durham: catered فقط برای کارشناسی (University College)؛ PG self-catered؛ راهنمای کالج PG</t>
        </is>
      </c>
      <c r="B56" s="17" t="inlineStr">
        <is>
          <t>https://www.durham.ac.uk/colleges-and-student-experience/colleges/university/accommodation/</t>
        </is>
      </c>
    </row>
    <row r="57">
      <c r="A57" s="4" t="inlineStr">
        <is>
          <t>مسکن – Durham قیمت 25/26: catered £10,233/سال، self-catered £7,146–7,801 (۳۹ هفته)، سهم غذا £3,087</t>
        </is>
      </c>
      <c r="B57" s="17" t="inlineStr">
        <is>
          <t>https://www.palatinate.org.uk/college-accommodation-prices-increase-by-5/</t>
        </is>
      </c>
    </row>
    <row r="58">
      <c r="A58" s="4" t="inlineStr">
        <is>
          <t>مسکن – Imperial: PG بدون تضمین؛ خوابگاه £210–410/هفته (۲۰۲۶)؛ طرح ضامن اجاره فقط UG/PhD؛ UCL طرح ضامن £50</t>
        </is>
      </c>
      <c r="B58" s="17" t="inlineStr">
        <is>
          <t>https://www.harveywjames.com/news-imperial-college-rent-guarantee-scheme-london</t>
        </is>
      </c>
    </row>
    <row r="59">
      <c r="A59" s="4" t="inlineStr">
        <is>
          <t>Russell Group – فهرست رسمی ۲۴ عضو (۲۰ در انگلستان)</t>
        </is>
      </c>
      <c r="B59" s="17" t="inlineStr">
        <is>
          <t>https://russellgroup.ac.uk/about/our-universities/</t>
        </is>
      </c>
    </row>
    <row r="60">
      <c r="A60" s="4" t="inlineStr">
        <is>
          <t>انگلستان – Warwick: جدول رسمی تطبیق مدرک ایرانی (1st ۱۷/۲۰، 2:1 ۱۵/۲۰، 2:2 ۱۳/۲۰)</t>
        </is>
      </c>
      <c r="B60" s="17" t="inlineStr">
        <is>
          <t>https://warwick.ac.uk/study/international/countryinformation/middleeast/iran/</t>
        </is>
      </c>
    </row>
    <row r="61">
      <c r="A61" s="4" t="inlineStr">
        <is>
          <t>انگلستان – Durham MSc Advanced Computer Science: £34,500 (2026)؛ جدول ایران (2:1 = ۱۴–۱۶/۲۰؛ Ecctis)</t>
        </is>
      </c>
      <c r="B61" s="17" t="inlineStr">
        <is>
          <t>https://www.durham.ac.uk/study/courses/advanced-computer-science-g5t609/</t>
        </is>
      </c>
    </row>
    <row r="62">
      <c r="A62" s="4" t="inlineStr">
        <is>
          <t>انگلستان – KCL: جدول رسمی ایران (First ۱۸، high 2:1 ۱۷، 2:1 ۱۵، high 2:2 ۱۳ از ۲۰)؛ Advanced Computing high 2:1، £40,450 (2026)</t>
        </is>
      </c>
      <c r="B62" s="17" t="inlineStr">
        <is>
          <t>https://www.kcl.ac.uk/study-legacy/postgraduate/apply/entry-requirements/international</t>
        </is>
      </c>
    </row>
    <row r="63">
      <c r="A63" s="4" t="inlineStr">
        <is>
          <t>انگلستان – Imperial MSc Computing (AI &amp; ML): First-class؛ £46,000 (2026/27)</t>
        </is>
      </c>
      <c r="B63" s="17" t="inlineStr">
        <is>
          <t>https://www.imperial.ac.uk/study/courses/postgraduate-taught/computing-artificial-intelligence-msc/</t>
        </is>
      </c>
    </row>
    <row r="64">
      <c r="A64" s="4" t="inlineStr">
        <is>
          <t>انگلستان – UCL MSc Computer Science (تبدیلی): £42,700 (2026/27)، 2:1 در رشتهٔ غیر CS</t>
        </is>
      </c>
      <c r="B64" s="17" t="inlineStr">
        <is>
          <t>https://www.ucl.ac.uk/prospective-students/graduate/taught-degrees/computer-science-msc-2026</t>
        </is>
      </c>
    </row>
    <row r="65">
      <c r="A65" s="4" t="inlineStr">
        <is>
          <t>انگلستان – Bristol MSc Data Science: £37,900 (سپتامبر ۲۰۲۷)، strong 2:1 (۶۵٪)</t>
        </is>
      </c>
      <c r="B65" s="17" t="inlineStr">
        <is>
          <t>https://www.bristol.ac.uk/study/postgraduate/taught/msc-data-science/</t>
        </is>
      </c>
    </row>
    <row r="66">
      <c r="A66" s="4" t="inlineStr">
        <is>
          <t>انگلستان – Bristol صفحهٔ ایران: کارشناسی ۴ ساله با حداقل ۱۵/۲۰ از دانشگاه مورد تأیید</t>
        </is>
      </c>
      <c r="B66" s="17" t="inlineStr">
        <is>
          <t>https://www.bristol.ac.uk/international/countries/iran.html</t>
        </is>
      </c>
    </row>
    <row r="67">
      <c r="A67" s="4" t="inlineStr">
        <is>
          <t>انگلستان – High Fliers «The Graduate Market in 2026»: دانشگاه‌های هدف کارفرمایان (Manchester، Birmingham، Nottingham، Warwick، UCL)؛ استخدام فارغ‌التحصیل در پایین‌ترین سطح از ۲۰۱۲</t>
        </is>
      </c>
      <c r="B67" s="17" t="inlineStr">
        <is>
          <t>https://www.manchester.ac.uk/about/news/university-of-manchester-tops-uk-rankings-for-graduate-employer-interest/</t>
        </is>
      </c>
    </row>
    <row r="68">
      <c r="A68" s="4" t="inlineStr">
        <is>
          <t>انگلستان – LEO (DfE) درآمد ۵ سال بعد: Imperial Computing £79,600؛ Bristol Computing £70,300؛ میانهٔ کل بخش ≈ £31–34k (ثانویه: unilens/campusquant)</t>
        </is>
      </c>
      <c r="B68" s="17" t="inlineStr">
        <is>
          <t>https://unilens.co.uk/insights/highest-graduate-earnings-uk-universities-2026</t>
        </is>
      </c>
    </row>
    <row r="69">
      <c r="A69" s="4" t="inlineStr">
        <is>
          <t>انگلستان – Appendix ATAS: ارشد آموزشی CS/AI نیاز به ATAS ندارد (فقط پژوهشی/PhD در CS و ارشد آموزشی فیزیک/مواد/مکانیک/هوافضا/شیمی)</t>
        </is>
      </c>
      <c r="B69" s="17" t="inlineStr">
        <is>
          <t>https://www.gov.uk/guidance/immigration-rules/immigration-rules-appendix-atas-academic-technology-approval-scheme-atas</t>
        </is>
      </c>
    </row>
    <row r="70">
      <c r="A70" s="4" t="inlineStr">
        <is>
          <t>بورس – LiU International Scholarship: معمولاً ۵۰٪؛ شرط جدید ۲۰۲۶ (GPA ≥ 3.5/4 یا first/high second class)؛ فقط اولویت ۱</t>
        </is>
      </c>
      <c r="B70" s="17" t="inlineStr">
        <is>
          <t>https://liu.se/en/article/scholarships</t>
        </is>
      </c>
    </row>
    <row r="71">
      <c r="A71" s="4" t="inlineStr">
        <is>
          <t>بورس – Chalmers: بورس‌های شهریه‌پردازها (IPOET ۷۵٪ با حداقل معدل ۸۰٪، Avancez)</t>
        </is>
      </c>
      <c r="B71" s="17" t="inlineStr">
        <is>
          <t>https://www.chalmers.se/en/education/application-and-admission/scholarships-for-fee-paying-students/</t>
        </is>
      </c>
    </row>
    <row r="72">
      <c r="A72" s="4" t="inlineStr">
        <is>
          <t>بورس – Halmstad University Scholarship ۲۵٪/۵۰٪ برای غیر-EU (ثانویه؛ hh.se را چک کنید)</t>
        </is>
      </c>
      <c r="B72" s="17" t="inlineStr">
        <is>
          <t>https://www.mastersportal.com/scholarships/10077/halmstad-university-scholarships.html</t>
        </is>
      </c>
    </row>
    <row r="73">
      <c r="A73" s="4" t="inlineStr">
        <is>
          <t>بورس – MDU: بورس تا ۱۰۰٪ شهریه برای متقاضیان اولویت ۱ (ثانویه؛ mdu.se را چک کنید)</t>
        </is>
      </c>
      <c r="B73" s="17" t="inlineStr">
        <is>
          <t>https://daadscholarship.com/malardalen-university-scholarships-2026-to-study-for-free-in-sweden/</t>
        </is>
      </c>
    </row>
    <row r="74">
      <c r="A74" s="4" t="inlineStr">
        <is>
          <t>بورس – SI Scholarship for Global Professionals: ۳۴ کشور واجد شرایط — ایران نیست (رسمی)</t>
        </is>
      </c>
      <c r="B74" s="17" t="inlineStr">
        <is>
          <t>https://si.se/en/apply/scholarships/swedish-institute-scholarships-for-global-professionals/</t>
        </is>
      </c>
    </row>
    <row r="75">
      <c r="A75" s="4" t="inlineStr">
        <is>
          <t>بورس – NL Scholarship (سابقاً Holland Scholarship): €5,000 سال اول برای غیر-EEA، از طریق دانشگاه‌های عضو</t>
        </is>
      </c>
      <c r="B75" s="17" t="inlineStr">
        <is>
          <t>https://www.mastersportal.com/scholarships/988/holland-scholarship-for-non-eea-international-students.html</t>
        </is>
      </c>
    </row>
    <row r="76">
      <c r="A76" s="4" t="inlineStr">
        <is>
          <t>بورس – AAU: ≈ ۱۵ بورس دولتی در سال، معافیت شهریه + DKK 11,225/ماه (۲۰۲۶)، بررسی خودکار (رسمی)</t>
        </is>
      </c>
      <c r="B76" s="17" t="inlineStr">
        <is>
          <t>https://www.en.aau.dk/education/apply/master/finance-and-fees</t>
        </is>
      </c>
    </row>
    <row r="77">
      <c r="A77" s="4" t="inlineStr">
        <is>
          <t>بورس – ETH Excellence Scholarship &amp; Opportunity Programme: CHF 12,000/ترم + معافیت؛ ۱۰٪ بالای کلاس؛ ۱–۳۰ نوامبر</t>
        </is>
      </c>
      <c r="B77" s="17" t="inlineStr">
        <is>
          <t>https://ethz.ch/en/studies/financial/scholarships/excellencescholarship.html</t>
        </is>
      </c>
    </row>
    <row r="78">
      <c r="A78" s="4" t="inlineStr">
        <is>
          <t>بورس – USI: بورس‌های Fondazione per le Facoltà di Lugano (CHF 4,000؛ سال اول با معدل ≥ ۸۰/۱۰۰؛ سال دوم بهترینِ هر برنامه) — خبر رسمی USI</t>
        </is>
      </c>
      <c r="B78" s="17" t="inlineStr">
        <is>
          <t>https://www.eco.usi.ch/en/feeds/9861</t>
        </is>
      </c>
    </row>
    <row r="79">
      <c r="A79" s="4" t="inlineStr">
        <is>
          <t>بورس – Essex Academic Excellence International Masters Scholarship: جدول کشوری (ایران ۱۴/۲۰ → £4,500؛ جدول ۲۰۲۵–۲۶)</t>
        </is>
      </c>
      <c r="B79" s="17" t="inlineStr">
        <is>
          <t>https://www.essex.ac.uk/scholarships</t>
        </is>
      </c>
    </row>
    <row r="80">
      <c r="A80" s="4" t="inlineStr">
        <is>
          <t>بورس – Teesside Global Excellence Scholarship £2,000 (پیشنهاد تا ۳۰ آوریل؛ رسمی)</t>
        </is>
      </c>
      <c r="B80" s="17" t="inlineStr">
        <is>
          <t>https://www.tees.ac.uk/sections/international/global_excellence_scholarship.cfm</t>
        </is>
      </c>
    </row>
    <row r="81">
      <c r="A81" s="4" t="inlineStr">
        <is>
          <t>بورس – Brunel Vice-Chancellor's Postgraduate International Excellence Award £6,000 (حداقل 2:1؛ ودیعهٔ £5,000)</t>
        </is>
      </c>
      <c r="B81" s="17" t="inlineStr">
        <is>
          <t>https://www.brunel.ac.uk/scholarships</t>
        </is>
      </c>
    </row>
    <row r="82">
      <c r="A82" s="4" t="inlineStr">
        <is>
          <t>بورس – Northumbria PGT International Scholarship £3,000: فهرست کشوری/ادامه‌تحصیلی‌های داخل UK — ایران نیست</t>
        </is>
      </c>
      <c r="B82" s="17" t="inlineStr">
        <is>
          <t>https://www.mastersportal.com/scholarships/3890/pgt-international-scholarships.html</t>
        </is>
      </c>
    </row>
    <row r="83">
      <c r="A83" s="4" t="inlineStr">
        <is>
          <t>بورس – Chevening eligibility (رسمی): ۲ سال کار بعد از مدرک کارشناسی + تعهد بازگشت ۲ ساله؛ مهلت ۶ اکتبر ۲۰۲۶</t>
        </is>
      </c>
      <c r="B83" s="17" t="inlineStr">
        <is>
          <t>https://www.chevening.org/resource-hub/guidance/eligibility/</t>
        </is>
      </c>
    </row>
    <row r="84">
      <c r="A84" s="4" t="inlineStr">
        <is>
          <t>بورس – Deutschlandstipendium €300/ماه (رسمی)</t>
        </is>
      </c>
      <c r="B84" s="17" t="inlineStr">
        <is>
          <t>https://www.deutschlandstipendium.de/</t>
        </is>
      </c>
    </row>
    <row r="85">
      <c r="A85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85" s="17" t="inlineStr">
        <is>
          <t>https://ethz.ch/en/studies/master/application/dates.html</t>
        </is>
      </c>
    </row>
    <row r="86">
      <c r="A86" s="4" t="inlineStr">
        <is>
          <t>سوئیس – EPFL: شهریه CHF 2,240/ترم برای خارجی‌های غیرمقیم از پاییز ۲۰۲۵ (CHF 780 برای بقیه)</t>
        </is>
      </c>
      <c r="B86" s="17" t="inlineStr">
        <is>
          <t>https://www.epfl.ch/education/studies/en/rules-and-procedures/study-taxes/tuition-fee-other-fees/</t>
        </is>
      </c>
    </row>
    <row r="87">
      <c r="A87" s="4" t="inlineStr">
        <is>
          <t>سوئیس – EPFL: پنجره‌های اپلای ارشد (۱۵ دسامبر / ۳۱ مارس؛ یک برنامه در سال)</t>
        </is>
      </c>
      <c r="B87" s="17" t="inlineStr">
        <is>
          <t>https://www.epfl.ch/education/admission/admission-2/master-admission-criteria-application/online-application/</t>
        </is>
      </c>
    </row>
    <row r="88">
      <c r="A88" s="4" t="inlineStr">
        <is>
          <t>سوئیس – UZH: شهریه CHF 720 + 100 (خارجی، ارشد) + 59؛ هزینهٔ درخواست CHF 150</t>
        </is>
      </c>
      <c r="B88" s="17" t="inlineStr">
        <is>
          <t>https://www.uzh.ch/en/studies/application/fees.html</t>
        </is>
      </c>
    </row>
    <row r="89">
      <c r="A89" s="4" t="inlineStr">
        <is>
          <t>سوئیس – UZH: مهلت ویزایی‌ها ۲۸ فوریه / بدون ویزا ۳۰ آوریل (پاییز)</t>
        </is>
      </c>
      <c r="B89" s="17" t="inlineStr">
        <is>
          <t>https://www.oec.uzh.ch/en/studies/general/admission/master/faq-master-admission.html</t>
        </is>
      </c>
    </row>
    <row r="90">
      <c r="A90" s="4" t="inlineStr">
        <is>
          <t>سوئیس – USI MSc Informatics: CHF 4,000/ترم غیرمقیم، B2 در ورود → C1، مهلت غیر-EU ۳۰ آوریل</t>
        </is>
      </c>
      <c r="B90" s="17" t="inlineStr">
        <is>
          <t>https://www.usi.ch/en/education/master/informatics</t>
        </is>
      </c>
    </row>
    <row r="91">
      <c r="A91" s="4" t="inlineStr">
        <is>
          <t>سوئیس – USI MSc Artificial Intelligence: CHF 4,000/ترم، IELTS 6.5</t>
        </is>
      </c>
      <c r="B91" s="17" t="inlineStr">
        <is>
          <t>https://www.topuniversities.com/universities/usi-universita-della-svizzera-italiana/postgrad/master-science-artificial-intelligence</t>
        </is>
      </c>
    </row>
    <row r="92">
      <c r="A92" s="4" t="inlineStr">
        <is>
          <t>سوئیس – swissuniversities: شهریهٔ دانشگاه‌های علوم کاربردی 2026–27 (ZHAW 1,220؛ HSLU 1,300؛ OST 1,500؛ FHNW 1,000–5,000)</t>
        </is>
      </c>
      <c r="B92" s="17" t="inlineStr">
        <is>
          <t>https://www.swissuniversities.ch/en/themen/lehre-studium/information-on-studies/tuition-fees/tuition-fees-at-uas</t>
        </is>
      </c>
    </row>
    <row r="93">
      <c r="A93" s="4" t="inlineStr">
        <is>
          <t>سوئیس – ZHAW MSE: انگلیسی، 90 ECTS، پروفایل‌های CS/Data Science/Cyber، معدل A/B، مهلت پایان آوریل</t>
        </is>
      </c>
      <c r="B93" s="17" t="inlineStr">
        <is>
          <t>https://www.zhaw.ch/en/engineering/study/masters-degree-programme</t>
        </is>
      </c>
    </row>
    <row r="94">
      <c r="A94" s="4" t="inlineStr">
        <is>
          <t>سوئیس – HSLU MSc Applied Information &amp; Data Science: C1 (B2 مشروط)، آلمانی لازم نیست، هر کارشناسی</t>
        </is>
      </c>
      <c r="B94" s="17" t="inlineStr">
        <is>
          <t>https://www.hslu.ch/en/lucerne-school-of-business/degree-programmes/master/applied-information-and-data-science/haeufig-gestellte-fragen/</t>
        </is>
      </c>
    </row>
    <row r="95">
      <c r="A95" s="4" t="inlineStr">
        <is>
          <t>سوئیس – Bern: Swiss Joint MSc Computer Science (90 ECTS، انگلیسی، شرط کارشناسی CS)</t>
        </is>
      </c>
      <c r="B95" s="17" t="inlineStr">
        <is>
          <t>https://www.philnat.unibe.ch/studies/study_programs/master_s_in_computer_science/index_eng.html</t>
        </is>
      </c>
    </row>
    <row r="96">
      <c r="A96" s="4" t="inlineStr">
        <is>
          <t>سوئیس – Bern شهریه از پاییز ۲۰۲۶: CHF 850 + 1,700 اضافهٔ غیرسوئیسی‌ها + 34 + 25 در ترم (رسمی)</t>
        </is>
      </c>
      <c r="B96" s="17" t="inlineStr">
        <is>
          <t>https://www.unibe.ch/studies/organizational_matters/renewal_of_semester_registration/fees/index_eng.html</t>
        </is>
      </c>
    </row>
    <row r="97">
      <c r="A97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97" s="17" t="inlineStr">
        <is>
          <t>https://mcs.unibnf.ch/faq/</t>
        </is>
      </c>
    </row>
    <row r="98">
      <c r="A98" s="4" t="inlineStr">
        <is>
          <t>سوئیس – Neuchâtel شهریهٔ خارجی‌ها CHF 790/ترم (رسمی)</t>
        </is>
      </c>
      <c r="B98" s="17" t="inlineStr">
        <is>
          <t>https://www.unine.ch/admission/taxes-universitaires/</t>
        </is>
      </c>
    </row>
    <row r="99">
      <c r="A99" s="4" t="inlineStr">
        <is>
          <t>سوئیس – Neuchâtel مهلت ارشد ۳۰ آوریل؛ خارجی‌ها یک ماه زودتر؛ هزینهٔ پرونده CHF 100 (رسمی)</t>
        </is>
      </c>
      <c r="B99" s="17" t="inlineStr">
        <is>
          <t>https://www.unine.ch/admission/admission-master/delais-et-frais-dinscription-pour-les-masters/</t>
        </is>
      </c>
    </row>
    <row r="100">
      <c r="A100" s="4" t="inlineStr">
        <is>
          <t>سوئیس – Fribourg شهریهٔ خارجی‌ها CHF 870 + 115 = 985/ترم (رسمی)</t>
        </is>
      </c>
      <c r="B100" s="17" t="inlineStr">
        <is>
          <t>https://www.unifr.ch/studies/en/organisation/administrative-services-unifr-students/university-fees/</t>
        </is>
      </c>
    </row>
    <row r="101">
      <c r="A101" s="4" t="inlineStr">
        <is>
          <t>سوئیس – Fribourg مهلت ارشد با مدرک خارجی: ویزایی‌ها ۱–۲۸ فوریه، بقیه تا ۳۰ آوریل (رسمی)</t>
        </is>
      </c>
      <c r="B101" s="17" t="inlineStr">
        <is>
          <t>https://www.unifr.ch/studies/en/admission/admission-master/admission-master-foreign.html</t>
        </is>
      </c>
    </row>
    <row r="102">
      <c r="A102" s="4" t="inlineStr">
        <is>
          <t>سوئیس – Basel MSc CS: 90 ECTS، انگلیسی، مهلت ۳۰ آوریل / ۳۰ نوامبر (رسمی)</t>
        </is>
      </c>
      <c r="B102" s="17" t="inlineStr">
        <is>
          <t>https://dmi.unibas.ch/en/studies/computer-science/masters/</t>
        </is>
      </c>
    </row>
    <row r="103">
      <c r="A103" s="4" t="inlineStr">
        <is>
          <t>سوئیس – Basel شهریه CHF 850/ترم برای همه + CHF 100 هزینهٔ درخواست (Uni Info 2026/27)</t>
        </is>
      </c>
      <c r="B103" s="17" t="inlineStr">
        <is>
          <t>https://www.unibas.ch/dam/jcr:28672e66-8562-4988-9e38-b1c944ed22bf/COMPUTER%20SCIENCE%202026.2026-02-05-09-53-32.pdf</t>
        </is>
      </c>
    </row>
    <row r="104">
      <c r="A104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104" s="17" t="inlineStr">
        <is>
          <t>https://www.hslu.ch/en/lucerne-school-of-business/degree-programmes/master/applied-data-science-and-ai/</t>
        </is>
      </c>
    </row>
    <row r="105">
      <c r="A105" s="4" t="inlineStr">
        <is>
          <t>سوئیس – USI مهلت‌های 2026/27: غیر-EU ۳۰ آوریل؛ هزینهٔ پرونده CHF 100 برای مدارک خارج از کنوانسیون لیسبون (رسمی)</t>
        </is>
      </c>
      <c r="B105" s="17" t="inlineStr">
        <is>
          <t>https://www.usi.ch/en/education/master/informatics/application</t>
        </is>
      </c>
    </row>
    <row r="106">
      <c r="A106" s="4" t="inlineStr">
        <is>
          <t>سوئیس – SEM FAQ: ۶ ماه جست‌وجوی کار برای فارغ‌التحصیلان؛ اولویت داخلی/EU؛ سهمیه</t>
        </is>
      </c>
      <c r="B106" s="17" t="inlineStr">
        <is>
          <t>https://www.sem.admin.ch/sem/en/home/themen/arbeit/faq.html</t>
        </is>
      </c>
    </row>
    <row r="107">
      <c r="A107" s="4" t="inlineStr">
        <is>
          <t>سوئیس – سهمیهٔ ۲۰۲۶ اتباع غیر-EU: ۴,۵۰۰ B + ۴,۰۰۰ L؛ شرایط FNIA</t>
        </is>
      </c>
      <c r="B107" s="17" t="inlineStr">
        <is>
          <t>https://goldblum.ch/knowledgebase/residence-permit-in-switzerland-obtain/</t>
        </is>
      </c>
    </row>
    <row r="108">
      <c r="A108" s="4" t="inlineStr">
        <is>
          <t>سوئیس – Art. 21(3) FNIA: معافیت از آزمون بازار کار ولی نه از سهمیه؛ طرح 22.067 اجرا نشده</t>
        </is>
      </c>
      <c r="B108" s="17" t="inlineStr">
        <is>
          <t>https://vshcherbakov.com/2025/06/26/Path-to-working-permit-for-Swiss-graduates/</t>
        </is>
      </c>
    </row>
    <row r="109">
      <c r="A109" s="4" t="inlineStr">
        <is>
          <t>سوئیس – اقامت تحصیلی ۲۰۲۶: CHF 21,000/سال، ۱۵ ساعت کار بعد از ۶ ماه، پردازش ۸–۱۲ هفته</t>
        </is>
      </c>
      <c r="B109" s="17" t="inlineStr">
        <is>
          <t>https://www.study-abroad.org/blog/ch-student-visa-guide/</t>
        </is>
      </c>
    </row>
    <row r="110">
      <c r="A110" s="4" t="inlineStr">
        <is>
          <t>سوئیس – کانتون زوریخ: تمکن فقط در بانک مستقر در سوئیس به نام خودتان یا ضامن مقیم (راهنمای ZHAW)</t>
        </is>
      </c>
      <c r="B110" s="17" t="inlineStr">
        <is>
          <t>https://www.zhaw.ch/storage/sml/master/msc-bf-pie-information-for-international-students.pdf</t>
        </is>
      </c>
    </row>
    <row r="111">
      <c r="A111" s="4" t="inlineStr">
        <is>
          <t>سوئیس – تفاوت کانتون‌ها: Basel CHF 24,000؛ زوریخ حساب سوئیسی</t>
        </is>
      </c>
      <c r="B111" s="17" t="inlineStr">
        <is>
          <t>https://gradpilot.com/news/switzerland-student-visa-motivation-letter-canton-guide</t>
        </is>
      </c>
    </row>
    <row r="112">
      <c r="A112" s="4" t="inlineStr">
        <is>
          <t>سوئیس – اجازهٔ C: ۱۰ سال برای اتباع کشور ثالث، A2 شفاهی/A1 کتبی؛ ۵ سال با B1</t>
        </is>
      </c>
      <c r="B112" s="17" t="inlineStr">
        <is>
          <t>https://relofinder.ch/blog/swiss-c-permit-permanent-residence-2026-guide/</t>
        </is>
      </c>
    </row>
    <row r="113">
      <c r="A113" s="4" t="inlineStr">
        <is>
          <t>سوئیس – اجازهٔ C: احتساب سال‌های تحصیل و شرایط ادغام</t>
        </is>
      </c>
      <c r="B113" s="17" t="inlineStr">
        <is>
          <t>https://www.richmondchambers.ch/post/swiss-c-permit-eligibility-required-years-of-residence-integration-expectations-and-fast-track-pa</t>
        </is>
      </c>
    </row>
    <row r="114">
      <c r="A114" s="4" t="inlineStr">
        <is>
          <t>سوئیس – سفارت تهران: ویزای D با وقت قبلی، ویزای C فعلاً نه (۳۰ ژانویه ۲۰۲۶)</t>
        </is>
      </c>
      <c r="B114" s="17" t="inlineStr">
        <is>
          <t>https://www.eda.admin.ch/countries/iran/en/home.html</t>
        </is>
      </c>
    </row>
    <row r="115">
      <c r="A115" s="4" t="inlineStr">
        <is>
          <t>سوئیس – حقوق مهندس نرم‌افزار ۲۰۲۶ (جونیور CHF 85–105k؛ خالص زوریخ)</t>
        </is>
      </c>
      <c r="B115" s="17" t="inlineStr">
        <is>
          <t>https://whatisthesalary.com/it-salaries/software-engineer-salary-in-switzerland/</t>
        </is>
      </c>
    </row>
    <row r="116">
      <c r="A116" s="4" t="inlineStr">
        <is>
          <t>سوئیس – Glassdoor: میانهٔ Junior Software Engineer زوریخ CHF 92k</t>
        </is>
      </c>
      <c r="B116" s="17" t="inlineStr">
        <is>
          <t>https://www.glassdoor.com/Salaries/z%C3%BCrich-junior-software-engineer-salary-SRCH_IL.0,6_IC3297851_KO7,31.htm</t>
        </is>
      </c>
    </row>
    <row r="117">
      <c r="A117" s="4" t="inlineStr">
        <is>
          <t>سوئیس – بازهٔ حقوق زوریخ ۲۰۲۶ بر اساس نوع کارفرما</t>
        </is>
      </c>
      <c r="B117" s="17" t="inlineStr">
        <is>
          <t>https://upreer.ch/en/salaries/software-engineer-salary-zurich/</t>
        </is>
      </c>
    </row>
    <row r="118">
      <c r="A118" s="4" t="inlineStr">
        <is>
          <t>سوئیس – هزینهٔ زندگی زوریخ CHF 2,000–2,200/ماه (UZH)</t>
        </is>
      </c>
      <c r="B118" s="17" t="inlineStr">
        <is>
          <t>https://www.msfinance.uzh.ch/en/studyinginzurich/accommodation.html</t>
        </is>
      </c>
    </row>
    <row r="119">
      <c r="A119" s="4" t="inlineStr">
        <is>
          <t>سوئیس – QS 2027: ETH 8، EPFL 22، UZH 98، Basel 150، Bern 191، USI 456، Fribourg 670، ZHAW 851–900</t>
        </is>
      </c>
      <c r="B119" s="17" t="inlineStr">
        <is>
          <t>https://www.iamexpat.ch/education/education-news/eth-zurich-makes-top-universities-world</t>
        </is>
      </c>
    </row>
    <row r="120">
      <c r="A120" s="4" t="inlineStr">
        <is>
          <t>سوئیس – رد ابتکار «سوئیس ۱۰ میلیونی» SVP در ۱۴ ژوئن ۲۰۲۶ (۵۴.۸٪ نه)</t>
        </is>
      </c>
      <c r="B120" s="17" t="inlineStr">
        <is>
          <t>https://www.tagesanzeiger.ch/10-millionen-schweiz-resultate-der-svp-initiative-im-ticker-935664202454</t>
        </is>
      </c>
    </row>
    <row r="121">
      <c r="A121" s="4" t="inlineStr">
        <is>
          <t>سوئیس – EP27: کاهش ۷۸ میلیون فرانک بودجهٔ ETH؛ سناریوی چهاربرابر شدن شهریهٔ خارجی‌ها</t>
        </is>
      </c>
      <c r="B121" s="17" t="inlineStr">
        <is>
          <t>https://www.efd.admin.ch/de/entlastungspaket-27</t>
        </is>
      </c>
    </row>
    <row r="122">
      <c r="A122" s="4" t="inlineStr">
        <is>
          <t>سوئیس – بازار IT ۲۰۲۶: استخدام گزینشی‌تر، بیکاری ≈ ۳.۲٪، کمبود ساختاری ICT</t>
        </is>
      </c>
      <c r="B122" s="17" t="inlineStr">
        <is>
          <t>https://capiwell.ch/swiss-it-labour-market-2026-specialised-skills-slower-growth-and-new-openings-for-start-ups/</t>
        </is>
      </c>
    </row>
    <row r="123">
      <c r="A123" s="4" t="inlineStr">
        <is>
          <t>نرخ CHF/USD ۲۷ سپتامبر ۲۰۲۶ (1.207)</t>
        </is>
      </c>
      <c r="B123" s="17" t="inlineStr">
        <is>
          <t>https://www.xe.com/en-us/currencyconverter/convert/?Amount=1&amp;From=CHF&amp;To=USD</t>
        </is>
      </c>
    </row>
    <row r="124">
      <c r="A124" s="4" t="inlineStr">
        <is>
          <t>بریتانیا – Graduate visa ۱۸ ماه (از ژانویه ۲۰۲۷)</t>
        </is>
      </c>
      <c r="B124" s="17" t="inlineStr">
        <is>
          <t>https://students.leeds.ac.uk/visa-information-after-studies/doc/graduate-visas</t>
        </is>
      </c>
    </row>
    <row r="125">
      <c r="A125" s="4" t="inlineStr">
        <is>
          <t>بریتانیا – HC 584 (۳ سپتامبر ۲۰۲۶): تمکن £1,570 / £1,203 از ۳۰ نوامبر ۲۰۲۶</t>
        </is>
      </c>
      <c r="B125" s="17" t="inlineStr">
        <is>
          <t>https://www.gov.uk/government/publications/statement-of-changes-to-the-immigration-rules-hc-584-3-september-2026</t>
        </is>
      </c>
    </row>
    <row r="126">
      <c r="A126" s="4" t="inlineStr">
        <is>
          <t>بریتانیا – Skilled Worker نرخ شغل SOC 2134 £54,700</t>
        </is>
      </c>
      <c r="B126" s="17" t="inlineStr">
        <is>
          <t>https://withrowan.co.uk/guides/skilled-worker-software-engineers</t>
        </is>
      </c>
    </row>
    <row r="127">
      <c r="A127" s="4" t="inlineStr">
        <is>
          <t>بریتانیا – Earned Settlement (وضعیت سپتامبر ۲۰۲۶)</t>
        </is>
      </c>
      <c r="B127" s="17" t="inlineStr">
        <is>
          <t>https://www.ukimmigration.law/earned-settlement-ilr-uk-plans/</t>
        </is>
      </c>
    </row>
    <row r="128">
      <c r="A128" s="4" t="inlineStr">
        <is>
          <t>انگلستان – Teesside MSc Computer Science 2026-27: £17,000، 2:2، IELTS 6.0</t>
        </is>
      </c>
      <c r="B128" s="17" t="inlineStr">
        <is>
          <t>https://www.tees.ac.uk/postgraduate_courses/computing_&amp;_cyber_security/msc_computer_science.cfm</t>
        </is>
      </c>
    </row>
    <row r="129">
      <c r="A129" s="4" t="inlineStr">
        <is>
          <t>انگلستان – Northumbria MSc Advanced Computer Science 2026/27: £21,500، 2:2</t>
        </is>
      </c>
      <c r="B129" s="17" t="inlineStr">
        <is>
          <t>https://www.northumbria.ac.uk/study-at-northumbria/courses/msc-advanced-computer-science-dtfava6/</t>
        </is>
      </c>
    </row>
    <row r="130">
      <c r="A130" s="4" t="inlineStr">
        <is>
          <t>انگلستان – Leicester MSc Advanced Computer Science سپتامبر ۲۰۲۶: £24,250، 2:1</t>
        </is>
      </c>
      <c r="B130" s="17" t="inlineStr">
        <is>
          <t>https://le.ac.uk/courses/advanced-computer-science-msc/2026</t>
        </is>
      </c>
    </row>
    <row r="131">
      <c r="A131" s="4" t="inlineStr">
        <is>
          <t>انگلستان – Essex MSc Advanced Computer Science 2026: £24,675، 2:2 (شامل Computer Engineering)</t>
        </is>
      </c>
      <c r="B131" s="17" t="inlineStr">
        <is>
          <t>https://www.essex.ac.uk/courses/pg00435/1/msc-advanced-computer-science</t>
        </is>
      </c>
    </row>
    <row r="132">
      <c r="A132" s="4" t="inlineStr">
        <is>
          <t>انگلستان – York MSc Advanced Computer Science 2026/27: £32,900، 2:2، IELTS 6.5</t>
        </is>
      </c>
      <c r="B132" s="17" t="inlineStr">
        <is>
          <t>https://www.york.ac.uk/study/postgraduate-taught/courses/msc-advanced-computer-science/</t>
        </is>
      </c>
    </row>
    <row r="133">
      <c r="A133" s="4" t="inlineStr">
        <is>
          <t>انگلستان – Chester MSc Advanced Computer Science 2026/27: £15,500 (کف قیمت انگلستان)</t>
        </is>
      </c>
      <c r="B133" s="17" t="inlineStr">
        <is>
          <t>https://www.chester.ac.uk/study/course-search/advanced-computer-science-msc/</t>
        </is>
      </c>
    </row>
    <row r="134">
      <c r="A134" s="4" t="inlineStr">
        <is>
          <t>بریتانیا – Brunel MSc AI 2026/27 £24,795</t>
        </is>
      </c>
      <c r="B134" s="17" t="inlineStr">
        <is>
          <t>https://www.brunel.ac.uk/study/courses/artificial-intelligence-msc</t>
        </is>
      </c>
    </row>
    <row r="135">
      <c r="A135" s="4" t="inlineStr">
        <is>
          <t>بریتانیا – عوارض £925 به ازای هر دانشجوی بین‌المللی (انگلستان، از 2028-29)</t>
        </is>
      </c>
      <c r="B135" s="17" t="inlineStr">
        <is>
          <t>https://www.researchprofessionalnews.com/rr-news-uk-politics-2025-11-international-levy-to-be-flat-fee-of-925-per-student/</t>
        </is>
      </c>
    </row>
    <row r="136">
      <c r="A136" s="4" t="inlineStr">
        <is>
          <t>بریتانیا – وضعیت VAC تهران</t>
        </is>
      </c>
      <c r="B136" s="17" t="inlineStr">
        <is>
          <t>https://livingintehran.com/2026/02/03/tehran-diplomatic-update-recent-embassy-reopenings-current-status-feb-2026/</t>
        </is>
      </c>
    </row>
    <row r="137">
      <c r="A137" s="4" t="inlineStr">
        <is>
          <t>QS WUR 2027 – TU Dresden</t>
        </is>
      </c>
      <c r="B137" s="17" t="inlineStr">
        <is>
          <t>https://tu-dresden.de/tu-dresden/newsportal/news/qs-ranking-2027-tud-gehoert-erneut-zu-den-zehn-besten-universitaeten-deutschlands-und-baut-internationalen-erfolg-weiter-aus</t>
        </is>
      </c>
    </row>
    <row r="138">
      <c r="A138" s="4" t="inlineStr">
        <is>
          <t>QS WUR 2027 – Stuttgart</t>
        </is>
      </c>
      <c r="B138" s="17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139">
      <c r="A139" s="4" t="inlineStr">
        <is>
          <t>QS WUR 2027 – Newcastle 149</t>
        </is>
      </c>
      <c r="B139" s="17" t="inlineStr">
        <is>
          <t>https://www.ncl.ac.uk/press/articles/latest/2026/06/qs2027/</t>
        </is>
      </c>
    </row>
    <row r="140">
      <c r="A140" s="4" t="inlineStr">
        <is>
          <t>QS WUR 2027 – York =158</t>
        </is>
      </c>
      <c r="B140" s="17" t="inlineStr">
        <is>
          <t>https://www.york.ac.uk/about/rankings/</t>
        </is>
      </c>
    </row>
    <row r="141">
      <c r="A141" s="4" t="inlineStr">
        <is>
          <t>QS WUR 2027 – Leicester =314</t>
        </is>
      </c>
      <c r="B141" s="17" t="inlineStr">
        <is>
          <t>https://www.topuniversities.com/universities/university-leicester</t>
        </is>
      </c>
    </row>
    <row r="142">
      <c r="A142" s="4" t="inlineStr">
        <is>
          <t>QS WUR 2027 – Essex =438</t>
        </is>
      </c>
      <c r="B142" s="17" t="inlineStr">
        <is>
          <t>https://www.topuniversities.com/universities/essex-university</t>
        </is>
      </c>
    </row>
    <row r="143">
      <c r="A143" s="4" t="inlineStr">
        <is>
          <t>QS WUR 2027 – Northumbria =528</t>
        </is>
      </c>
      <c r="B143" s="17" t="inlineStr">
        <is>
          <t>https://www.topuniversities.com/universities/northumbria-university-newcastle</t>
        </is>
      </c>
    </row>
    <row r="144">
      <c r="A144" s="4" t="inlineStr">
        <is>
          <t>QS WUR 2027 – Brunel</t>
        </is>
      </c>
      <c r="B144" s="17" t="inlineStr">
        <is>
          <t>https://students.brunel.ac.uk/campus-news/brunel-climbs-global-qs-rankings-after-strong-year-for-research-and-graduate-outcomes</t>
        </is>
      </c>
    </row>
    <row r="145">
      <c r="A145" s="4" t="inlineStr">
        <is>
          <t>QS WUR 2027 – سایر</t>
        </is>
      </c>
      <c r="B145" s="17" t="inlineStr">
        <is>
          <t>https://www.topuniversities.com/world-university-rankings</t>
        </is>
      </c>
    </row>
    <row r="146">
      <c r="A146" s="4" t="inlineStr">
        <is>
          <t>حداقل دستمزد ۲۰۲۶ هلند (€14.71)</t>
        </is>
      </c>
      <c r="B146" s="17" t="inlineStr">
        <is>
          <t>https://arlettipartners.com/new-increase-in-the-dutch-minimum-hourly-wage-from-january-1st-2026/</t>
        </is>
      </c>
    </row>
    <row r="147">
      <c r="A147" s="4" t="inlineStr">
        <is>
          <t>نرخ ارز (xe.com، ۲۷ سپتامبر ۲۰۲۶)</t>
        </is>
      </c>
      <c r="B147" s="17" t="inlineStr">
        <is>
          <t>https://www.xe.com/</t>
        </is>
      </c>
    </row>
    <row r="148">
      <c r="A148" s="4" t="inlineStr">
        <is>
          <t>بازار کار – LinkedIn/WEF ژانویه ۲۰۲۶: ۱.۳ میلیون شغل جدید AI؛ AI Engineer سریع‌ترین‌رشد</t>
        </is>
      </c>
      <c r="B148" s="17" t="inlineStr">
        <is>
          <t>https://www.weforum.org/stories/jobs-and-the-future-of-work/ai-has-already-added-1-3-million-new-jobs-according-to-linkedin-data/</t>
        </is>
      </c>
    </row>
    <row r="149">
      <c r="A149" s="4" t="inlineStr">
        <is>
          <t>بازار کار – Bitkom 2025: ۱۰۹ هزار جای خالی IT در آلمان، ۷.۷ ماه زمان پرکردن</t>
        </is>
      </c>
      <c r="B149" s="17" t="inlineStr">
        <is>
          <t>https://www.bitkom.org/Bitkom/Publikationen/Der-Arbeitsmarkt-fuer-IT-Fachkraefte</t>
        </is>
      </c>
    </row>
    <row r="150">
      <c r="A150" s="4" t="inlineStr">
        <is>
          <t>بازار کار – ISC2 Cybersecurity Workforce Study 2024/2025 (حذف عدد کمبود؛ کمبود بودجه دلیل اول؛ ۳۱٪ تیم‌ها بدون جونیور)</t>
        </is>
      </c>
      <c r="B150" s="17" t="inlineStr">
        <is>
          <t>https://www.isc2.org/research</t>
        </is>
      </c>
    </row>
    <row r="151">
      <c r="A151" s="4" t="inlineStr">
        <is>
          <t>بازار کار – اخراج‌های صنعت بازی ۲۰۲۲–۲۰۲۶ (≈۴۵ هزار؛ افت حقوق Unity)</t>
        </is>
      </c>
      <c r="B151" s="17" t="inlineStr">
        <is>
          <t>https://en.wikipedia.org/wiki/2022%E2%80%932026_video_game_industry_layoffs</t>
        </is>
      </c>
    </row>
    <row r="152">
      <c r="A152" s="4" t="inlineStr">
        <is>
          <t>بازار کار – آگهی‌های UX/UXR (Indeed تا Q4 2025)</t>
        </is>
      </c>
      <c r="B152" s="17" t="inlineStr">
        <is>
          <t>https://www.thevoiceofuser.com/everyone-knows-the-uxr-hiring-market-is-bad-how-bad-is-it-though/</t>
        </is>
      </c>
    </row>
    <row r="153">
      <c r="A153" s="4" t="inlineStr">
        <is>
          <t>بازار کار – اشباع جونیور علم داده ۲۰۲۶</t>
        </is>
      </c>
      <c r="B153" s="17" t="inlineStr">
        <is>
          <t>https://research.com/advice/are-too-many-students-choosing-data-science-oversaturation-competition-hiring-reality</t>
        </is>
      </c>
    </row>
    <row r="154">
      <c r="A154" s="4" t="inlineStr">
        <is>
          <t>آلمان – Saarland MSc Cybersecurity (C1، بدون شهریه)</t>
        </is>
      </c>
      <c r="B154" s="17" t="inlineStr">
        <is>
          <t>https://www.uni-saarland.de/en/study/programmes/master/cybersecurity.html</t>
        </is>
      </c>
    </row>
    <row r="155">
      <c r="A155" s="4" t="inlineStr">
        <is>
          <t>آلمان – Passau MSc AI Engineering (B2، معدل ≤ 2.7، A1 آلمانی سال اول)</t>
        </is>
      </c>
      <c r="B155" s="17" t="inlineStr">
        <is>
          <t>https://www.uni-passau.de/en/msc-ai-eng</t>
        </is>
      </c>
    </row>
    <row r="156">
      <c r="A156" s="4" t="inlineStr">
        <is>
          <t>آلمان – Cologne Game Lab MA Game Development &amp; Research (€2,500/ترم غیر-EU)</t>
        </is>
      </c>
      <c r="B156" s="17" t="inlineStr">
        <is>
          <t>https://colognegamelab.de/study-programs/post-graduate-programs/game-development-research-ma/faqs/</t>
        </is>
      </c>
    </row>
    <row r="157">
      <c r="A157" s="4" t="inlineStr">
        <is>
          <t>آلمان – Siegen MSc HCI (DAAD)</t>
        </is>
      </c>
      <c r="B157" s="17" t="inlineStr">
        <is>
          <t>https://www2.daad.de/deutschland/studienangebote/international-programmes/en/detail/4686/</t>
        </is>
      </c>
    </row>
    <row r="158">
      <c r="A158" s="4" t="inlineStr">
        <is>
          <t>آلمان – H-BRS MSc Autonomous Systems (B2+)</t>
        </is>
      </c>
      <c r="B158" s="17" t="inlineStr">
        <is>
          <t>https://www.h-brs.de/en/inf/admission-application-master-autonomous-systems</t>
        </is>
      </c>
    </row>
    <row r="159">
      <c r="A159" s="4" t="inlineStr">
        <is>
          <t>آلمان – RWTH MSc Software Systems Engineering</t>
        </is>
      </c>
      <c r="B159" s="17" t="inlineStr">
        <is>
          <t>https://sc.informatik.rwth-aachen.de/en/studium/master/sse/</t>
        </is>
      </c>
    </row>
    <row r="160">
      <c r="A160" s="4" t="inlineStr">
        <is>
          <t>آلمان – Tübingen MSc Machine Learning (IELTS 7، €1,500/ترم)</t>
        </is>
      </c>
      <c r="B160" s="17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61">
      <c r="A161" s="4" t="inlineStr">
        <is>
          <t>آلمان – TUM Informatics: €6,000 در ترم برای غیر-EU</t>
        </is>
      </c>
      <c r="B161" s="17" t="inlineStr">
        <is>
          <t>https://www.tum.de/en/studies/degree-programs/detail/informatics-master-of-science-msc</t>
        </is>
      </c>
    </row>
    <row r="162">
      <c r="A162" s="4" t="inlineStr">
        <is>
          <t>آلمان – FAU Autonomy Technologies (B2، IELTS 6.0)</t>
        </is>
      </c>
      <c r="B162" s="17" t="inlineStr">
        <is>
          <t>https://www.fau.eu/degree-program/autonomy-technologies-m-sc/</t>
        </is>
      </c>
    </row>
    <row r="163">
      <c r="A163" s="4" t="inlineStr">
        <is>
          <t>هلند – Twente Embedded Systems 2026/27: €21,700</t>
        </is>
      </c>
      <c r="B163" s="17" t="inlineStr">
        <is>
          <t>https://www.utwente.nl/en/education/master/programmes/embedded-systems/finance/</t>
        </is>
      </c>
    </row>
    <row r="164">
      <c r="A164" s="4" t="inlineStr">
        <is>
          <t>هلند – Leiden CS 2026/27: €22,500</t>
        </is>
      </c>
      <c r="B164" s="17" t="inlineStr">
        <is>
          <t>https://www.universiteitleiden.nl/en/education/study-programmes/master/computer-science/artificial-intelligence/admission-and-application/tuition-fees</t>
        </is>
      </c>
    </row>
    <row r="165">
      <c r="A165" s="4" t="inlineStr">
        <is>
          <t>هلند – Groningen AI 2026/27: €24,900</t>
        </is>
      </c>
      <c r="B165" s="17" t="inlineStr">
        <is>
          <t>https://www.rug.nl/masters/artificial-intelligence/?lang=en</t>
        </is>
      </c>
    </row>
    <row r="166">
      <c r="A166" s="4" t="inlineStr">
        <is>
          <t>هلند – Utrecht Game &amp; Media Technology 2026/27: €25,306</t>
        </is>
      </c>
      <c r="B166" s="17" t="inlineStr">
        <is>
          <t>https://www.uu.nl/en/masters/game-and-media-technology</t>
        </is>
      </c>
    </row>
    <row r="167">
      <c r="A167" s="4" t="inlineStr">
        <is>
          <t>هلند – QS 2027 فهرست دانشگاه‌های هلند</t>
        </is>
      </c>
      <c r="B167" s="17" t="inlineStr">
        <is>
          <t>https://dub.uu.nl/en/news/dutch-universities-fall-global-qs-rankings</t>
        </is>
      </c>
    </row>
    <row r="168">
      <c r="A168" s="4" t="inlineStr">
        <is>
          <t>سوئد – Gothenburg Game Design &amp; Technology: SEK 290,000 کل</t>
        </is>
      </c>
      <c r="B168" s="17" t="inlineStr">
        <is>
          <t>https://www.gu.se/en/study-gothenburg/game-design-technology-masters-programme-n2gdt</t>
        </is>
      </c>
    </row>
    <row r="169">
      <c r="A169" s="4" t="inlineStr">
        <is>
          <t>سوئد – KTH Machine Learning: ≈ SEK 180,000–190,000 (کل دوره 360k طبق راهنمای ۲۰۲۶؛ kth.se رقم را فقط در سامانه نشان می‌دهد)</t>
        </is>
      </c>
      <c r="B169" s="17" t="inlineStr">
        <is>
          <t>https://www.kth.se/en/studies/master/machine-learning</t>
        </is>
      </c>
    </row>
    <row r="170">
      <c r="A170" s="4" t="inlineStr">
        <is>
          <t>سوئد – Umeå AI: SEK 152,300</t>
        </is>
      </c>
      <c r="B170" s="17" t="inlineStr">
        <is>
          <t>https://www.umu.se/en/education/master/masters-programme-in-artificial-intelligence/</t>
        </is>
      </c>
    </row>
    <row r="171">
      <c r="A171" s="4" t="inlineStr">
        <is>
          <t>سوئد – QS 2027 فهرست دانشگاه‌های سوئد</t>
        </is>
      </c>
      <c r="B171" s="17" t="inlineStr">
        <is>
          <t>https://www.study.eu/best-universities/sweden</t>
        </is>
      </c>
    </row>
    <row r="172">
      <c r="A172" s="4" t="inlineStr">
        <is>
          <t>دانمارک – ITU شهریهٔ رسمی ورودی ۲۰۲۶: €8,250 در ترم = €16,500 در سال (رقم قدیمی €6,700 منسوخ)</t>
        </is>
      </c>
      <c r="B172" s="17" t="inlineStr">
        <is>
          <t>https://en.itu.dk/Programmes/MSc-Programmes/Applying-to-a-MSc-programme/Non-EU-EOES</t>
        </is>
      </c>
    </row>
    <row r="173">
      <c r="A173" s="4" t="inlineStr">
        <is>
          <t>دانمارک – AAU Cyber Security / Medialogy €7,455 در ترم</t>
        </is>
      </c>
      <c r="B173" s="17" t="inlineStr">
        <is>
          <t>https://studyindenmark.dk/portal/aalborg-university-aau/copenhagen/cyber-security-msc-in-engineering</t>
        </is>
      </c>
    </row>
    <row r="174">
      <c r="A174" s="4" t="inlineStr">
        <is>
          <t>دانمارک – DTU €15,000 (Human-Centered AI / Autonomous Systems)</t>
        </is>
      </c>
      <c r="B174" s="17" t="inlineStr">
        <is>
          <t>https://www.dtu.dk/english/education/graduate/msc-programmes/autonomous-systems/prerequisites</t>
        </is>
      </c>
    </row>
    <row r="175">
      <c r="A175" s="4" t="inlineStr">
        <is>
          <t>دانمارک – Aarhus CS €17,300</t>
        </is>
      </c>
      <c r="B175" s="17" t="inlineStr">
        <is>
          <t>https://masters.au.dk/computerscience</t>
        </is>
      </c>
    </row>
    <row r="176">
      <c r="A176" s="4" t="inlineStr">
        <is>
          <t>دانمارک – QS 2027 فهرست دانشگاه‌های دانمارک</t>
        </is>
      </c>
      <c r="B176" s="17" t="inlineStr">
        <is>
          <t>https://leapscholar.com/blog/top-universities-in-denmark/</t>
        </is>
      </c>
    </row>
    <row r="177">
      <c r="A177" s="4" t="inlineStr">
        <is>
          <t>انگلستان – Goldsmiths MSc Computer Games Programming £22,000</t>
        </is>
      </c>
      <c r="B177" s="17" t="inlineStr">
        <is>
          <t>https://www.gold.ac.uk/pg/msc-computer-games-programming/</t>
        </is>
      </c>
    </row>
    <row r="178">
      <c r="A178" s="4" t="inlineStr">
        <is>
          <t>انگلستان – Royal Holloway MSc Information &amp; Cyber Security £25,500</t>
        </is>
      </c>
      <c r="B178" s="17" t="inlineStr">
        <is>
          <t>https://www.royalholloway.ac.uk/studying-here/postgraduate/information-security/information-and-cyber-security/</t>
        </is>
      </c>
    </row>
    <row r="179">
      <c r="A179" s="4" t="inlineStr">
        <is>
          <t>انگلستان – Kent MSc Cyber Security (NCSC)</t>
        </is>
      </c>
      <c r="B179" s="17" t="inlineStr">
        <is>
          <t>https://www.kent.ac.uk/courses/postgraduate/1225/cyber-security</t>
        </is>
      </c>
    </row>
    <row r="180">
      <c r="A180" s="4" t="inlineStr">
        <is>
          <t>انگلستان – MMU MSc Cyber Security £21,000</t>
        </is>
      </c>
      <c r="B180" s="17" t="inlineStr">
        <is>
          <t>https://www.mmu.ac.uk/study/postgraduate/course/msc-cyber-security</t>
        </is>
      </c>
    </row>
    <row r="181">
      <c r="A181" s="4" t="inlineStr">
        <is>
          <t>انگلستان – York MSc Human-Centred Interactive Technologies £32,900</t>
        </is>
      </c>
      <c r="B181" s="17" t="inlineStr">
        <is>
          <t>https://www.york.ac.uk/study/postgraduate-taught/courses/msc-human-centred-interactive-technologies/</t>
        </is>
      </c>
    </row>
    <row r="182">
      <c r="A182" s="4" t="inlineStr">
        <is>
          <t>انگلستان – Lancaster MSc Cyber Security £30,000</t>
        </is>
      </c>
      <c r="B182" s="17" t="inlineStr">
        <is>
          <t>https://www.lancaster.ac.uk/study/postgraduate/postgraduate-courses/cyber-security-msc/2026/</t>
        </is>
      </c>
    </row>
    <row r="183">
      <c r="A183" s="4" t="inlineStr">
        <is>
          <t>انگلستان – NTU QS 2027 =639</t>
        </is>
      </c>
      <c r="B183" s="17" t="inlineStr">
        <is>
          <t>https://collegedunia.com/uk/university/862-nottingham-trent-university-nottingham/ranking</t>
        </is>
      </c>
    </row>
    <row r="184">
      <c r="A184" s="4" t="inlineStr">
        <is>
          <t>آلمان – FAU: شهریهٔ غیر-EU از ترم تابستان ۲۰۲۷ (AI/CS €4,000، Autonomy Tech €2,000 در ترم؛ BayHIG §13)</t>
        </is>
      </c>
      <c r="B184" s="17" t="inlineStr">
        <is>
          <t>https://www.fau.eu/studying/international-students/application-and-enrollment-for-international-applicants/tuition-fees-for-students-from-non-eu-states/</t>
        </is>
      </c>
    </row>
    <row r="185">
      <c r="A185" s="4" t="inlineStr">
        <is>
          <t>آلمان – Passau: «فعلاً» بدون شهریه برای غیر-EU (اعلام رسمی)</t>
        </is>
      </c>
      <c r="B185" s="17" t="inlineStr">
        <is>
          <t>https://www.uni-passau.de/en/study/news/news/no-tuition-fees-for-international-students-at-the-university-of-passau</t>
        </is>
      </c>
    </row>
    <row r="186">
      <c r="A186" s="4" t="inlineStr">
        <is>
          <t>دانمارک – Aarhus نرخ رسمی 2026/27: Computer Science / Data Science / Computer Engineering €17,300</t>
        </is>
      </c>
      <c r="B186" s="17" t="inlineStr">
        <is>
          <t>https://masters.au.dk/tuitionfees/current-tuition-fee-rates</t>
        </is>
      </c>
    </row>
    <row r="187">
      <c r="A187" s="4" t="inlineStr">
        <is>
          <t>دانمارک – AAU Computer Science (IT): شرط رسمی ≥ ۱۵۰ ECTS دروس CS؛ معیار رتبه‌بندی ۲۰۲۷ شامل سابقهٔ کار</t>
        </is>
      </c>
      <c r="B187" s="17" t="inlineStr">
        <is>
          <t>https://www.en.aau.dk/education/master/computer-science-it</t>
        </is>
      </c>
    </row>
    <row r="188">
      <c r="A188" s="4" t="inlineStr">
        <is>
          <t>سوئد – Chalmers شهریهٔ استاندارد 2026/27 ≈ SEK 175,000 (collegedunia به نقل از صفحهٔ شهریهٔ Chalmers)</t>
        </is>
      </c>
      <c r="B188" s="17" t="inlineStr">
        <is>
          <t>https://collegedunia.com/sweden/university/769-chalmers-university-of-technology-gothenburg/programs?stream_id=48&amp;degree_type=Master</t>
        </is>
      </c>
    </row>
    <row r="189">
      <c r="A189" s="4" t="inlineStr">
        <is>
          <t>انگلستان – Surrey MSc Cyber Security ورودی ۲۰۲۷: £25,900 (فوریه) / £26,900 (سپتامبر)</t>
        </is>
      </c>
      <c r="B189" s="17" t="inlineStr">
        <is>
          <t>https://www.surrey.ac.uk/postgraduate/cyber-security-msc</t>
        </is>
      </c>
    </row>
    <row r="190">
      <c r="A190" s="4" t="inlineStr">
        <is>
          <t>انگلستان – Newcastle MSc Computer Game Engineering £32,300، شرط 2:2 (QS TopUniversities)</t>
        </is>
      </c>
      <c r="B190" s="17" t="inlineStr">
        <is>
          <t>https://www.topuniversities.com/universities/newcastle-university/postgrad/msc-computer-game-engineering</t>
        </is>
      </c>
    </row>
    <row r="191">
      <c r="A191" s="4" t="inlineStr">
        <is>
          <t>هلند – TU/e شهریهٔ رسمی 2026/27 €21,700 (2027/28: €22,400)</t>
        </is>
      </c>
      <c r="B191" s="17" t="inlineStr">
        <is>
          <t>https://www.tue.nl/en/education/become-a-tue-student/tuition-fees</t>
        </is>
      </c>
    </row>
    <row r="192">
      <c r="A192" s="4" t="inlineStr">
        <is>
          <t>ایران – توقف برگزاری IELTS در ایران از ۳۱ ژانویه ۲۰۲۶ (اعلام IDP)</t>
        </is>
      </c>
      <c r="B192" s="17" t="inlineStr">
        <is>
          <t>https://wanaen.com/ielts-testing-to-be-suspended-in-iran/</t>
        </is>
      </c>
    </row>
    <row r="193">
      <c r="A193" s="4" t="inlineStr">
        <is>
          <t>ایران – وضعیت IELTS شهریور ۱۴۰۵: در ایران برگزار نمی‌شود؛ آزمون در کشور دیگر</t>
        </is>
      </c>
      <c r="B193" s="17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194">
      <c r="A194" s="4" t="inlineStr">
        <is>
          <t>ایران – توقف TOEFL در ایران (وضعیت شهریور ۱۴۰۵)</t>
        </is>
      </c>
      <c r="B194" s="17" t="inlineStr">
        <is>
          <t>https://zandienglish.ir/toefl-in-iran/</t>
        </is>
      </c>
    </row>
    <row r="195">
      <c r="A195" s="4" t="inlineStr">
        <is>
          <t>ایران – وثیقهٔ خروج تحصیلی مشمولان ۲۰۰ میلیون تومان (سامانهٔ سخا، تیر ۱۴۰۵)</t>
        </is>
      </c>
      <c r="B195" s="17" t="inlineStr">
        <is>
          <t>https://www.zoomit.ir/iran-news/464136-exit-permit-bond-sakha-1405/</t>
        </is>
      </c>
    </row>
    <row r="196">
      <c r="A196" s="4" t="inlineStr">
        <is>
          <t>سوئد – تاریخ‌های کلیدی ورودی پاییز ۲۰۲۷ (۱۶ اکتبر – ۱۵ ژانویه؛ مدارک ۱ فوریه؛ دور دوم ۱۵ آوریل)</t>
        </is>
      </c>
      <c r="B196" s="17" t="inlineStr">
        <is>
          <t>https://www.umu.se/en/education/application-and-admission/key-dates-and-deadlines/</t>
        </is>
      </c>
    </row>
    <row r="197">
      <c r="A197" s="4" t="inlineStr">
        <is>
          <t>آلمان – Stuttgart MSc CS: بازهٔ اپلای ترم زمستان ۱۵ نوامبر – ۱۵ ژانویه؛ انگلیسی C1</t>
        </is>
      </c>
      <c r="B197" s="17" t="inlineStr">
        <is>
          <t>https://www.uni-stuttgart.de/en/study/study-programs/Computer-Science-M.Sc.-00001/</t>
        </is>
      </c>
    </row>
    <row r="198">
      <c r="A198" s="4" t="inlineStr">
        <is>
          <t>آلمان – Passau: بازهٔ اپلای AI Engineering ۱ آوریل – ۳۱ می</t>
        </is>
      </c>
      <c r="B198" s="17" t="inlineStr">
        <is>
          <t>https://www.uni-passau.de/en/apply/apply-with-intl-qualifications</t>
        </is>
      </c>
    </row>
    <row r="199">
      <c r="A199" s="4" t="inlineStr">
        <is>
          <t>دانمارک – AAU: مهلت شهریه‌پردازها ۱۵ ژانویه (EU: ۱ مارس)؛ پورتال از اواسط دسامبر</t>
        </is>
      </c>
      <c r="B199" s="17" t="inlineStr">
        <is>
          <t>https://www.en.aau.dk/education/apply/master/how-and-when-to-apply</t>
        </is>
      </c>
    </row>
    <row r="200">
      <c r="A200" s="4" t="inlineStr">
        <is>
          <t>دانمارک – SDU Computer Science: مهلت غیر-EU ۱ فوریه؛ شهریه یک سال پیش‌پرداخت</t>
        </is>
      </c>
      <c r="B200" s="17" t="inlineStr">
        <is>
          <t>https://www.sdu.dk/en/uddannelse/kandidat/datalogi</t>
        </is>
      </c>
    </row>
    <row r="201">
      <c r="A201" s="4" t="inlineStr">
        <is>
          <t>هلند – Radboud: مهلت غیر-EU ۱ آوریل، بورس ۳۱ ژانویه، ثبت‌نام ۱ ژوئن</t>
        </is>
      </c>
      <c r="B201" s="17" t="inlineStr">
        <is>
          <t>https://www.ru.nl/en/education/application-and-admission/application-procedure-masters/deadlines</t>
        </is>
      </c>
    </row>
    <row r="202">
      <c r="A202" s="4" t="inlineStr">
        <is>
          <t>هلند – Twente: مهلت غیر-EEA ۱ می ۲۰۲۷؛ بورس UTS ۱۵ اکتبر ۲۰۲۶ – ۱ آوریل ۲۰۲۷</t>
        </is>
      </c>
      <c r="B202" s="17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2026-09-27T23:57:47Z</dcterms:created>
  <dcterms:modified xsi:type="dcterms:W3CDTF">2026-09-27T23:57:48Z</dcterms:modified>
</cp:coreProperties>
</file>