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9">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0" fillId="0" borderId="1" applyAlignment="1" pivotButton="0" quotePrefix="0" xfId="0">
      <alignment horizontal="right" vertical="top" wrapText="1" readingOrder="2"/>
    </xf>
    <xf numFmtId="0" fontId="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2" fillId="5" borderId="1" applyAlignment="1" pivotButton="0" quotePrefix="0" xfId="0">
      <alignment horizontal="center" vertical="top" wrapText="1" readingOrder="2"/>
    </xf>
    <xf numFmtId="0" fontId="2" fillId="6" borderId="1" applyAlignment="1" pivotButton="0" quotePrefix="0" xfId="0">
      <alignment horizontal="center" vertical="top" wrapText="1" readingOrder="2"/>
    </xf>
    <xf numFmtId="0" fontId="11" fillId="0"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collegedunia.com/netherlands/university/749-university-of-twente-enschede/admission" TargetMode="External" Id="rId214" /></Relationships>
</file>

<file path=xl/worksheets/sheet1.xml><?xml version="1.0" encoding="utf-8"?>
<worksheet xmlns="http://schemas.openxmlformats.org/spreadsheetml/2006/main">
  <sheetPr>
    <outlinePr summaryBelow="1" summaryRight="1"/>
    <pageSetUpPr/>
  </sheetPr>
  <dimension ref="A1:K58"/>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s>
  <sheetData>
    <row r="1" ht="26" customHeight="1">
      <c r="A1" s="1" t="inlineStr">
        <is>
          <t>تصمیم در یک صفحه — شایان، ورودی سپتامبر ۲۰۲۷، بودجه $32,000 در سال</t>
        </is>
      </c>
    </row>
    <row r="2" ht="48"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
    <row r="4">
      <c r="A4" s="3" t="inlineStr">
        <is>
          <t>الف) شش کشور در یک نگاه — به ترتیب امتیاز (چپ به راست بدتر می‌شود)</t>
        </is>
      </c>
    </row>
    <row r="5">
      <c r="A5" s="4" t="inlineStr">
        <is>
          <t>معیار</t>
        </is>
      </c>
      <c r="B5" s="4" t="inlineStr">
        <is>
          <t>🇩🇪 آلمان</t>
        </is>
      </c>
      <c r="C5" s="4" t="inlineStr">
        <is>
          <t>🇸🇪 سوئد</t>
        </is>
      </c>
      <c r="D5" s="4" t="inlineStr">
        <is>
          <t>🇬🇧 انگلستان</t>
        </is>
      </c>
      <c r="E5" s="4" t="inlineStr">
        <is>
          <t>🇨🇭 سوئیس</t>
        </is>
      </c>
      <c r="F5" s="4" t="inlineStr">
        <is>
          <t>🇳🇱 هلند</t>
        </is>
      </c>
      <c r="G5" s="4" t="inlineStr">
        <is>
          <t>🇩🇰 دانمارک</t>
        </is>
      </c>
    </row>
    <row r="6">
      <c r="A6" s="5" t="inlineStr">
        <is>
          <t>طول دورهٔ ارشد</t>
        </is>
      </c>
      <c r="B6" s="6" t="inlineStr">
        <is>
          <t>۲ سال</t>
        </is>
      </c>
      <c r="C6" s="6" t="inlineStr">
        <is>
          <t>۲ سال</t>
        </is>
      </c>
      <c r="D6" s="6" t="inlineStr">
        <is>
          <t>۱ سال</t>
        </is>
      </c>
      <c r="E6" s="6" t="inlineStr">
        <is>
          <t>۱.۵ یا ۲ سال</t>
        </is>
      </c>
      <c r="F6" s="6" t="inlineStr">
        <is>
          <t>۲ سال</t>
        </is>
      </c>
      <c r="G6" s="6" t="inlineStr">
        <is>
          <t>۲ سال</t>
        </is>
      </c>
    </row>
    <row r="7">
      <c r="A7" s="5" t="inlineStr">
        <is>
          <t>شهریهٔ هر سال</t>
        </is>
      </c>
      <c r="B7" s="6" t="inlineStr">
        <is>
          <t>$350–900
(Stuttgart $3,400)</t>
        </is>
      </c>
      <c r="C7" s="6" t="inlineStr">
        <is>
          <t>$14,100–16,800</t>
        </is>
      </c>
      <c r="D7" s="6" t="inlineStr">
        <is>
          <t>$22,500–43,600
(Teesside $22,500)</t>
        </is>
      </c>
      <c r="E7" s="6" t="inlineStr">
        <is>
          <t>$1,900–9,700
(Neuchâtel $1,900 · USI $9,700)</t>
        </is>
      </c>
      <c r="F7" s="6" t="inlineStr">
        <is>
          <t>$22,500–24,700</t>
        </is>
      </c>
      <c r="G7" s="6" t="inlineStr">
        <is>
          <t>$17,000–19,700</t>
        </is>
      </c>
    </row>
    <row r="8">
      <c r="A8" s="5" t="inlineStr">
        <is>
          <t>هزینهٔ زندگی هر ماه (با اجاره)</t>
        </is>
      </c>
      <c r="B8" s="6" t="inlineStr">
        <is>
          <t>$1,100–1,400</t>
        </is>
      </c>
      <c r="C8" s="6" t="inlineStr">
        <is>
          <t>$1,100–1,300</t>
        </is>
      </c>
      <c r="D8" s="6" t="inlineStr">
        <is>
          <t>$1,250–1,650
(لندن تا $2,400)</t>
        </is>
      </c>
      <c r="E8" s="6" t="inlineStr">
        <is>
          <t>$1,650–2,200
(زوریخ تا $3,000)</t>
        </is>
      </c>
      <c r="F8" s="6" t="inlineStr">
        <is>
          <t>$1,250–1,700</t>
        </is>
      </c>
      <c r="G8" s="6" t="inlineStr">
        <is>
          <t>$1,200–1,500</t>
        </is>
      </c>
    </row>
    <row r="9">
      <c r="A9" s="5" t="inlineStr">
        <is>
          <t>هزینهٔ سال اول (شهریه + ۱۲ ماه زندگی)</t>
        </is>
      </c>
      <c r="B9" s="6" t="inlineStr">
        <is>
          <t>$13,000–18,000</t>
        </is>
      </c>
      <c r="C9" s="6" t="inlineStr">
        <is>
          <t>$27,000–32,500</t>
        </is>
      </c>
      <c r="D9" s="6" t="inlineStr">
        <is>
          <t>$38,000–65,000</t>
        </is>
      </c>
      <c r="E9" s="6" t="inlineStr">
        <is>
          <t>$23,000–42,000</t>
        </is>
      </c>
      <c r="F9" s="6" t="inlineStr">
        <is>
          <t>$37,500–45,000</t>
        </is>
      </c>
      <c r="G9" s="6" t="inlineStr">
        <is>
          <t>$31,500–38,000</t>
        </is>
      </c>
    </row>
    <row r="10">
      <c r="A10" s="7" t="inlineStr">
        <is>
          <t>★ کل هزینه تا گرفتن مدرک</t>
        </is>
      </c>
      <c r="B10" s="8" t="inlineStr">
        <is>
          <t>$27,000–36,000
(Stuttgart تا $45,000)</t>
        </is>
      </c>
      <c r="C10" s="8" t="inlineStr">
        <is>
          <t>$54,000–65,000</t>
        </is>
      </c>
      <c r="D10" s="8" t="inlineStr">
        <is>
          <t>$38,000–65,000</t>
        </is>
      </c>
      <c r="E10" s="8" t="inlineStr">
        <is>
          <t>$35,000–84,000
(Neuchâtel/Fribourg $35–47k)</t>
        </is>
      </c>
      <c r="F10" s="8" t="inlineStr">
        <is>
          <t>$75,000–90,000</t>
        </is>
      </c>
      <c r="G10" s="8" t="inlineStr">
        <is>
          <t>$63,000–76,000</t>
        </is>
      </c>
    </row>
    <row r="11">
      <c r="A11" s="5" t="inlineStr">
        <is>
          <t>با بودجهٔ $32,000 در سال جور درمی‌آید؟</t>
        </is>
      </c>
      <c r="B11" s="6" t="inlineStr">
        <is>
          <t>✅ بله، راحت</t>
        </is>
      </c>
      <c r="C11" s="6" t="inlineStr">
        <is>
          <t>✅ بله (مرزی)</t>
        </is>
      </c>
      <c r="D11" s="6" t="inlineStr">
        <is>
          <t>❌ فقط Teesside/Northumbria، با کسری $6–16k</t>
        </is>
      </c>
      <c r="E11" s="6" t="inlineStr">
        <is>
          <t>⚠️ فقط Neuchâtel/Fribourg (و با صرفه‌جویی Lucerne/Lugano)</t>
        </is>
      </c>
      <c r="F11" s="6" t="inlineStr">
        <is>
          <t>❌ کسری $5–13k در هر سال</t>
        </is>
      </c>
      <c r="G11" s="6" t="inlineStr">
        <is>
          <t>⚠️ AAU مرزی؛ SDU کسری ≈ $6k</t>
        </is>
      </c>
    </row>
    <row r="12">
      <c r="A12" s="5" t="inlineStr">
        <is>
          <t>شانس پذیرش با معدل ۱۵.۷۷</t>
        </is>
      </c>
      <c r="B12" s="6" t="inlineStr">
        <is>
          <t>متوسط تا خوب
(Passau/Saarland/Chemnitz راحت؛ Stuttgart/Darmstadt Target)</t>
        </is>
      </c>
      <c r="C12" s="6" t="inlineStr">
        <is>
          <t>خوب
(BTH/Halmstad راحت؛ LiU Target)</t>
        </is>
      </c>
      <c r="D12" s="6" t="inlineStr">
        <is>
          <t>زیاد
(Teesside/Northumbria/Essex راحت)</t>
        </is>
      </c>
      <c r="E12" s="6" t="inlineStr">
        <is>
          <t>متوسط
(USI/HSLU/Joint MSc Target؛ ETH/EPFL/UZH بعید)</t>
        </is>
      </c>
      <c r="F12" s="6" t="inlineStr">
        <is>
          <t>متوسط
(Twente/Radboud Target)</t>
        </is>
      </c>
      <c r="G12" s="6" t="inlineStr">
        <is>
          <t>متوسط
(AAU/SDU Target)</t>
        </is>
      </c>
    </row>
    <row r="13">
      <c r="A13" s="5" t="inlineStr">
        <is>
          <t>بورسی که واقعاً می‌گیرید</t>
        </is>
      </c>
      <c r="B13" s="6" t="inlineStr">
        <is>
          <t>تقریباً هیچ
(Deutschlandstipendium $340/ماه، رقابتی)</t>
        </is>
      </c>
      <c r="C13" s="6" t="inlineStr">
        <is>
          <t>Halmstad ۲۵–۵۰٪ · MDU تا ۱۰۰٪
(LiU ۵۰٪ فقط با معدل بالاتر)</t>
        </is>
      </c>
      <c r="D13" s="6" t="inlineStr">
        <is>
          <t>Essex ≈ $6,000 خودکار
Teesside ≈ $2,650</t>
        </is>
      </c>
      <c r="E13" s="6" t="inlineStr">
        <is>
          <t>USI $4,850 (مرزی)
بقیه هیچ</t>
        </is>
      </c>
      <c r="F13" s="6" t="inlineStr">
        <is>
          <t>NL Scholarship $5,700 (یک‌بار)</t>
        </is>
      </c>
      <c r="G13" s="6" t="inlineStr">
        <is>
          <t>≈ ۱۵ بورس AAU (بعید)</t>
        </is>
      </c>
    </row>
    <row r="14">
      <c r="A14" s="5" t="inlineStr">
        <is>
          <t>کار دانشجویی (درآمد ماهانه)</t>
        </is>
      </c>
      <c r="B14" s="6" t="inlineStr">
        <is>
          <t>$1,150–1,800
(۲۰ ساعت؛ کار فنی فراوان)</t>
        </is>
      </c>
      <c r="C14" s="6" t="inlineStr">
        <is>
          <t>$350–900
(۱۵ ساعت؛ کمیاب)</t>
        </is>
      </c>
      <c r="D14" s="6" t="inlineStr">
        <is>
          <t>تا $1,450
(۲۰ ساعت)</t>
        </is>
      </c>
      <c r="E14" s="6" t="inlineStr">
        <is>
          <t>۶ ماه اول: صفر
بعد $1,550–2,200</t>
        </is>
      </c>
      <c r="F14" s="6" t="inlineStr">
        <is>
          <t>تا $1,150
(۱۶ ساعت؛ مجوز TWV)</t>
        </is>
      </c>
      <c r="G14" s="6" t="inlineStr">
        <is>
          <t>$1,200–1,850
(اگر پیدا شود)</t>
        </is>
      </c>
    </row>
    <row r="15">
      <c r="A15" s="5" t="inlineStr">
        <is>
          <t>تحصیل + کار + زندگی فقط با انگلیسی (از ۱۰)</t>
        </is>
      </c>
      <c r="B15" s="6" t="inlineStr">
        <is>
          <t>۴</t>
        </is>
      </c>
      <c r="C15" s="6" t="inlineStr">
        <is>
          <t>۸</t>
        </is>
      </c>
      <c r="D15" s="6" t="inlineStr">
        <is>
          <t>۱۰</t>
        </is>
      </c>
      <c r="E15" s="6" t="inlineStr">
        <is>
          <t>۶</t>
        </is>
      </c>
      <c r="F15" s="6" t="inlineStr">
        <is>
          <t>۸</t>
        </is>
      </c>
      <c r="G15" s="6" t="inlineStr">
        <is>
          <t>۶</t>
        </is>
      </c>
    </row>
    <row r="16">
      <c r="A16" s="5" t="inlineStr">
        <is>
          <t>اجازهٔ ماندن برای کاریابی بعد از مدرک</t>
        </is>
      </c>
      <c r="B16" s="6" t="inlineStr">
        <is>
          <t>۱۸ ماه</t>
        </is>
      </c>
      <c r="C16" s="6" t="inlineStr">
        <is>
          <t>۱۲ ماه</t>
        </is>
      </c>
      <c r="D16" s="6" t="inlineStr">
        <is>
          <t>۱۸ ماه</t>
        </is>
      </c>
      <c r="E16" s="6" t="inlineStr">
        <is>
          <t>۶ ماه ⚠️</t>
        </is>
      </c>
      <c r="F16" s="6" t="inlineStr">
        <is>
          <t>۱۲ ماه</t>
        </is>
      </c>
      <c r="G16" s="6" t="inlineStr">
        <is>
          <t>۳ سال</t>
        </is>
      </c>
    </row>
    <row r="17">
      <c r="A17" s="5" t="inlineStr">
        <is>
          <t>حقوق شروع برنامه‌نویس (ناخالص سالانه)</t>
        </is>
      </c>
      <c r="B17" s="6" t="inlineStr">
        <is>
          <t>$55,000–63,000</t>
        </is>
      </c>
      <c r="C17" s="6" t="inlineStr">
        <is>
          <t>$42,000–55,000</t>
        </is>
      </c>
      <c r="D17" s="6" t="inlineStr">
        <is>
          <t>$37,000–46,000
(لندن $42–60k)</t>
        </is>
      </c>
      <c r="E17" s="6" t="inlineStr">
        <is>
          <t>$103,000–127,000</t>
        </is>
      </c>
      <c r="F17" s="6" t="inlineStr">
        <is>
          <t>$46,000–57,000</t>
        </is>
      </c>
      <c r="G17" s="6" t="inlineStr">
        <is>
          <t>$76,000–82,000</t>
        </is>
      </c>
    </row>
    <row r="18">
      <c r="A18" s="5" t="inlineStr">
        <is>
          <t>خالص ماهانه بعد از مالیات</t>
        </is>
      </c>
      <c r="B18" s="6" t="inlineStr">
        <is>
          <t>$3,100–3,400</t>
        </is>
      </c>
      <c r="C18" s="6" t="inlineStr">
        <is>
          <t>$2,850–3,300</t>
        </is>
      </c>
      <c r="D18" s="6" t="inlineStr">
        <is>
          <t>$2,650–3,300</t>
        </is>
      </c>
      <c r="E18" s="6" t="inlineStr">
        <is>
          <t>$6,900–8,100
(منهای بیمهٔ درمانی $420–540)</t>
        </is>
      </c>
      <c r="F18" s="6" t="inlineStr">
        <is>
          <t>$3,100–3,550</t>
        </is>
      </c>
      <c r="G18" s="6" t="inlineStr">
        <is>
          <t>$3,750–4,200</t>
        </is>
      </c>
    </row>
    <row r="19">
      <c r="A19" s="5" t="inlineStr">
        <is>
          <t>پس‌انداز ماهانه (شاغل، مجرد)</t>
        </is>
      </c>
      <c r="B19" s="6" t="inlineStr">
        <is>
          <t>$1,150–1,700</t>
        </is>
      </c>
      <c r="C19" s="6" t="inlineStr">
        <is>
          <t>$1,050–1,600</t>
        </is>
      </c>
      <c r="D19" s="6" t="inlineStr">
        <is>
          <t>$530–1,200</t>
        </is>
      </c>
      <c r="E19" s="6" t="inlineStr">
        <is>
          <t>$1,800–3,600</t>
        </is>
      </c>
      <c r="F19" s="6" t="inlineStr">
        <is>
          <t>$800–1,350</t>
        </is>
      </c>
      <c r="G19" s="6" t="inlineStr">
        <is>
          <t>$1,250–1,800</t>
        </is>
      </c>
    </row>
    <row r="20">
      <c r="A20" s="5" t="inlineStr">
        <is>
          <t>بازار کار برای جونیورِ فقط‌انگلیسی (از ۱۰)</t>
        </is>
      </c>
      <c r="B20" s="6" t="inlineStr">
        <is>
          <t>۸</t>
        </is>
      </c>
      <c r="C20" s="6" t="inlineStr">
        <is>
          <t>۵</t>
        </is>
      </c>
      <c r="D20" s="6" t="inlineStr">
        <is>
          <t>۴</t>
        </is>
      </c>
      <c r="E20" s="6" t="inlineStr">
        <is>
          <t>۷</t>
        </is>
      </c>
      <c r="F20" s="6" t="inlineStr">
        <is>
          <t>۸</t>
        </is>
      </c>
      <c r="G20" s="6" t="inlineStr">
        <is>
          <t>۶</t>
        </is>
      </c>
    </row>
    <row r="21">
      <c r="A21" s="5" t="inlineStr">
        <is>
          <t>ویزا از تهران (وضعیت سپتامبر ۲۰۲۶)</t>
        </is>
      </c>
      <c r="B21" s="6" t="inlineStr">
        <is>
          <t>سخت (سفارت فقط موارد اضطراری)</t>
        </is>
      </c>
      <c r="C21" s="6" t="inlineStr">
        <is>
          <t>ممکن (آنلاین، بدون بیومتریک)</t>
        </is>
      </c>
      <c r="D21" s="6" t="inlineStr">
        <is>
          <t>متغیر (VAC تهران)</t>
        </is>
      </c>
      <c r="E21" s="6" t="inlineStr">
        <is>
          <t>ممکن (سفارت باز؛ ویزای D با نوبت)</t>
        </is>
      </c>
      <c r="F21" s="6" t="inlineStr">
        <is>
          <t>سخت (از باکو)</t>
        </is>
      </c>
      <c r="G21" s="6" t="inlineStr">
        <is>
          <t>تقریباً غیرممکن</t>
        </is>
      </c>
    </row>
    <row r="22">
      <c r="A22" s="7" t="inlineStr">
        <is>
          <t>★ امتیاز نهایی از ۳۰
(هزینه / انگلیسی / بازار)</t>
        </is>
      </c>
      <c r="B22" s="8" t="inlineStr">
        <is>
          <t>۲۲
(۱۰ / ۴ / ۸)</t>
        </is>
      </c>
      <c r="C22" s="8" t="inlineStr">
        <is>
          <t>۱۹
(۶ / ۸ / ۵)</t>
        </is>
      </c>
      <c r="D22" s="8" t="inlineStr">
        <is>
          <t>۱۹
(۵ / ۱۰ / ۴)</t>
        </is>
      </c>
      <c r="E22" s="8" t="inlineStr">
        <is>
          <t>۱۸
(۵ / ۶ / ۷)</t>
        </is>
      </c>
      <c r="F22" s="8" t="inlineStr">
        <is>
          <t>۱۸
(۲ / ۸ / ۸)</t>
        </is>
      </c>
      <c r="G22" s="8" t="inlineStr">
        <is>
          <t>۱۶
(۴ / ۶ / ۶)</t>
        </is>
      </c>
    </row>
    <row r="23">
      <c r="A23" s="5" t="inlineStr">
        <is>
          <t>حکم در یک جمله</t>
        </is>
      </c>
      <c r="B23" s="6" t="inlineStr">
        <is>
          <t>ارزان‌ترین و منطقی‌ترین — به شرط پذیرفتن آلمانی برای زندگی روزمره</t>
        </is>
      </c>
      <c r="C23" s="6" t="inlineStr">
        <is>
          <t>قابل قبول، مخصوصاً با بورس ۵۰٪؛ بازار ۲۰۲۴–۲۶ ضعیف</t>
        </is>
      </c>
      <c r="D23" s="6" t="inlineStr">
        <is>
          <t>تنها گزینهٔ ۱۰۰٪ انگلیسی و ۱ ساله — ولی گران و ماندن بعدش سخت</t>
        </is>
      </c>
      <c r="E23" s="6" t="inlineStr">
        <is>
          <t>بالاترین حقوق اروپا — ولی گران، ۶ ماه فرصت، پرریسک</t>
        </is>
      </c>
      <c r="F23" s="6" t="inlineStr">
        <is>
          <t>بازار انگلیسی‌دوست ولی خارج از بودجه</t>
        </is>
      </c>
      <c r="G23" s="6" t="inlineStr">
        <is>
          <t>ویزا از تهران عملاً بسته؛ حذف</t>
        </is>
      </c>
    </row>
    <row r="24"/>
    <row r="25">
      <c r="A25" s="3" t="inlineStr">
        <is>
          <t>ب) ۱۵ برنامهٔ مشخص — به ترتیب پیشنهاد من (۱ = اول این را بفرستید). سه ستون پول = شهریهٔ کل + زندگی کل = کل تا مدرک، بدون بورس</t>
        </is>
      </c>
    </row>
    <row r="26">
      <c r="A26" s="4" t="inlineStr">
        <is>
          <t>اولویت</t>
        </is>
      </c>
      <c r="B26" s="4" t="inlineStr">
        <is>
          <t>دانشگاه – شهر</t>
        </is>
      </c>
      <c r="C26" s="4" t="inlineStr">
        <is>
          <t>برنامه</t>
        </is>
      </c>
      <c r="D26" s="4" t="inlineStr">
        <is>
          <t>طول</t>
        </is>
      </c>
      <c r="E26" s="4" t="inlineStr">
        <is>
          <t>شهریهٔ کل دوره</t>
        </is>
      </c>
      <c r="F26" s="4" t="inlineStr">
        <is>
          <t>زندگی کل دوره</t>
        </is>
      </c>
      <c r="G26" s="4" t="inlineStr">
        <is>
          <t>★ کل تا مدرک</t>
        </is>
      </c>
      <c r="H26" s="4" t="inlineStr">
        <is>
          <t>مهلت برای ورودی ۲۰۲۷</t>
        </is>
      </c>
      <c r="I26" s="4" t="inlineStr">
        <is>
          <t>شانس</t>
        </is>
      </c>
      <c r="J26" s="4" t="inlineStr">
        <is>
          <t>خوابگاه</t>
        </is>
      </c>
      <c r="K26" s="4" t="inlineStr">
        <is>
          <t>چرا این؟</t>
        </is>
      </c>
    </row>
    <row r="27">
      <c r="A27" s="6" t="n">
        <v>1</v>
      </c>
      <c r="B27" s="9" t="inlineStr">
        <is>
          <t>Universität Stuttgart – Stuttgart</t>
        </is>
      </c>
      <c r="C27" s="9" t="inlineStr">
        <is>
          <t>M.Sc. Computer Science (انگلیسی، بدون NC)</t>
        </is>
      </c>
      <c r="D27" s="9" t="inlineStr">
        <is>
          <t>۲ سال</t>
        </is>
      </c>
      <c r="E27" s="9" t="inlineStr">
        <is>
          <t>$7,750</t>
        </is>
      </c>
      <c r="F27" s="9" t="inlineStr">
        <is>
          <t>$30–37k</t>
        </is>
      </c>
      <c r="G27" s="7" t="inlineStr">
        <is>
          <t>$38–45k</t>
        </is>
      </c>
      <c r="H27" s="9" t="inlineStr">
        <is>
          <t>۱۵ ژانویه ۲۰۲۷</t>
        </is>
      </c>
      <c r="I27" s="10" t="inlineStr">
        <is>
          <t>Target</t>
        </is>
      </c>
      <c r="J27" s="9" t="inlineStr">
        <is>
          <t>❌ صف ۶–۸ ماه؛ اتاق WG خصوصی $545–685</t>
        </is>
      </c>
      <c r="K27" s="9" t="inlineStr">
        <is>
          <t>ارزان، انگلیسی، بدون NC؛ Bosch / Mercedes / Porsche</t>
        </is>
      </c>
    </row>
    <row r="28">
      <c r="A28" s="6" t="n">
        <v>2</v>
      </c>
      <c r="B28" s="9" t="inlineStr">
        <is>
          <t>TU Darmstadt – Darmstadt</t>
        </is>
      </c>
      <c r="C28" s="9" t="inlineStr">
        <is>
          <t>M.Sc. Distributed Software Systems (انگلیسی)</t>
        </is>
      </c>
      <c r="D28" s="9" t="inlineStr">
        <is>
          <t>۲ سال</t>
        </is>
      </c>
      <c r="E28" s="9" t="inlineStr">
        <is>
          <t>$1,370</t>
        </is>
      </c>
      <c r="F28" s="9" t="inlineStr">
        <is>
          <t>$29–36k</t>
        </is>
      </c>
      <c r="G28" s="7" t="inlineStr">
        <is>
          <t>$30–37k</t>
        </is>
      </c>
      <c r="H28" s="9" t="inlineStr">
        <is>
          <t>≈ ۱۵ می – ۱۵ ژوئیه ۲۰۲۷ (چک شود)</t>
        </is>
      </c>
      <c r="I28" s="11" t="inlineStr">
        <is>
          <t>Target/Reach</t>
        </is>
      </c>
      <c r="J28" s="9" t="inlineStr">
        <is>
          <t>❌ لیست انتظار؛ WG $515–625</t>
        </is>
      </c>
      <c r="K28" s="9" t="inlineStr">
        <is>
          <t>تقریباً رایگان؛ ۲۵ دقیقه تا قطب مالی/IT فرانکفورت</t>
        </is>
      </c>
    </row>
    <row r="29">
      <c r="A29" s="6" t="n">
        <v>3</v>
      </c>
      <c r="B29" s="9" t="inlineStr">
        <is>
          <t>Saarland University (UdS) – Saarbrücken</t>
        </is>
      </c>
      <c r="C29" s="9" t="inlineStr">
        <is>
          <t>M.Sc. Data Science and Artificial Intelligence</t>
        </is>
      </c>
      <c r="D29" s="9" t="inlineStr">
        <is>
          <t>۲ سال</t>
        </is>
      </c>
      <c r="E29" s="9" t="inlineStr">
        <is>
          <t>$1,800</t>
        </is>
      </c>
      <c r="F29" s="9" t="inlineStr">
        <is>
          <t>$25–30k</t>
        </is>
      </c>
      <c r="G29" s="7" t="inlineStr">
        <is>
          <t>$26–32k</t>
        </is>
      </c>
      <c r="H29" s="9" t="inlineStr">
        <is>
          <t>≈ ۱۵ می – ۱۵ ژوئیه ۲۰۲۷ (چک شود)</t>
        </is>
      </c>
      <c r="I29" s="10" t="inlineStr">
        <is>
          <t>Target</t>
        </is>
      </c>
      <c r="J29" s="9" t="inlineStr">
        <is>
          <t>✅ نسبتاً آسان؛ خوابگاه $340–455</t>
        </is>
      </c>
      <c r="K29" s="9" t="inlineStr">
        <is>
          <t>AI کنار CISPA/DFKI؛ شهر ارزان؛ بدون NC</t>
        </is>
      </c>
    </row>
    <row r="30">
      <c r="A30" s="6" t="n">
        <v>4</v>
      </c>
      <c r="B30" s="9" t="inlineStr">
        <is>
          <t>Universität Passau – Passau</t>
        </is>
      </c>
      <c r="C30" s="9" t="inlineStr">
        <is>
          <t>M.Sc. Artificial Intelligence Engineering</t>
        </is>
      </c>
      <c r="D30" s="9" t="inlineStr">
        <is>
          <t>۲ سال</t>
        </is>
      </c>
      <c r="E30" s="9" t="inlineStr">
        <is>
          <t>$685</t>
        </is>
      </c>
      <c r="F30" s="9" t="inlineStr">
        <is>
          <t>$25–30k</t>
        </is>
      </c>
      <c r="G30" s="7" t="inlineStr">
        <is>
          <t>$25–31k</t>
        </is>
      </c>
      <c r="H30" s="9" t="inlineStr">
        <is>
          <t>۳۱ می ۲۰۲۷</t>
        </is>
      </c>
      <c r="I30" s="12" t="inlineStr">
        <is>
          <t>Safe</t>
        </is>
      </c>
      <c r="J30" s="9" t="inlineStr">
        <is>
          <t>✅ آسان؛ خوابگاه $285–400</t>
        </is>
      </c>
      <c r="K30" s="9" t="inlineStr">
        <is>
          <t>گزینهٔ امن آلمان (معدل آلمانی شما ۲.۳ ≤ ۲.۷ ✓)؛ آلمانی A1 در سال اول اجباری</t>
        </is>
      </c>
    </row>
    <row r="31">
      <c r="A31" s="6" t="n">
        <v>5</v>
      </c>
      <c r="B31" s="9" t="inlineStr">
        <is>
          <t>Blekinge Institute of Technology (BTH) – Karlskrona</t>
        </is>
      </c>
      <c r="C31" s="9" t="inlineStr">
        <is>
          <t>MSc Software Engineering (120 cr)</t>
        </is>
      </c>
      <c r="D31" s="9" t="inlineStr">
        <is>
          <t>۲ سال</t>
        </is>
      </c>
      <c r="E31" s="9" t="inlineStr">
        <is>
          <t>$28,300</t>
        </is>
      </c>
      <c r="F31" s="9" t="inlineStr">
        <is>
          <t>$23–28k</t>
        </is>
      </c>
      <c r="G31" s="7" t="inlineStr">
        <is>
          <t>$51–56k</t>
        </is>
      </c>
      <c r="H31" s="9" t="inlineStr">
        <is>
          <t>۱۵ ژانویه ۲۰۲۷</t>
        </is>
      </c>
      <c r="I31" s="13" t="inlineStr">
        <is>
          <t>Safe/Target</t>
        </is>
      </c>
      <c r="J31" s="9" t="inlineStr">
        <is>
          <t>✅ نسبتاً آسان؛ $355–505</t>
        </is>
      </c>
      <c r="K31" s="9" t="inlineStr">
        <is>
          <t>ارزان‌ترین سوئد؛ Ericsson؛ ۱۰۰٪ انگلیسی</t>
        </is>
      </c>
    </row>
    <row r="32">
      <c r="A32" s="6" t="n">
        <v>6</v>
      </c>
      <c r="B32" s="9" t="inlineStr">
        <is>
          <t>Linköping University (LiU) – Linköping</t>
        </is>
      </c>
      <c r="C32" s="9" t="inlineStr">
        <is>
          <t>MSc Computer Science</t>
        </is>
      </c>
      <c r="D32" s="9" t="inlineStr">
        <is>
          <t>۲ سال</t>
        </is>
      </c>
      <c r="E32" s="9" t="inlineStr">
        <is>
          <t>$33,500</t>
        </is>
      </c>
      <c r="F32" s="9" t="inlineStr">
        <is>
          <t>$25–30k</t>
        </is>
      </c>
      <c r="G32" s="7" t="inlineStr">
        <is>
          <t>$59–64k</t>
        </is>
      </c>
      <c r="H32" s="9" t="inlineStr">
        <is>
          <t>۱۵ ژانویه ۲۰۲۷</t>
        </is>
      </c>
      <c r="I32" s="10" t="inlineStr">
        <is>
          <t>Target</t>
        </is>
      </c>
      <c r="J32" s="9" t="inlineStr">
        <is>
          <t>✅ یک پیشنهاد اتاق برای سال اول؛ $405–605</t>
        </is>
      </c>
      <c r="K32" s="9" t="inlineStr">
        <is>
          <t>معتبرترین سوئدِ در دسترس؛ بورس ۵۰٪ فقط با معدل بالاتر</t>
        </is>
      </c>
    </row>
    <row r="33">
      <c r="A33" s="6" t="n">
        <v>7</v>
      </c>
      <c r="B33" s="9" t="inlineStr">
        <is>
          <t>University of Neuchâtel – Neuchâtel</t>
        </is>
      </c>
      <c r="C33" s="9" t="inlineStr">
        <is>
          <t>Swiss Joint MSc Computer Science (ثبت‌نام در Neuchâtel)</t>
        </is>
      </c>
      <c r="D33" s="9" t="inlineStr">
        <is>
          <t>۱.۵ سال</t>
        </is>
      </c>
      <c r="E33" s="9" t="inlineStr">
        <is>
          <t>$2,870</t>
        </is>
      </c>
      <c r="F33" s="9" t="inlineStr">
        <is>
          <t>$29–38k</t>
        </is>
      </c>
      <c r="G33" s="7" t="inlineStr">
        <is>
          <t>$32–41k</t>
        </is>
      </c>
      <c r="H33" s="9" t="inlineStr">
        <is>
          <t>۳۱ مارس ۲۰۲۷ (خارجی‌ها)</t>
        </is>
      </c>
      <c r="I33" s="10" t="inlineStr">
        <is>
          <t>Target</t>
        </is>
      </c>
      <c r="J33" s="9" t="inlineStr">
        <is>
          <t>✅ آسان؛ $545–970</t>
        </is>
      </c>
      <c r="K33" s="9" t="inlineStr">
        <is>
          <t>ارزان‌ترین سوئیس؛ بدون آزمون زبان؛ ۱.۵ سال؛ تنها گزینهٔ سوئیسی داخل بودجه</t>
        </is>
      </c>
    </row>
    <row r="34">
      <c r="A34" s="6" t="n">
        <v>8</v>
      </c>
      <c r="B34" s="9" t="inlineStr">
        <is>
          <t>University of Fribourg – Fribourg</t>
        </is>
      </c>
      <c r="C34" s="9" t="inlineStr">
        <is>
          <t>Swiss Joint MSc Computer Science (ثبت‌نام در Fribourg)</t>
        </is>
      </c>
      <c r="D34" s="9" t="inlineStr">
        <is>
          <t>۱.۵ سال</t>
        </is>
      </c>
      <c r="E34" s="9" t="inlineStr">
        <is>
          <t>$3,580</t>
        </is>
      </c>
      <c r="F34" s="9" t="inlineStr">
        <is>
          <t>$32–39k</t>
        </is>
      </c>
      <c r="G34" s="7" t="inlineStr">
        <is>
          <t>$35–43k</t>
        </is>
      </c>
      <c r="H34" s="9" t="inlineStr">
        <is>
          <t>۲۸ فوریه ۲۰۲۷ (ویزایی‌ها)</t>
        </is>
      </c>
      <c r="I34" s="10" t="inlineStr">
        <is>
          <t>Target</t>
        </is>
      </c>
      <c r="J34" s="9" t="inlineStr">
        <is>
          <t>✅ آسان؛ $545–970</t>
        </is>
      </c>
      <c r="K34" s="9" t="inlineStr">
        <is>
          <t>همان مدرک مشترک؛ مهلت زودتر</t>
        </is>
      </c>
    </row>
    <row r="35">
      <c r="A35" s="6" t="n">
        <v>9</v>
      </c>
      <c r="B35" s="9" t="inlineStr">
        <is>
          <t>Hochschule Luzern (HSLU) – Lucerne / Luzern</t>
        </is>
      </c>
      <c r="C35" s="9" t="inlineStr">
        <is>
          <t>MSc Applied Data Science and AI (نام جدید از اوت ۲۰۲۶؛ قبلاً Applied Information and Data Science)</t>
        </is>
      </c>
      <c r="D35" s="9" t="inlineStr">
        <is>
          <t>۲ سال</t>
        </is>
      </c>
      <c r="E35" s="9" t="inlineStr">
        <is>
          <t>$7,620</t>
        </is>
      </c>
      <c r="F35" s="9" t="inlineStr">
        <is>
          <t>$45–57k</t>
        </is>
      </c>
      <c r="G35" s="7" t="inlineStr">
        <is>
          <t>$53–64k</t>
        </is>
      </c>
      <c r="H35" s="9" t="inlineStr">
        <is>
          <t>۱ آوریل ۲۰۲۷</t>
        </is>
      </c>
      <c r="I35" s="13" t="inlineStr">
        <is>
          <t>Safe/Target</t>
        </is>
      </c>
      <c r="J35" s="9" t="inlineStr">
        <is>
          <t>✅ نسبتاً آسان؛ $605–970</t>
        </is>
      </c>
      <c r="K35" s="9" t="inlineStr">
        <is>
          <t>هر کارشناسی را می‌پذیرد؛ ۴۵ دقیقه تا زوریخ؛ داده/AI کاربردی</t>
        </is>
      </c>
    </row>
    <row r="36">
      <c r="A36" s="6" t="n">
        <v>10</v>
      </c>
      <c r="B36" s="9" t="inlineStr">
        <is>
          <t>USI – Università della Svizzera italiana – Lugano</t>
        </is>
      </c>
      <c r="C36" s="9" t="inlineStr">
        <is>
          <t>MSc Artificial Intelligence (با IDSIA)</t>
        </is>
      </c>
      <c r="D36" s="9" t="inlineStr">
        <is>
          <t>۲ سال</t>
        </is>
      </c>
      <c r="E36" s="9" t="inlineStr">
        <is>
          <t>$19,400</t>
        </is>
      </c>
      <c r="F36" s="9" t="inlineStr">
        <is>
          <t>$41–52k</t>
        </is>
      </c>
      <c r="G36" s="7" t="inlineStr">
        <is>
          <t>$60–72k</t>
        </is>
      </c>
      <c r="H36" s="9" t="inlineStr">
        <is>
          <t>۳۰ آوریل ۲۰۲۷</t>
        </is>
      </c>
      <c r="I36" s="10" t="inlineStr">
        <is>
          <t>Target</t>
        </is>
      </c>
      <c r="J36" s="9" t="inlineStr">
        <is>
          <t>✅ آسان؛ $545–845</t>
        </is>
      </c>
      <c r="K36" s="9" t="inlineStr">
        <is>
          <t>AI با IDSIA؛ ورود با B2؛ بورس $4,840 مرزی</t>
        </is>
      </c>
    </row>
    <row r="37">
      <c r="A37" s="6" t="n">
        <v>11</v>
      </c>
      <c r="B37" s="9" t="inlineStr">
        <is>
          <t>Teesside University – Middlesbrough</t>
        </is>
      </c>
      <c r="C37" s="9" t="inlineStr">
        <is>
          <t>MSc Computer Science</t>
        </is>
      </c>
      <c r="D37" s="9" t="inlineStr">
        <is>
          <t>۱ سال</t>
        </is>
      </c>
      <c r="E37" s="9" t="inlineStr">
        <is>
          <t>$22,500</t>
        </is>
      </c>
      <c r="F37" s="9" t="inlineStr">
        <is>
          <t>$15–18k</t>
        </is>
      </c>
      <c r="G37" s="7" t="inlineStr">
        <is>
          <t>$38–41k</t>
        </is>
      </c>
      <c r="H37" s="9" t="inlineStr">
        <is>
          <t>rolling — تا ژوئن ۲۰۲۷</t>
        </is>
      </c>
      <c r="I37" s="12" t="inlineStr">
        <is>
          <t>Safe</t>
        </is>
      </c>
      <c r="J37" s="9" t="inlineStr">
        <is>
          <t>✅ احتمالاً (تأیید نشده)؛ $115–210/هفته</t>
        </is>
      </c>
      <c r="K37" s="9" t="inlineStr">
        <is>
          <t>ارزان‌ترین انگلستان؛ ۱ سال؛ بورس $2,650</t>
        </is>
      </c>
    </row>
    <row r="38">
      <c r="A38" s="6" t="n">
        <v>12</v>
      </c>
      <c r="B38" s="9" t="inlineStr">
        <is>
          <t>Northumbria University – Newcastle upon Tyne</t>
        </is>
      </c>
      <c r="C38" s="9" t="inlineStr">
        <is>
          <t>MSc Advanced Computer Science</t>
        </is>
      </c>
      <c r="D38" s="9" t="inlineStr">
        <is>
          <t>۱ سال</t>
        </is>
      </c>
      <c r="E38" s="9" t="inlineStr">
        <is>
          <t>$28,500</t>
        </is>
      </c>
      <c r="F38" s="9" t="inlineStr">
        <is>
          <t>$15–20k</t>
        </is>
      </c>
      <c r="G38" s="7" t="inlineStr">
        <is>
          <t>$44–48k</t>
        </is>
      </c>
      <c r="H38" s="9" t="inlineStr">
        <is>
          <t>rolling — تا ژوئن ۲۰۲۷</t>
        </is>
      </c>
      <c r="I38" s="12" t="inlineStr">
        <is>
          <t>Safe</t>
        </is>
      </c>
      <c r="J38" s="9" t="inlineStr">
        <is>
          <t>✅ احتمالاً (تأیید نشده)؛ $125–210/هفته</t>
        </is>
      </c>
      <c r="K38" s="9" t="inlineStr">
        <is>
          <t>شهر دانشجویی ارزان؛ رتبهٔ بهتر از Teesside</t>
        </is>
      </c>
    </row>
    <row r="39">
      <c r="A39" s="6" t="n">
        <v>13</v>
      </c>
      <c r="B39" s="9" t="inlineStr">
        <is>
          <t>University of Essex – Colchester</t>
        </is>
      </c>
      <c r="C39" s="9" t="inlineStr">
        <is>
          <t>MSc Advanced Computer Science</t>
        </is>
      </c>
      <c r="D39" s="9" t="inlineStr">
        <is>
          <t>۱ سال</t>
        </is>
      </c>
      <c r="E39" s="9" t="inlineStr">
        <is>
          <t>$32,700</t>
        </is>
      </c>
      <c r="F39" s="9" t="inlineStr">
        <is>
          <t>$16–21k</t>
        </is>
      </c>
      <c r="G39" s="7" t="inlineStr">
        <is>
          <t>$49–54k</t>
        </is>
      </c>
      <c r="H39" s="9" t="inlineStr">
        <is>
          <t>rolling — تا ژوئن ۲۰۲۷</t>
        </is>
      </c>
      <c r="I39" s="13" t="inlineStr">
        <is>
          <t>Safe/Target</t>
        </is>
      </c>
      <c r="J39" s="9" t="inlineStr">
        <is>
          <t>✅ تضمین برای کل دوره؛ $225–265/هفته</t>
        </is>
      </c>
      <c r="K39" s="9" t="inlineStr">
        <is>
          <t>بورس خودکار $5,960 برای ایران (≥ ۱۴/۲۰) → کل واقعی ≈ $5,960 کمتر؛ ۵۰ دقیقه تا لندن</t>
        </is>
      </c>
    </row>
    <row r="40">
      <c r="A40" s="6" t="n">
        <v>14</v>
      </c>
      <c r="B40" s="14" t="inlineStr">
        <is>
          <t>University of Twente (UT) – Enschede</t>
        </is>
      </c>
      <c r="C40" s="9" t="inlineStr">
        <is>
          <t>MSc Computer Science (گرایش‌ها: Cyber Security، Data Science، Software Tech، ...)</t>
        </is>
      </c>
      <c r="D40" s="9" t="inlineStr">
        <is>
          <t>۲ سال</t>
        </is>
      </c>
      <c r="E40" s="9" t="inlineStr">
        <is>
          <t>$49,500</t>
        </is>
      </c>
      <c r="F40" s="9" t="inlineStr">
        <is>
          <t>$27–36k</t>
        </is>
      </c>
      <c r="G40" s="7" t="inlineStr">
        <is>
          <t>$77–85k</t>
        </is>
      </c>
      <c r="H40" s="9" t="inlineStr">
        <is>
          <t>۱ می ۲۰۲۷</t>
        </is>
      </c>
      <c r="I40" s="10" t="inlineStr">
        <is>
          <t>Target</t>
        </is>
      </c>
      <c r="J40" s="9" t="inlineStr">
        <is>
          <t>⚠️ Roomspot، اول‌آمده‌اول‌گرفته؛ $340–910</t>
        </is>
      </c>
      <c r="K40" s="14" t="inlineStr">
        <is>
          <t>بهترین برای «فقط انگلیسی» — ولی خارج از بودجه</t>
        </is>
      </c>
    </row>
    <row r="41">
      <c r="A41" s="6" t="n">
        <v>15</v>
      </c>
      <c r="B41" s="14" t="inlineStr">
        <is>
          <t>Aalborg University (AAU) – Aalborg</t>
        </is>
      </c>
      <c r="C41" s="9" t="inlineStr">
        <is>
          <t>MSc Computer Science (IT)</t>
        </is>
      </c>
      <c r="D41" s="9" t="inlineStr">
        <is>
          <t>۲ سال</t>
        </is>
      </c>
      <c r="E41" s="9" t="inlineStr">
        <is>
          <t>$34,000–35,000</t>
        </is>
      </c>
      <c r="F41" s="9" t="inlineStr">
        <is>
          <t>$29–35k</t>
        </is>
      </c>
      <c r="G41" s="7" t="inlineStr">
        <is>
          <t>$63–70k</t>
        </is>
      </c>
      <c r="H41" s="9" t="inlineStr">
        <is>
          <t>۱۵ ژانویه ۲۰۲۷</t>
        </is>
      </c>
      <c r="I41" s="10" t="inlineStr">
        <is>
          <t>Target</t>
        </is>
      </c>
      <c r="J41" s="9" t="inlineStr">
        <is>
          <t>✅ تقریباً تضمین؛ $490–720</t>
        </is>
      </c>
      <c r="K41" s="14" t="inlineStr">
        <is>
          <t>۳ سال اجازهٔ کاریابی — ولی ویزا از تهران تقریباً غیرممکن</t>
        </is>
      </c>
    </row>
    <row r="42" ht="40" customHeight="1">
      <c r="A42" s="2" t="inlineStr">
        <is>
          <t>روش محاسبهٔ سه ستون پول: شهریهٔ سالانه × طول دوره + هزینهٔ زندگی همان شهر (اجاره، خوراک، رفت‌وآمد، بیمه) × ماه‌های دوره — همان ستون «کل هزینهٔ دوره» در شیت «برنامه‌ها». بدون بورس، بدون بلیت/ویزا/ودیعه. بازه‌های کشوری جدول بالا از جدول اصلی می‌آیند و کمی محافظه‌کارانه‌ترند؛ اختلاف چند هزار دلاری بین دو جدول طبیعی است.</t>
        </is>
      </c>
    </row>
    <row r="43"/>
    <row r="44">
      <c r="A44" s="3" t="inlineStr">
        <is>
          <t>پ) نتیجه در ۵ خط</t>
        </is>
      </c>
    </row>
    <row r="45" ht="40" customHeight="1">
      <c r="A45" s="15" t="inlineStr">
        <is>
          <t>۱) ارزان‌ترین و منطقی‌ترین مسیر: آلمان — Stuttgart یا Darmstadt به‌علاوهٔ یک گزینهٔ امن (Passau / Saarland). کل هزینه تا مدرک $25–45k بسته به شهر (Passau/Saarland $25–32k، Darmstadt $30–37k، Stuttgart $38–45k) — یعنی حدود بودجهٔ یک سال شما. بهایش: برای زندگی روزمره و نیمی از بازار کار باید آلمانی یاد بگیرید (خودِ تحصیل و کار فنی انگلیسی است).</t>
        </is>
      </c>
    </row>
    <row r="46" ht="40" customHeight="1">
      <c r="A46" s="15" t="inlineStr">
        <is>
          <t>۲) اگر «فقط انگلیسی» شرط مطلق است: انگلستان — Teesside / Northumbria / Essex: ۱ سال، $38–48k، پذیرش تقریباً قطعی؛ ولی حقوق شروع پایین‌ترین جدول است و ماندن بعد از ۱۸ ماه به اسپانسری با حقوق $50,700+ نیاز دارد.</t>
        </is>
      </c>
    </row>
    <row r="47" ht="40" customHeight="1">
      <c r="A47" s="15" t="inlineStr">
        <is>
          <t>۳) بهترین حقوق: سوئیس — ولی زندگی گران، فقط ۶ ماه فرصت کاریابی و بازار گزینشی. تنها گزینهٔ سوئیسیِ داخل بودجه، Joint MSc در Neuchâtel / Fribourg است ($35–47k، بدون آزمون زبان)؛ USI و HSLU فقط با پس‌انداز بیشتر.</t>
        </is>
      </c>
    </row>
    <row r="48" ht="40" customHeight="1">
      <c r="A48" s="15" t="inlineStr">
        <is>
          <t>۴) کنار بگذارید: هلند (بازار عالی ولی $75–90k و کسری هر سال) و دانمارک (ویزا از تهران عملاً غیرممکن + $63–76k). سوئد فقط با BTH / Halmstad یا بورس ۵۰٪.</t>
        </is>
      </c>
    </row>
    <row r="49" ht="40" customHeight="1">
      <c r="A49" s="15" t="inlineStr">
        <is>
          <t>۵) توصیهٔ نهایی: ۷–۸ درخواست — ۳ آلمان (Stuttgart، Darmstadt یا Saarland، Passau) + ۲ سوئیس (Neuchâtel/Fribourg + HSLU یا USI) + ۲ انگلستان (Teesside یا Northumbria + Essex) + ۱ سوئد (BTH). انتخاب نهایی را پذیرش‌ها، بورس و وضعیت سفارت‌ها در بهار ۲۰۲۷ مشخص می‌کند.</t>
        </is>
      </c>
    </row>
    <row r="50"/>
    <row r="51">
      <c r="A51" s="3" t="inlineStr">
        <is>
          <t>ت) چهار قدم بعدی</t>
        </is>
      </c>
    </row>
    <row r="52" ht="34" customHeight="1">
      <c r="A52" s="15" t="inlineStr">
        <is>
          <t>اکتبر – دسامبر ۲۰۲۶: تکلیف نظام‌وظیفه · رزرو IELTS Academic خارج از ایران (استانبول / ایروان / دبی؛ هدف ۷.۰) و گرفتن آن تا دسامبر · ترجمهٔ رسمی ریزنمرات و دانشنامه.</t>
        </is>
      </c>
    </row>
    <row r="53" ht="34" customHeight="1">
      <c r="A53" s="15" t="inlineStr">
        <is>
          <t>۱۵ ژانویه ۲۰۲۷: مهلت Stuttgart و سوئد (BTH / LiU) — اولین مهلت واقعی شما.</t>
        </is>
      </c>
    </row>
    <row r="54" ht="34" customHeight="1">
      <c r="A54" s="15" t="inlineStr">
        <is>
          <t>۲۸ فوریه – ۳۱ می ۲۰۲۷: Fribourg (۲۸ فوریه) · Neuchâtel (۳۱ مارس) · HSLU (۱ آوریل) · USI (۳۰ آوریل) · Passau (۳۱ می) · Darmstadt / Saarland (می – ژوئیه) · انگلستان rolling (تا ژوئن).</t>
        </is>
      </c>
    </row>
    <row r="55" ht="34" customHeight="1">
      <c r="A55" s="15" t="inlineStr">
        <is>
          <t>می – ژوئیه ۲۰۲۷: پول سال اول نقد و قابل انتقال (آلمان حساب مسدود $13,600 · سوئیس $25,400 · انگلستان ۹ × $1,590 + شهریه) → وقت سفارت، یا برنامهٔ B از ترکیه / ارمنستان.</t>
        </is>
      </c>
    </row>
    <row r="56"/>
    <row r="57">
      <c r="A57" s="3" t="inlineStr">
        <is>
          <t>ث) بقیهٔ فایل</t>
        </is>
      </c>
    </row>
    <row r="58" ht="44" customHeight="1">
      <c r="A58" s="15"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18">
    <mergeCell ref="A58:K58"/>
    <mergeCell ref="A53:K53"/>
    <mergeCell ref="A4:K4"/>
    <mergeCell ref="A48:K48"/>
    <mergeCell ref="A54:K54"/>
    <mergeCell ref="A55:K55"/>
    <mergeCell ref="A25:K25"/>
    <mergeCell ref="A57:K57"/>
    <mergeCell ref="A2:K2"/>
    <mergeCell ref="A45:K45"/>
    <mergeCell ref="A49:K49"/>
    <mergeCell ref="A47:K47"/>
    <mergeCell ref="A42:K42"/>
    <mergeCell ref="A46:K46"/>
    <mergeCell ref="A51:K51"/>
    <mergeCell ref="A52:K52"/>
    <mergeCell ref="A44:K44"/>
    <mergeCell ref="A1:K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9"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9" t="inlineStr">
        <is>
          <t>Twente (Enschede) – MSc Computer Science (حداقل رسمی برای مدرک ایرانی: ۱۵/۲۰) → Target
Radboud (Nijmegen) – MSc Computing Science → Target
(هر دو روی واحدهای ریاضی/الگوریتم/CS نظری در ریزنمرات حساس‌اند)</t>
        </is>
      </c>
      <c r="E2" s="9"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9"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9"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9"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16"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9" t="inlineStr">
        <is>
          <t>TU Dresden 185 · FAU 218 · TU Darmstadt 250 · Stuttgart 318</t>
        </is>
      </c>
      <c r="D3" s="9" t="inlineStr">
        <is>
          <t>Twente =223 · Radboud =283</t>
        </is>
      </c>
      <c r="E3" s="9" t="inlineStr">
        <is>
          <t>Linköping 308 · BTH و Halmstad در QS رتبه ندارند</t>
        </is>
      </c>
      <c r="F3" s="9" t="inlineStr">
        <is>
          <t>SDU =283 · Aalborg =329</t>
        </is>
      </c>
      <c r="G3" s="9" t="inlineStr">
        <is>
          <t>ETH Zürich =8 · EPFL =22 · UZH =98 · Basel =150 · Bern =191 · USI =456 · Fribourg =670 · ZHAW 851–900 · HSLU رتبه ندارد</t>
        </is>
      </c>
      <c r="H3" s="9" t="inlineStr">
        <is>
          <t>Newcastle 149 · York =158 · Leicester =314 · Brunel 353 · Essex =438 · Northumbria =528 · Teesside در فهرست اصلی QS نیست (THE 601–800)</t>
        </is>
      </c>
      <c r="I3" s="16" t="inlineStr">
        <is>
          <t>topuniversities.com (QS WUR 2027)؛ utwente.nl/rankings</t>
        </is>
      </c>
    </row>
    <row r="4">
      <c r="A4" s="6" t="inlineStr">
        <is>
          <t>۳</t>
        </is>
      </c>
      <c r="B4" s="5" t="inlineStr">
        <is>
          <t>طول دوره ارشد</t>
        </is>
      </c>
      <c r="C4" s="9" t="inlineStr">
        <is>
          <t>۲ سال (120 ECTS)</t>
        </is>
      </c>
      <c r="D4" s="9" t="inlineStr">
        <is>
          <t>۲ سال (120 ECTS)</t>
        </is>
      </c>
      <c r="E4" s="9" t="inlineStr">
        <is>
          <t>۲ سال (120 ECTS) — گزینه یک‌ساله حضوری معتبر ندارد</t>
        </is>
      </c>
      <c r="F4" s="9" t="inlineStr">
        <is>
          <t>۲ سال (120 ECTS)</t>
        </is>
      </c>
      <c r="G4" s="9" t="inlineStr">
        <is>
          <t>۱.۵ سال (90 ECTS: Neuchâtel/Fribourg/Bern/UZH/Basel/ZHAW) یا ۲ سال (120 ECTS: ETH، EPFL، USI، HSLU)</t>
        </is>
      </c>
      <c r="H4" s="9" t="inlineStr">
        <is>
          <t>۱ سال (۱۲ ماه)</t>
        </is>
      </c>
      <c r="I4" s="16" t="inlineStr">
        <is>
          <t>سایت برنامه‌ها</t>
        </is>
      </c>
    </row>
    <row r="5">
      <c r="A5" s="6" t="inlineStr">
        <is>
          <t>۴</t>
        </is>
      </c>
      <c r="B5" s="5" t="inlineStr">
        <is>
          <t>شهریهٔ سالانه رسمی بدون بورس (2026/27) — جزئیات هر دانشگاه</t>
        </is>
      </c>
      <c r="C5" s="9"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9" t="inlineStr">
        <is>
          <t>Twente: $24,700
Radboud: $22,500 (2026/27، رسمی)</t>
        </is>
      </c>
      <c r="E5" s="9" t="inlineStr">
        <is>
          <t>Linköping: $16,800
Halmstad: ≈ $15,300
BTH: $14,100 ($7,070 در ترم)</t>
        </is>
      </c>
      <c r="F5" s="9" t="inlineStr">
        <is>
          <t>AAU: ≈ $17,000 (2025/26: $8,500 در ترم؛ نرخ ۲۰۲۶ هنوز روی سایت AAU نیست)
SDU: $19,700 (نرخ رسمی برای ورودی سپتامبر ۲۰۲۶ به بعد — رقم قدیمی $15,800 دیگر معتبر نیست)</t>
        </is>
      </c>
      <c r="G5" s="9"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9"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16"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9" t="inlineStr">
        <is>
          <t>$350–900 (Stuttgart ≈ $3,400؛ FAU از ۲۰۲۷ ≈ $9,300)</t>
        </is>
      </c>
      <c r="D6" s="9" t="inlineStr">
        <is>
          <t>$22,500–24,700</t>
        </is>
      </c>
      <c r="E6" s="9" t="inlineStr">
        <is>
          <t>$14,100–16,800</t>
        </is>
      </c>
      <c r="F6" s="9" t="inlineStr">
        <is>
          <t>$17,000–19,700</t>
        </is>
      </c>
      <c r="G6" s="9" t="inlineStr">
        <is>
          <t>$1,900–2,400 (Neuchâtel/Basel/UZH/Fribourg) · ≈ $3,100–3,800 (ZHAW/HSLU) · ≈ $5,400–5,500 (ETH/EPFL) · ≈ $6,300 (Bern، از پاییز ۲۰۲۶) · $9,700 (USI) — ارزان‌ترین بعد از آلمان</t>
        </is>
      </c>
      <c r="H6" s="9" t="inlineStr">
        <is>
          <t>$22,500–43,600 (Teesside $22,500 · Northumbria $28,500 · Leicester/Essex/Brunel ≈ $32,100–32,900 · York $43,600)</t>
        </is>
      </c>
      <c r="I6" s="16"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9"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9"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9"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9"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9"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9"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16"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9" t="inlineStr">
        <is>
          <t>$1,080–1,420 (Dresden/Erlangen ارزان‌تر؛ Stuttgart/Darmstadt گران‌تر)
حداقل حساب مسدود: $1,130/ماه</t>
        </is>
      </c>
      <c r="D8" s="9" t="inlineStr">
        <is>
          <t>$1,250–1,710 در Enschede/Nijmegen
حداقل IND: $1,290/ماه</t>
        </is>
      </c>
      <c r="E8" s="9" t="inlineStr">
        <is>
          <t>$1,080–1,310
حداقل Migrationsverket: $1,080/ماه</t>
        </is>
      </c>
      <c r="F8" s="9" t="inlineStr">
        <is>
          <t>$1,220–1,530 در Aalborg/Odense
حداقل SIRI: $1,130/ماه</t>
        </is>
      </c>
      <c r="G8" s="9"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9" t="inlineStr">
        <is>
          <t>شمال انگلستان (Middlesbrough/Newcastle): $1,260–1,660
Leicester/Colchester/York: $1,330–1,790
London (Brunel): $1,860–2,390
حداقل ویزا: $1,550 / $2,030 در ماه (× ۹)؛ از ۳۰ نوامبر ۲۰۲۶: $1,590 / $2,080</t>
        </is>
      </c>
      <c r="I8" s="16" t="inlineStr">
        <is>
          <t>make-it-in-germany.com؛ ind.nl؛ migrationsverket.se؛ nyidanmark.dk؛ sem.admin.ch؛ gov.uk (HC 584)</t>
        </is>
      </c>
    </row>
    <row r="9">
      <c r="A9" s="6" t="inlineStr">
        <is>
          <t>۷</t>
        </is>
      </c>
      <c r="B9" s="5" t="inlineStr">
        <is>
          <t>هزینه سال اول = شهریه + ۱۲ ماه زندگی (دلار)</t>
        </is>
      </c>
      <c r="C9" s="9" t="inlineStr">
        <is>
          <t>$13,000–18,000 (Stuttgart تا $22,500؛ FAU از ۲۰۲۷ تا ≈ $26,000)</t>
        </is>
      </c>
      <c r="D9" s="9" t="inlineStr">
        <is>
          <t>$37,500–45,000</t>
        </is>
      </c>
      <c r="E9" s="9" t="inlineStr">
        <is>
          <t>$27,000–32,500</t>
        </is>
      </c>
      <c r="F9" s="9" t="inlineStr">
        <is>
          <t>$31,500–38,000</t>
        </is>
      </c>
      <c r="G9" s="9" t="inlineStr">
        <is>
          <t>$23,000–42,000 (Neuchâtel/Fribourg $23–31k · Lucerne $26–32k · Bern $27–35k · Lugano/Lausanne $30–37k · Zürich $30–42k)</t>
        </is>
      </c>
      <c r="H9" s="9" t="inlineStr">
        <is>
          <t>$38,000–65,000 (Teesside $38–42k · Northumbria $44–48k · Leicester/Essex $48–54k · Brunel/London $55–61k · York $60–65k)</t>
        </is>
      </c>
      <c r="I9" s="16"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9" t="inlineStr">
        <is>
          <t>$27,000–36,000 (۲ سال؛ Stuttgart تا $45,000؛ FAU از ۲۰۲۷ تا ≈ $53,000) — ارزان‌ترین</t>
        </is>
      </c>
      <c r="D10" s="9" t="inlineStr">
        <is>
          <t>$75,000–90,000 (۲ سال) — گران‌ترین</t>
        </is>
      </c>
      <c r="E10" s="9" t="inlineStr">
        <is>
          <t>$54,000–65,000 (۲ سال)</t>
        </is>
      </c>
      <c r="F10" s="9" t="inlineStr">
        <is>
          <t>$63,000–76,000 (۲ سال)</t>
        </is>
      </c>
      <c r="G10" s="9" t="inlineStr">
        <is>
          <t>$35,000–84,000 (Neuchâtel/Fribourg ۱.۵ سال $35–47k · Bern $39–51k · UZH $45–58k · HSLU $53–64k · USI/EPFL $60–75k · ETH $66–84k) — بعد از هلند گران‌ترین؛ شهریه ناچیز است، هزینهٔ زندگی همه‌چیز را تعیین می‌کند</t>
        </is>
      </c>
      <c r="H10" s="9" t="inlineStr">
        <is>
          <t>$38,000–65,000 (۱ سال)</t>
        </is>
      </c>
      <c r="I10" s="16" t="inlineStr">
        <is>
          <t>محاسبه؛ جدول اول فقط سال اول را مقایسه کرده بود</t>
        </is>
      </c>
    </row>
    <row r="11">
      <c r="A11" s="6" t="inlineStr">
        <is>
          <t>۹</t>
        </is>
      </c>
      <c r="B11" s="5" t="inlineStr">
        <is>
          <t>سازگاری با بودجه $32,000 در سال</t>
        </is>
      </c>
      <c r="C11" s="9" t="inlineStr">
        <is>
          <t>✅ کاملاً (حتی Stuttgart)</t>
        </is>
      </c>
      <c r="D11" s="9" t="inlineStr">
        <is>
          <t>❌ کسری $5,500–13,000 در هر سال</t>
        </is>
      </c>
      <c r="E11" s="9" t="inlineStr">
        <is>
          <t>✅ (Linköping دقیقاً مرزی)</t>
        </is>
      </c>
      <c r="F11" s="9" t="inlineStr">
        <is>
          <t>⚠️ مرزی؛ AAU تقریباً در بودجه، SDU کسری تا ≈ $6,000 در سال</t>
        </is>
      </c>
      <c r="G11" s="9" t="inlineStr">
        <is>
          <t>⚠️ فقط Neuchâtel/Fribourg (و با صرفه‌جویی Lucerne/Lugano) در بودجه؛ Zürich/Lausanne کسری $1,000–10,000 در سال؛ کار دانشجویی در ۶ ماه اول ممنوع → سال اول تماماً از جیب</t>
        </is>
      </c>
      <c r="H11" s="9" t="inlineStr">
        <is>
          <t>❌ کسری $6,000–33,000 (کمترین: Teesside ≈ $6–10k؛ Northumbria ≈ $12–16k)</t>
        </is>
      </c>
      <c r="I11" s="16" t="inlineStr">
        <is>
          <t>محاسبه از ردیف ۷</t>
        </is>
      </c>
    </row>
    <row r="12">
      <c r="A12" s="6" t="inlineStr">
        <is>
          <t>۱۰</t>
        </is>
      </c>
      <c r="B12" s="5" t="inlineStr">
        <is>
          <t>مسکن در بدو ورود</t>
        </is>
      </c>
      <c r="C12" s="9" t="inlineStr">
        <is>
          <t>خوابگاه Studierendenwerk با لیست انتظار؛ Stuttgart و Darmstadt سخت، Dresden و Erlangen آسان‌تر. بلافاصله بعد از پذیرش ثبت‌نام کنید.</t>
        </is>
      </c>
      <c r="D12" s="9" t="inlineStr">
        <is>
          <t>کمبود شدید ملی؛ ولی Twente (کمپوس) و Radboud/SSH&amp; اتاق رزروشده برای بین‌المللی‌ها دارند — مهلت را از دست ندهید.</t>
        </is>
      </c>
      <c r="E12" s="9" t="inlineStr">
        <is>
          <t>تضمین سراسری نیست: Linköping به شهریه‌پردازها یک پیشنهاد اتاق برای سال اول می‌دهد؛ Halmstad تضمین ندارد؛ BTH تأیید نشد.</t>
        </is>
      </c>
      <c r="F12" s="9" t="inlineStr">
        <is>
          <t>دفتر اسکان بین‌المللی AAU/SDU؛ Aalborg و Odense نسبتاً در دسترس.</t>
        </is>
      </c>
      <c r="G12" s="9"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9" t="inlineStr">
        <is>
          <t>معمولاً تضمین خوابگاه سال اول برای بین‌المللی‌ها اگر تا مهلت درخواست دهید.</t>
        </is>
      </c>
      <c r="I12" s="16" t="inlineStr">
        <is>
          <t>سایت دانشگاه‌ها؛ hh.se (Find Accommodation)؛ liu.se</t>
        </is>
      </c>
    </row>
    <row r="13">
      <c r="A13" s="6" t="inlineStr">
        <is>
          <t>۱۱</t>
        </is>
      </c>
      <c r="B13" s="5" t="inlineStr">
        <is>
          <t>سقف قانونی کار دانشجویی</t>
        </is>
      </c>
      <c r="C13" s="9" t="inlineStr">
        <is>
          <t>۱۴۰ روز کامل یا ۲۸۰ نیم‌روز در سال (Werkstudent تا ۲۰ ساعت/هفته در ترم)</t>
        </is>
      </c>
      <c r="D13" s="9" t="inlineStr">
        <is>
          <t>۱۶ ساعت/هفته (کارفرما TWV می‌گیرد) یا تمام‌وقت در ژوئن–اوت</t>
        </is>
      </c>
      <c r="E13" s="9" t="inlineStr">
        <is>
          <t>از ۱۱ ژوئن ۲۰۲۶: حداکثر ۱۵ ساعت/هفته در ترم؛ ژوئن–اوت بدون سقف. تخلف = لغو اقامت. + حداقل پیشرفت تحصیلی ۳۷.۵ واحد سال اول / ۴۵ واحد بعد</t>
        </is>
      </c>
      <c r="F13" s="9" t="inlineStr">
        <is>
          <t>۹۰ ساعت/ماه (سپتامبر–مه) + تمام‌وقت ژوئن–اوت</t>
        </is>
      </c>
      <c r="G13" s="9" t="inlineStr">
        <is>
          <t>غیر-EU: ۶ ماه اول هیچ؛ بعد از آن ۱۵ ساعت/هفته در ترم و تمام‌وقت در تعطیلات؛ کارفرما باید مجوز کانتونی بگیرد؛ کل دورهٔ تحصیل در سوئیس حداکثر ۸ سال</t>
        </is>
      </c>
      <c r="H13" s="9" t="inlineStr">
        <is>
          <t>۲۰ ساعت/هفته در ترم؛ تمام‌وقت در تعطیلات</t>
        </is>
      </c>
      <c r="I13" s="16"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9" t="inlineStr">
        <is>
          <t>$1,140–1,820 (Werkstudent فنی $17–23/ساعت؛ برای رشته شما فراوان)</t>
        </is>
      </c>
      <c r="D14" s="9" t="inlineStr">
        <is>
          <t>تا ≈ $1,140 (۱۶ ساعت × $16.8)؛ یافتن کارفرمای TWV‌گیر سخت</t>
        </is>
      </c>
      <c r="E14" s="9" t="inlineStr">
        <is>
          <t>$340–910 (سقف ۱۵ ساعت؛ کار برای غیرسوئدی‌زبان کمیاب)</t>
        </is>
      </c>
      <c r="F14" s="9" t="inlineStr">
        <is>
          <t>$1,220–1,830 اگر کار پیدا شود؛ اکثر کارهای خدماتی دانمارکی می‌خواهند</t>
        </is>
      </c>
      <c r="G14" s="9" t="inlineStr">
        <is>
          <t>بعد از ماه ششم: ≈ $1,570–2,180 (۱۵ ساعت × $27–34؛ دستیاری آموزشی/پژوهشی در ETH/UZH/ZHAW رایج)</t>
        </is>
      </c>
      <c r="H14" s="9" t="inlineStr">
        <is>
          <t>تا ≈ $1,460 (۲۰ ساعت × $16.8)</t>
        </is>
      </c>
      <c r="I14" s="16"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9" t="inlineStr">
        <is>
          <t>انگلیسی در استارتاپ‌ها/شرکت‌های بزرگ (Berlin، Munich، Hamburg) کافی؛ اکثر آگهی‌های IT آلمانی B2 می‌خواهند → بدون آلمانی حدود نیمی از بازار بسته است.</t>
        </is>
      </c>
      <c r="D15" s="9" t="inlineStr">
        <is>
          <t>انگلیسی در tech رایج و کافی؛ نه ۱۰۰٪.</t>
        </is>
      </c>
      <c r="E15" s="9" t="inlineStr">
        <is>
          <t>انگلیسی در tech رایج (Stockholm، Göteborg)؛ بازار ۲۰۲۴–۲۶ ضعیف (بیکاری ≈ ۹٪).</t>
        </is>
      </c>
      <c r="F15" s="9" t="inlineStr">
        <is>
          <t>انگلیسی برای بخشی از نقش‌های IT در Copenhagen/Aarhus کافی؛ برای اکثر نقش‌ها دانمارکی B1–B2 ترجیح دارد؛ در Aalborg/Odense سخت‌تر.</t>
        </is>
      </c>
      <c r="G15" s="9"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9" t="inlineStr">
        <is>
          <t>۱۰۰٪ انگلیسی؛ بازار جونیور ۲۰۲۵–۲۶ بسیار رقابتی.</t>
        </is>
      </c>
      <c r="I15" s="16" t="inlineStr">
        <is>
          <t>workindenmark.dk؛ آگهی‌های StepStone/LinkedIn؛ ارزیابی</t>
        </is>
      </c>
    </row>
    <row r="16">
      <c r="A16" s="6" t="inlineStr">
        <is>
          <t>۱۴</t>
        </is>
      </c>
      <c r="B16" s="5" t="inlineStr">
        <is>
          <t>زبان برای امور اداری و زندگی روزمره</t>
        </is>
      </c>
      <c r="C16" s="9" t="inlineStr">
        <is>
          <t>قانوناً برای تحصیل لازم نیست؛ عملاً A2–B1 (اداره اتباع، اجاره، بیمه، مالیات).</t>
        </is>
      </c>
      <c r="D16" s="9" t="inlineStr">
        <is>
          <t>انگلیسی کافی؛ نامه‌های رسمی هلندی.</t>
        </is>
      </c>
      <c r="E16" s="9" t="inlineStr">
        <is>
          <t>انگلیسی کافی.</t>
        </is>
      </c>
      <c r="F16" s="9" t="inlineStr">
        <is>
          <t>انگلیسی روزمره کافی؛ سامانه‌ها و نامه‌ها دانمارکی.</t>
        </is>
      </c>
      <c r="G16" s="9"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9" t="inlineStr">
        <is>
          <t>انگلیسی.</t>
        </is>
      </c>
      <c r="I16" s="16" t="inlineStr">
        <is>
          <t>تجربه عمومی؛ ارزیابی</t>
        </is>
      </c>
    </row>
    <row r="17">
      <c r="A17" s="6" t="inlineStr">
        <is>
          <t>۱۵</t>
        </is>
      </c>
      <c r="B17" s="5" t="inlineStr">
        <is>
          <t>مجوز اقامت پس از تحصیل برای جست‌وجوی کار</t>
        </is>
      </c>
      <c r="C17" s="9" t="inlineStr">
        <is>
          <t>۱۸ ماه (§20 AufenthG) — هر کاری مجاز</t>
        </is>
      </c>
      <c r="D17" s="9" t="inlineStr">
        <is>
          <t>۱۲ ماه (zoekjaar) — تا ۳ سال بعد از مدرک قابل درخواست؛ $290</t>
        </is>
      </c>
      <c r="E17" s="9" t="inlineStr">
        <is>
          <t>۱۲ ماه — با اثبات تمکن $1,080/ماه برای کل دوره</t>
        </is>
      </c>
      <c r="F17" s="9" t="inlineStr">
        <is>
          <t>۳ سال، خودکار همراه مجوز تحصیلی برای ارشد state-approved (AAU/SDU) — تا گرفتن «مجوز کار نامحدود» فقط ۹۰ ساعت/ماه</t>
        </is>
      </c>
      <c r="G17" s="9" t="inlineStr">
        <is>
          <t>فقط ۶ ماه (مجوز L برای جست‌وجوی کار، مادهٔ ۲۱ بند ۳ FNIA) — کوتاه‌ترین در بین ۶ کشور؛ کار در این مدت تا ۱۵ ساعت/هفته</t>
        </is>
      </c>
      <c r="H17" s="9" t="inlineStr">
        <is>
          <t>۱۸ ماه Graduate visa برای درخواست‌های از ۱ ژانویه ۲۰۲۷ — $1,240 + IHS $1,370/سال</t>
        </is>
      </c>
      <c r="I17" s="16"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9" t="inlineStr">
        <is>
          <t>بلوکارت: $57,800 عمومی / $52,400 برای IT و تازه‌فارغ‌التحصیلان (تا ۳ سال بعد از مدرک)
مجوز کار §18b برای فارغ‌التحصیلان آلمان: بدون کف ثابت</t>
        </is>
      </c>
      <c r="D18" s="9" t="inlineStr">
        <is>
          <t>HSM کاهش‌یافته برای فارغ‌التحصیلان هلند (تا ۳ سال): $3,560/ماه بدون حق تعطیلات ≈ $46,200/سال
زیر ۳۰ سال عادی: $4,970/ماه</t>
        </is>
      </c>
      <c r="E18" s="9" t="inlineStr">
        <is>
          <t>$3,480/ماه (۹۰٪ میانه؛ از ۱۶ ژوئن ۲۰۲۶)
فارغ‌التحصیلان سوئد که از داخل درخواست دهند: ۷۵٪ = $2,900/ماه
هر ژوئن به‌روز می‌شود</t>
        </is>
      </c>
      <c r="F18" s="9" t="inlineStr">
        <is>
          <t>Positive List (مشاغل IT): کف ثابت ندارد (حقوق مطابق استاندارد دانمارکی)
Pay Limit: $84,300 · Supplementary: $68,100</t>
        </is>
      </c>
      <c r="G18" s="9"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9" t="inlineStr">
        <is>
          <t>Skilled Worker: بالاترینِ $55,300 و نرخ شغل؛ نرخ SOC 2134 (توسعه‌دهنده) = $72,500
تازه‌کار (حداکثر ۴ سال): ۷۰٪ = $50,700
+ انگلیسی B2 (از ۸ ژانویه ۲۰۲۶)</t>
        </is>
      </c>
      <c r="I18" s="16"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9" t="inlineStr">
        <is>
          <t>$54,700–62,700 (با ارشد ≈ $63k)</t>
        </is>
      </c>
      <c r="D19" s="9" t="inlineStr">
        <is>
          <t>$45,600–57,000 (Amsterdam بالاتر)</t>
        </is>
      </c>
      <c r="E19" s="9" t="inlineStr">
        <is>
          <t>$42,400–54,500 ($3.5–4.5k در ماه)</t>
        </is>
      </c>
      <c r="F19" s="9" t="inlineStr">
        <is>
          <t>$76,300–82,400 (IDA 2026: تازه‌فارغ‌التحصیل ≈ $6,690/ماه با بازنشستگی)</t>
        </is>
      </c>
      <c r="G19" s="9" t="inlineStr">
        <is>
          <t>$103,000–127,000 (میانهٔ Glassdoor زوریخ $111k؛ ETH/EPFL $109–143k؛ Big Tech $133–200k) — بالاترین در بین ۶ کشور</t>
        </is>
      </c>
      <c r="H19" s="9" t="inlineStr">
        <is>
          <t>$37,100–46,400 خارج لندن (Manchester/Leeds/Newcastle)؛ London $42,400–59,600 — اغلب زیر کف اسپانسری $50,700</t>
        </is>
      </c>
      <c r="I19" s="16" t="inlineStr">
        <is>
          <t>StepStone؛ Glassdoor؛ IDA؛ Reed — برآورد بازار، نه آمار رسمی</t>
        </is>
      </c>
    </row>
    <row r="20">
      <c r="A20" s="6" t="inlineStr">
        <is>
          <t>۱۸</t>
        </is>
      </c>
      <c r="B20" s="5" t="inlineStr">
        <is>
          <t>خالص ماهانه تقریبی (بعد از مالیات)</t>
        </is>
      </c>
      <c r="C20" s="9" t="inlineStr">
        <is>
          <t>$3,080–3,420</t>
        </is>
      </c>
      <c r="D20" s="9" t="inlineStr">
        <is>
          <t>$3,080–3,530 (بدون قاعده ۳۰٪)</t>
        </is>
      </c>
      <c r="E20" s="9" t="inlineStr">
        <is>
          <t>$2,850–3,310</t>
        </is>
      </c>
      <c r="F20" s="9" t="inlineStr">
        <is>
          <t>$3,760–4,220</t>
        </is>
      </c>
      <c r="G20" s="9" t="inlineStr">
        <is>
          <t>≈ $6,900–8,110 (مالیات + بیمه‌های اجتماعی ≈ ۲۰–۲۵٪ برای مجرد در زوریخ)؛ بیمهٔ درمانی اجباری $425–545/ماه جداگانه از جیب</t>
        </is>
      </c>
      <c r="H20" s="9" t="inlineStr">
        <is>
          <t>$2,650–3,310</t>
        </is>
      </c>
      <c r="I20" s="16"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9" t="inlineStr">
        <is>
          <t>$1,140–1,710</t>
        </is>
      </c>
      <c r="D21" s="9" t="inlineStr">
        <is>
          <t>$800–1,370</t>
        </is>
      </c>
      <c r="E21" s="9" t="inlineStr">
        <is>
          <t>$1,030–1,600</t>
        </is>
      </c>
      <c r="F21" s="9" t="inlineStr">
        <is>
          <t>$1,250–1,820</t>
        </is>
      </c>
      <c r="G21" s="9" t="inlineStr">
        <is>
          <t>$1,820–3,630 در زوریخ (استودیو $1,690–2,300 + بیمه ≈ $485) — بیشترین پس‌انداز مطلق بین ۶ کشور، اگر شغل بگیرید</t>
        </is>
      </c>
      <c r="H21" s="9" t="inlineStr">
        <is>
          <t>$530–1,190</t>
        </is>
      </c>
      <c r="I21" s="16"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9" t="inlineStr">
        <is>
          <t>۲ سال کار برای فارغ‌التحصیل آلمان با B1 (§18c)؛ بلوکارت: ۲۱ ماه با B1 / ۲۷ ماه با A1</t>
        </is>
      </c>
      <c r="D22" s="9" t="inlineStr">
        <is>
          <t>۵ سال اقامت قانونی (سال‌های تحصیل نصف حساب می‌شود) + inburgering</t>
        </is>
      </c>
      <c r="E22" s="9" t="inlineStr">
        <is>
          <t>۴ سال مجوز کار در ۷ سال اخیر + خودکفایی (تحصیل حساب نمی‌شود)</t>
        </is>
      </c>
      <c r="F22" s="9" t="inlineStr">
        <is>
          <t>۸ سال (یا ۴ سال با هر ۴ شرط تکمیلی) + ۳.۵ سال کار تمام‌وقت در ۴ سال اخیر</t>
        </is>
      </c>
      <c r="G22" s="9"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9" t="inlineStr">
        <is>
          <t>فعلاً ۵ سال Skilled Worker (Graduate visa حساب نمی‌شود)؛ طرح Earned Settlement با پایه ۱۰ سال در دستور کار دولت (تا سپتامبر ۲۰۲۶ قانون نشده)</t>
        </is>
      </c>
      <c r="I22" s="16" t="inlineStr">
        <is>
          <t>make-it-in-germany.com؛ ind.nl؛ migrationsverket.se؛ nyidanmark.dk؛ sem.admin.ch؛ gov.uk / Home Affairs Committee</t>
        </is>
      </c>
    </row>
    <row r="23">
      <c r="A23" s="6" t="inlineStr">
        <is>
          <t>۲۱</t>
        </is>
      </c>
      <c r="B23" s="5" t="inlineStr">
        <is>
          <t>آزمون زبان محلی برای PR</t>
        </is>
      </c>
      <c r="C23" s="9" t="inlineStr">
        <is>
          <t>B1 آلمانی (A1 فقط با بلوکارت ۲۷ ماهه)</t>
        </is>
      </c>
      <c r="D23" s="9" t="inlineStr">
        <is>
          <t>A2 فعلی → B1 (تصمیم کابینه، فوریه ۲۰۲۶)</t>
        </is>
      </c>
      <c r="E23" s="9" t="inlineStr">
        <is>
          <t>هیچ (برای PR)</t>
        </is>
      </c>
      <c r="F23" s="9" t="inlineStr">
        <is>
          <t>Prøve i Dansk 2 (≈ B1) برای مسیر ۸ ساله؛ PD3 (≈ B2) برای مسیر ۴ ساله</t>
        </is>
      </c>
      <c r="G23" s="9" t="inlineStr">
        <is>
          <t>A2 شفاهی + A1 کتبی زبان محلی (آزمون fide) برای C ۱۰ ساله؛ B1 شفاهی برای C زودهنگام ۵ ساله → بدون زبان سوم PR نمی‌گیرید</t>
        </is>
      </c>
      <c r="H23" s="9" t="inlineStr">
        <is>
          <t>انگلیسی B2 از ۲۶ مارس ۲۰۲۷ + آزمون Life in the UK (زبان سوم نیست)</t>
        </is>
      </c>
      <c r="I23" s="16" t="inlineStr">
        <is>
          <t>BAMF؛ ind.nl؛ migrationsverket.se؛ nyidanmark.dk؛ sem.admin.ch؛ gov.uk (HC 1691)</t>
        </is>
      </c>
    </row>
    <row r="24">
      <c r="A24" s="6" t="inlineStr">
        <is>
          <t>۲۲</t>
        </is>
      </c>
      <c r="B24" s="5" t="inlineStr">
        <is>
          <t>شهروندی (جدا از PR)</t>
        </is>
      </c>
      <c r="C24" s="9" t="inlineStr">
        <is>
          <t>۵ سال + B1 + آزمون تابعیت (تحصیل حساب می‌شود)</t>
        </is>
      </c>
      <c r="D24" s="9" t="inlineStr">
        <is>
          <t>۵ سال + inburgering (A2 → B1)</t>
        </is>
      </c>
      <c r="E24" s="9" t="inlineStr">
        <is>
          <t>از ۶ ژوئن ۲۰۲۶: ۸ سال + آزمون مدنی + آزمون زبان (از اکتبر ۲۰۲۷) + کف درآمد</t>
        </is>
      </c>
      <c r="F24" s="9" t="inlineStr">
        <is>
          <t>۹ سال + PD3 + آزمون تابعیت + اشتغال ۳.۵ سال از ۴ سال</t>
        </is>
      </c>
      <c r="G24" s="9" t="inlineStr">
        <is>
          <t>۱۰ سال اقامت (سال‌های ۸ تا ۱۸ سالگی دوبرابر) + اجازهٔ C + B1 شفاهی / A2 کتبی + شرایط کانتون و شهرداری (۲–۵ سال اقامت محلی) — سخت‌ترین در اروپا</t>
        </is>
      </c>
      <c r="H24" s="9" t="inlineStr">
        <is>
          <t>ILR + ۱۲ ماه؛ B1/B2 + Life in the UK</t>
        </is>
      </c>
      <c r="I24" s="16"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9"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9" t="inlineStr">
        <is>
          <t>دانشگاه درخواست را در IND ثبت می‌کند (TEV) ✓؛ ولی سفارت هلند موقتاً به باکو منتقل شده و MVV در ایران صادر نمی‌شود.</t>
        </is>
      </c>
      <c r="E25" s="9" t="inlineStr">
        <is>
          <t>درخواست آنلاین در Migrationsverket؛ بررسی دیجیتال پاسپورت؛ سفارت تهران فعلاً بیومتریک/کارت اقامت نمی‌گیرد (ژوئیه ۲۰۲۶).</t>
        </is>
      </c>
      <c r="F25" s="9"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9"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9"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16"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9" t="inlineStr">
        <is>
          <t>TU Darmstadt، TU Dresden، Stuttgart: C1 / IELTS 7.0 (Dresden: هر بخش ≥ B2)
FAU (AI): B2 / IELTS 6.5</t>
        </is>
      </c>
      <c r="D26" s="9" t="inlineStr">
        <is>
          <t>IELTS 6.5 (هر بخش ≥ 6.0)</t>
        </is>
      </c>
      <c r="E26" s="9" t="inlineStr">
        <is>
          <t>IELTS 6.5 (هر بخش ≥ 5.5)</t>
        </is>
      </c>
      <c r="F26" s="9" t="inlineStr">
        <is>
          <t>IELTS 6.5</t>
        </is>
      </c>
      <c r="G26" s="9"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9" t="inlineStr">
        <is>
          <t>IELTS 6.0–6.5</t>
        </is>
      </c>
      <c r="I26" s="16"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9" t="inlineStr">
        <is>
          <t>حساب مسدود $13,600 ($1,130 × ۱۲). Fintiba ساکنان ایران را نمی‌پذیرد؛ Expatrio/Coracle را هنگام اقدام بررسی کنید. انتقال پول فقط از مسیر کشور ثالث/صرافی (۳–۶٪ هزینه).</t>
        </is>
      </c>
      <c r="D27" s="9" t="inlineStr">
        <is>
          <t>$15,500 ($1,290 × ۱۲) + شهریه؛ معمولاً به حساب دانشگاه واریز می‌شود.</t>
        </is>
      </c>
      <c r="E27" s="9" t="inlineStr">
        <is>
          <t>$1,080 × ماه‌های مجوز (سال اول ≈ $12,900) + قسط اول شهریه.</t>
        </is>
      </c>
      <c r="F27" s="9" t="inlineStr">
        <is>
          <t>پرداخت شهریه ترم اول به‌عنوان تمکن پذیرفته می‌شود (در غیر این‌صورت $1,130/ماه).</t>
        </is>
      </c>
      <c r="G27" s="9"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9"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16"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9" t="inlineStr">
        <is>
          <t>⭐⭐⭐ تقاضا و حقوق بالا؛ بدون آلمانی نیمی از بازار بسته</t>
        </is>
      </c>
      <c r="D28" s="9" t="inlineStr">
        <is>
          <t>⭐⭐⭐⭐ انگلیسی‌دوست‌ترین بازار قاره؛ کف HSM فارغ‌التحصیل دست‌یافتنی</t>
        </is>
      </c>
      <c r="E28" s="9" t="inlineStr">
        <is>
          <t>⭐⭐ بازار ۲۰۲۴–۲۶ ضعیف؛ شبکه محلی مهم</t>
        </is>
      </c>
      <c r="F28" s="9" t="inlineStr">
        <is>
          <t>⭐⭐ بدون دانمارکی محدود؛ خارج از Copenhagen سخت</t>
        </is>
      </c>
      <c r="G28" s="9" t="inlineStr">
        <is>
          <t>⭐⭐⭐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9" t="inlineStr">
        <is>
          <t>⭐⭐ بازار جونیور اشباع؛ اسپانسری $50,700+ برای جونیور نادر؛ بعد از ۱۸ ماه باید ویزای کار داشت</t>
        </is>
      </c>
      <c r="I28" s="16" t="inlineStr">
        <is>
          <t>ارزیابی بر اساس ردیف‌های ۱۳، ۱۵، ۱۶، ۱۷</t>
        </is>
      </c>
    </row>
    <row r="29">
      <c r="A29" s="6" t="inlineStr">
        <is>
          <t>۲۷</t>
        </is>
      </c>
      <c r="B29" s="5" t="inlineStr">
        <is>
          <t>جهت‌گیری سیاست‌های مهاجرتی ۲۰۲۵–۲۶ (ریسک تغییر تا ۲۰۲۸)</t>
        </is>
      </c>
      <c r="C29" s="9" t="inlineStr">
        <is>
          <t>متوسط: قوانین کار پایدار؛ تابعیت ۳ ساله حذف شد</t>
        </is>
      </c>
      <c r="D29" s="9" t="inlineStr">
        <is>
          <t>متوسط: B1 برای PR/تابعیت؛ WIB فقط کارشناسی انگلیسی را هدف گرفته (ارشد امن)</t>
        </is>
      </c>
      <c r="E29" s="9" t="inlineStr">
        <is>
          <t>بالا: شهروندی ۸ سال، کف حقوق ۹۰٪ میانه، سقف کار ۱۵ ساعت، تبدیل اقامت تحصیلی به کاری فقط بعد از ≥ ۲ ترم</t>
        </is>
      </c>
      <c r="F29" s="9" t="inlineStr">
        <is>
          <t>متوسط–بالا: سخت‌گیرانه ولی پایدار</t>
        </is>
      </c>
      <c r="G29" s="9"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9"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16"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9" t="inlineStr">
        <is>
          <t>10 / 4 / 8 = ۲۲</t>
        </is>
      </c>
      <c r="D30" s="9" t="inlineStr">
        <is>
          <t>2 / 8 / 8 = ۱۸</t>
        </is>
      </c>
      <c r="E30" s="9" t="inlineStr">
        <is>
          <t>6 / 8 / 5 = ۱۹</t>
        </is>
      </c>
      <c r="F30" s="9" t="inlineStr">
        <is>
          <t>4 / 6 / 6 = ۱۶</t>
        </is>
      </c>
      <c r="G30" s="9" t="inlineStr">
        <is>
          <t>5 / 6 / 7 = ۱۸</t>
        </is>
      </c>
      <c r="H30" s="9" t="inlineStr">
        <is>
          <t>5 / 10 / 4 = ۱۹</t>
        </is>
      </c>
      <c r="I30" s="16"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هنوز از بودجهٔ سالانه $32k بیرون است.</t>
        </is>
      </c>
    </row>
    <row r="31"/>
    <row r="32">
      <c r="B32" s="17"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3">
      <c r="B33"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4">
      <c r="B34" t="inlineStr">
        <is>
          <t>جدول اولیه (Table.xlsx) برای مقایسه دست‌نخورده مانده است.</t>
        </is>
      </c>
    </row>
    <row r="35">
      <c r="B35" s="17"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9" t="inlineStr">
        <is>
          <t>Teesside University</t>
        </is>
      </c>
      <c r="D2" s="9" t="inlineStr">
        <is>
          <t>Middlesbrough (میدلزبرو) — شمال شرق انگلستان</t>
        </is>
      </c>
      <c r="E2" s="9" t="inlineStr">
        <is>
          <t>ارزان — $1,260–1,520</t>
        </is>
      </c>
      <c r="F2" s="9" t="inlineStr">
        <is>
          <t>MSc Computer Science</t>
        </is>
      </c>
      <c r="G2" s="9" t="inlineStr">
        <is>
          <t>مهندسی نرم‌افزار / علوم کامپیوتر</t>
        </is>
      </c>
      <c r="H2" s="9" t="inlineStr">
        <is>
          <t>۱ سال</t>
        </is>
      </c>
      <c r="I2" s="9" t="inlineStr">
        <is>
          <t>$22,500</t>
        </is>
      </c>
      <c r="J2" s="9" t="inlineStr">
        <is>
          <t>$22,500</t>
        </is>
      </c>
      <c r="K2" s="18" t="inlineStr">
        <is>
          <t>$38–41k</t>
        </is>
      </c>
      <c r="L2" s="9" t="inlineStr">
        <is>
          <t>2:2 در رشتهٔ مرتبط</t>
        </is>
      </c>
      <c r="M2" s="9" t="inlineStr">
        <is>
          <t>6.0</t>
        </is>
      </c>
      <c r="N2" s="9" t="inlineStr">
        <is>
          <t>— (THE 601–800)</t>
        </is>
      </c>
      <c r="O2" s="12" t="inlineStr">
        <is>
          <t>Safe</t>
        </is>
      </c>
      <c r="P2" s="9" t="inlineStr">
        <is>
          <t>4/5 — بیشترین حجم آگهی در هر ۶ کشور؛ ورود جونیور از ۲۰۲۳ سخت‌تر شده — سابقهٔ کار شما مزیت است</t>
        </is>
      </c>
      <c r="Q2" s="9" t="inlineStr">
        <is>
          <t>ارزان‌ترین گزینهٔ معتبر انگلستان؛ Middlesbrough ارزان ولی بازار کار محلی کوچک</t>
        </is>
      </c>
      <c r="R2" s="19" t="inlineStr">
        <is>
          <t>https://www.tees.ac.uk/postgraduate_courses/computing_&amp;_cyber_security/msc_computer_science.cfm</t>
        </is>
      </c>
    </row>
    <row r="3">
      <c r="A3" s="6" t="n">
        <v>2</v>
      </c>
      <c r="B3" s="6" t="inlineStr">
        <is>
          <t>انگلستان</t>
        </is>
      </c>
      <c r="C3" s="9" t="inlineStr">
        <is>
          <t>Teesside University</t>
        </is>
      </c>
      <c r="D3" s="9" t="inlineStr">
        <is>
          <t>Middlesbrough (میدلزبرو) — شمال شرق انگلستان</t>
        </is>
      </c>
      <c r="E3" s="9" t="inlineStr">
        <is>
          <t>ارزان — $1,260–1,520</t>
        </is>
      </c>
      <c r="F3" s="9" t="inlineStr">
        <is>
          <t>MSc Artificial Intelligence</t>
        </is>
      </c>
      <c r="G3" s="9" t="inlineStr">
        <is>
          <t>هوش مصنوعی / یادگیری ماشین</t>
        </is>
      </c>
      <c r="H3" s="9" t="inlineStr">
        <is>
          <t>۱ سال</t>
        </is>
      </c>
      <c r="I3" s="9" t="inlineStr">
        <is>
          <t>$22,500</t>
        </is>
      </c>
      <c r="J3" s="9" t="inlineStr">
        <is>
          <t>$22,500</t>
        </is>
      </c>
      <c r="K3" s="18" t="inlineStr">
        <is>
          <t>$38–41k</t>
        </is>
      </c>
      <c r="L3" s="9" t="inlineStr">
        <is>
          <t>2:2 در رشتهٔ مرتبط</t>
        </is>
      </c>
      <c r="M3" s="9" t="inlineStr">
        <is>
          <t>6.0</t>
        </is>
      </c>
      <c r="N3" s="9" t="inlineStr">
        <is>
          <t>—</t>
        </is>
      </c>
      <c r="O3" s="12" t="inlineStr">
        <is>
          <t>Safe</t>
        </is>
      </c>
      <c r="P3" s="9" t="inlineStr">
        <is>
          <t>5/5 — داغ‌ترین بازار؛ «AI Engineer» سریع‌ترین‌رشد (LinkedIn 2026)؛ ولی برنامه‌های ریاضی‌محور (Tübingen، UvA، KTH) بسیار رقابتی‌اند</t>
        </is>
      </c>
      <c r="Q3" s="9" t="inlineStr">
        <is>
          <t>همان باند شهریهٔ Teesside</t>
        </is>
      </c>
      <c r="R3" s="19" t="inlineStr">
        <is>
          <t>https://www.tees.ac.uk/postgraduate_courses/computing_&amp;_cyber_security/msc_artificial_intelligence.cfm</t>
        </is>
      </c>
    </row>
    <row r="4">
      <c r="A4" s="6" t="n">
        <v>3</v>
      </c>
      <c r="B4" s="6" t="inlineStr">
        <is>
          <t>انگلستان</t>
        </is>
      </c>
      <c r="C4" s="9" t="inlineStr">
        <is>
          <t>Teesside University</t>
        </is>
      </c>
      <c r="D4" s="9" t="inlineStr">
        <is>
          <t>Middlesbrough (میدلزبرو) — شمال شرق انگلستان</t>
        </is>
      </c>
      <c r="E4" s="9" t="inlineStr">
        <is>
          <t>ارزان — $1,260–1,520</t>
        </is>
      </c>
      <c r="F4" s="9" t="inlineStr">
        <is>
          <t>MSc Cyber Security (BCS accredited)</t>
        </is>
      </c>
      <c r="G4" s="9" t="inlineStr">
        <is>
          <t>امنیت سایبری</t>
        </is>
      </c>
      <c r="H4" s="9" t="inlineStr">
        <is>
          <t>۱ سال</t>
        </is>
      </c>
      <c r="I4" s="9" t="inlineStr">
        <is>
          <t>$22,500</t>
        </is>
      </c>
      <c r="J4" s="9" t="inlineStr">
        <is>
          <t>$22,500</t>
        </is>
      </c>
      <c r="K4" s="18" t="inlineStr">
        <is>
          <t>$38–41k</t>
        </is>
      </c>
      <c r="L4" s="9" t="inlineStr">
        <is>
          <t>2:2 در رشتهٔ مرتبط</t>
        </is>
      </c>
      <c r="M4" s="9" t="inlineStr">
        <is>
          <t>6.0</t>
        </is>
      </c>
      <c r="N4" s="9" t="inlineStr">
        <is>
          <t>—</t>
        </is>
      </c>
      <c r="O4" s="12" t="inlineStr">
        <is>
          <t>Safe</t>
        </is>
      </c>
      <c r="P4" s="9" t="inlineStr">
        <is>
          <t>4/5 — کمبود ساختاری (Bitkom: جزو ۳ کمبود اصلی آلمان)؛ اما ۳۱٪ تیم‌ها هیچ نیروی جونیور ندارند → کارآموزی/گواهی لازم است</t>
        </is>
      </c>
      <c r="Q4" s="9" t="inlineStr">
        <is>
          <t>اعتبار BCS؛ بدون NCSC</t>
        </is>
      </c>
      <c r="R4" s="19" t="inlineStr">
        <is>
          <t>https://www.tees.ac.uk/postgraduate_courses/computing_&amp;_cyber_security/msc_cyber_security.cfm</t>
        </is>
      </c>
    </row>
    <row r="5">
      <c r="A5" s="6" t="n">
        <v>4</v>
      </c>
      <c r="B5" s="6" t="inlineStr">
        <is>
          <t>انگلستان</t>
        </is>
      </c>
      <c r="C5" s="9" t="inlineStr">
        <is>
          <t>Northumbria University</t>
        </is>
      </c>
      <c r="D5" s="9" t="inlineStr">
        <is>
          <t>Newcastle upon Tyne (نیوکاسل) — شمال شرق</t>
        </is>
      </c>
      <c r="E5" s="9" t="inlineStr">
        <is>
          <t>ارزان تا متوسط — $1,260–1,660</t>
        </is>
      </c>
      <c r="F5" s="9" t="inlineStr">
        <is>
          <t>MSc Advanced Computer Science</t>
        </is>
      </c>
      <c r="G5" s="9" t="inlineStr">
        <is>
          <t>مهندسی نرم‌افزار / علوم کامپیوتر</t>
        </is>
      </c>
      <c r="H5" s="9" t="inlineStr">
        <is>
          <t>۱ سال</t>
        </is>
      </c>
      <c r="I5" s="9" t="inlineStr">
        <is>
          <t>$28,500</t>
        </is>
      </c>
      <c r="J5" s="9" t="inlineStr">
        <is>
          <t>$28,500</t>
        </is>
      </c>
      <c r="K5" s="18" t="inlineStr">
        <is>
          <t>$44–48k</t>
        </is>
      </c>
      <c r="L5" s="9" t="inlineStr">
        <is>
          <t>2:2 در رشتهٔ کامپیوتری</t>
        </is>
      </c>
      <c r="M5" s="9" t="inlineStr">
        <is>
          <t>6.5</t>
        </is>
      </c>
      <c r="N5" s="9">
        <f>528</f>
        <v/>
      </c>
      <c r="O5" s="12" t="inlineStr">
        <is>
          <t>Safe</t>
        </is>
      </c>
      <c r="P5" s="9" t="inlineStr">
        <is>
          <t>4/5 — بیشترین حجم آگهی در هر ۶ کشور؛ ورود جونیور از ۲۰۲۳ سخت‌تر شده — سابقهٔ کار شما مزیت است</t>
        </is>
      </c>
      <c r="Q5" s="9" t="inlineStr">
        <is>
          <t>Newcastle: شهر دانشجویی ارزان با بازار فناوری متوسط</t>
        </is>
      </c>
      <c r="R5" s="19" t="inlineStr">
        <is>
          <t>https://www.northumbria.ac.uk/study-at-northumbria/courses/msc-advanced-computer-science-dtfava6/</t>
        </is>
      </c>
    </row>
    <row r="6">
      <c r="A6" s="6" t="n">
        <v>5</v>
      </c>
      <c r="B6" s="6" t="inlineStr">
        <is>
          <t>انگلستان</t>
        </is>
      </c>
      <c r="C6" s="9" t="inlineStr">
        <is>
          <t>Northumbria University</t>
        </is>
      </c>
      <c r="D6" s="9" t="inlineStr">
        <is>
          <t>Newcastle upon Tyne (نیوکاسل) — شمال شرق</t>
        </is>
      </c>
      <c r="E6" s="9" t="inlineStr">
        <is>
          <t>ارزان تا متوسط — $1,260–1,660</t>
        </is>
      </c>
      <c r="F6" s="9" t="inlineStr">
        <is>
          <t>MSc Artificial Intelligence</t>
        </is>
      </c>
      <c r="G6" s="9" t="inlineStr">
        <is>
          <t>هوش مصنوعی / یادگیری ماشین</t>
        </is>
      </c>
      <c r="H6" s="9" t="inlineStr">
        <is>
          <t>۱ سال</t>
        </is>
      </c>
      <c r="I6" s="9" t="inlineStr">
        <is>
          <t>$28,500</t>
        </is>
      </c>
      <c r="J6" s="9" t="inlineStr">
        <is>
          <t>$28,500</t>
        </is>
      </c>
      <c r="K6" s="18" t="inlineStr">
        <is>
          <t>$44–48k</t>
        </is>
      </c>
      <c r="L6" s="9" t="inlineStr">
        <is>
          <t>2:2 در رشتهٔ کامپیوتری/ریاضی</t>
        </is>
      </c>
      <c r="M6" s="9" t="inlineStr">
        <is>
          <t>6.5</t>
        </is>
      </c>
      <c r="N6" s="9">
        <f>528</f>
        <v/>
      </c>
      <c r="O6" s="12" t="inlineStr">
        <is>
          <t>Safe</t>
        </is>
      </c>
      <c r="P6" s="9" t="inlineStr">
        <is>
          <t>5/5 — داغ‌ترین بازار؛ «AI Engineer» سریع‌ترین‌رشد (LinkedIn 2026)؛ ولی برنامه‌های ریاضی‌محور (Tübingen، UvA، KTH) بسیار رقابتی‌اند</t>
        </is>
      </c>
      <c r="Q6" s="9" t="inlineStr">
        <is>
          <t>شهریهٔ رسمی 2026/27</t>
        </is>
      </c>
      <c r="R6" s="19" t="inlineStr">
        <is>
          <t>https://www.northumbria.ac.uk/study-at-northumbria/courses/msc-artificial-intelligence-dtfari6/</t>
        </is>
      </c>
    </row>
    <row r="7">
      <c r="A7" s="6" t="n">
        <v>6</v>
      </c>
      <c r="B7" s="6" t="inlineStr">
        <is>
          <t>انگلستان</t>
        </is>
      </c>
      <c r="C7" s="9" t="inlineStr">
        <is>
          <t>Nottingham Trent University (NTU)</t>
        </is>
      </c>
      <c r="D7" s="9" t="inlineStr">
        <is>
          <t>Nottingham (ناتینگهام) — میدلندز</t>
        </is>
      </c>
      <c r="E7" s="9" t="inlineStr">
        <is>
          <t>متوسط — $1,330–1,720</t>
        </is>
      </c>
      <c r="F7" s="9" t="inlineStr">
        <is>
          <t>MSc Artificial Intelligence</t>
        </is>
      </c>
      <c r="G7" s="9" t="inlineStr">
        <is>
          <t>هوش مصنوعی / یادگیری ماشین</t>
        </is>
      </c>
      <c r="H7" s="9" t="inlineStr">
        <is>
          <t>۱ سال</t>
        </is>
      </c>
      <c r="I7" s="9" t="inlineStr">
        <is>
          <t>≈ $26,400</t>
        </is>
      </c>
      <c r="J7" s="9" t="inlineStr">
        <is>
          <t>$26,400</t>
        </is>
      </c>
      <c r="K7" s="18" t="inlineStr">
        <is>
          <t>$42–47k</t>
        </is>
      </c>
      <c r="L7" s="9" t="inlineStr">
        <is>
          <t>2:2 (≈ ۵۵٪)</t>
        </is>
      </c>
      <c r="M7" s="9" t="inlineStr">
        <is>
          <t>6.5</t>
        </is>
      </c>
      <c r="N7" s="9">
        <f>639</f>
        <v/>
      </c>
      <c r="O7" s="12" t="inlineStr">
        <is>
          <t>Safe</t>
        </is>
      </c>
      <c r="P7" s="9" t="inlineStr">
        <is>
          <t>5/5 — داغ‌ترین بازار؛ «AI Engineer» سریع‌ترین‌رشد (LinkedIn 2026)؛ ولی برنامه‌های ریاضی‌محور (Tübingen، UvA، KTH) بسیار رقابتی‌اند</t>
        </is>
      </c>
      <c r="Q7" s="9" t="inlineStr">
        <is>
          <t>رقم از دو مرجع ثانویه؛ صفحهٔ رسمی 2026/27 را قبل از اقدام چک کنید</t>
        </is>
      </c>
      <c r="R7" s="19" t="inlineStr">
        <is>
          <t>https://www.ntu.ac.uk/study-and-courses/courses</t>
        </is>
      </c>
    </row>
    <row r="8">
      <c r="A8" s="6" t="n">
        <v>7</v>
      </c>
      <c r="B8" s="6" t="inlineStr">
        <is>
          <t>انگلستان</t>
        </is>
      </c>
      <c r="C8" s="9" t="inlineStr">
        <is>
          <t>Nottingham Trent University (NTU)</t>
        </is>
      </c>
      <c r="D8" s="9" t="inlineStr">
        <is>
          <t>Nottingham (ناتینگهام) — میدلندز</t>
        </is>
      </c>
      <c r="E8" s="9" t="inlineStr">
        <is>
          <t>متوسط — $1,330–1,720</t>
        </is>
      </c>
      <c r="F8" s="9" t="inlineStr">
        <is>
          <t>MSc Cyber Security</t>
        </is>
      </c>
      <c r="G8" s="9" t="inlineStr">
        <is>
          <t>امنیت سایبری</t>
        </is>
      </c>
      <c r="H8" s="9" t="inlineStr">
        <is>
          <t>۱ سال</t>
        </is>
      </c>
      <c r="I8" s="9" t="inlineStr">
        <is>
          <t>≈ $26,400</t>
        </is>
      </c>
      <c r="J8" s="9" t="inlineStr">
        <is>
          <t>$26,400</t>
        </is>
      </c>
      <c r="K8" s="18" t="inlineStr">
        <is>
          <t>$42–47k</t>
        </is>
      </c>
      <c r="L8" s="9" t="inlineStr">
        <is>
          <t>2:2</t>
        </is>
      </c>
      <c r="M8" s="9" t="inlineStr">
        <is>
          <t>6.5</t>
        </is>
      </c>
      <c r="N8" s="9">
        <f>639</f>
        <v/>
      </c>
      <c r="O8" s="12" t="inlineStr">
        <is>
          <t>Safe</t>
        </is>
      </c>
      <c r="P8" s="9" t="inlineStr">
        <is>
          <t>4/5 — کمبود ساختاری (Bitkom: جزو ۳ کمبود اصلی آلمان)؛ اما ۳۱٪ تیم‌ها هیچ نیروی جونیور ندارند → کارآموزی/گواهی لازم است</t>
        </is>
      </c>
      <c r="Q8" s="9" t="inlineStr">
        <is>
          <t>همان باند NTU (≈)</t>
        </is>
      </c>
      <c r="R8" s="19" t="inlineStr">
        <is>
          <t>https://www.ntu.ac.uk/study-and-courses/courses</t>
        </is>
      </c>
    </row>
    <row r="9">
      <c r="A9" s="6" t="n">
        <v>8</v>
      </c>
      <c r="B9" s="6" t="inlineStr">
        <is>
          <t>انگلستان</t>
        </is>
      </c>
      <c r="C9" s="9" t="inlineStr">
        <is>
          <t>Manchester Metropolitan University (MMU)</t>
        </is>
      </c>
      <c r="D9" s="9" t="inlineStr">
        <is>
          <t>Manchester (منچستر) — دومین قطب فناوری انگلستان</t>
        </is>
      </c>
      <c r="E9" s="9" t="inlineStr">
        <is>
          <t>متوسط — $1,390–1,790</t>
        </is>
      </c>
      <c r="F9" s="9" t="inlineStr">
        <is>
          <t>MSc Cyber Security</t>
        </is>
      </c>
      <c r="G9" s="9" t="inlineStr">
        <is>
          <t>امنیت سایبری</t>
        </is>
      </c>
      <c r="H9" s="9" t="inlineStr">
        <is>
          <t>۱ سال</t>
        </is>
      </c>
      <c r="I9" s="9" t="inlineStr">
        <is>
          <t>$27,800</t>
        </is>
      </c>
      <c r="J9" s="9" t="inlineStr">
        <is>
          <t>$27,800</t>
        </is>
      </c>
      <c r="K9" s="18" t="inlineStr">
        <is>
          <t>$45–49k</t>
        </is>
      </c>
      <c r="L9" s="9" t="inlineStr">
        <is>
          <t>2:2 در رشتهٔ کامپیوتری</t>
        </is>
      </c>
      <c r="M9" s="9" t="inlineStr">
        <is>
          <t>6.5</t>
        </is>
      </c>
      <c r="N9" s="9" t="inlineStr">
        <is>
          <t>≈ 600–650</t>
        </is>
      </c>
      <c r="O9" s="12" t="inlineStr">
        <is>
          <t>Safe</t>
        </is>
      </c>
      <c r="P9" s="9" t="inlineStr">
        <is>
          <t>4/5 — کمبود ساختاری (Bitkom: جزو ۳ کمبود اصلی آلمان)؛ اما ۳۱٪ تیم‌ها هیچ نیروی جونیور ندارند → کارآموزی/گواهی لازم است</t>
        </is>
      </c>
      <c r="Q9" s="9" t="inlineStr">
        <is>
          <t>Manchester دومین قطب فناوری انگلستان؛ شهریهٔ رسمی overseas 2026/27</t>
        </is>
      </c>
      <c r="R9" s="19" t="inlineStr">
        <is>
          <t>https://www.mmu.ac.uk/study/postgraduate/course/msc-cyber-security</t>
        </is>
      </c>
    </row>
    <row r="10">
      <c r="A10" s="6" t="n">
        <v>9</v>
      </c>
      <c r="B10" s="6" t="inlineStr">
        <is>
          <t>انگلستان</t>
        </is>
      </c>
      <c r="C10" s="9" t="inlineStr">
        <is>
          <t>University of Essex</t>
        </is>
      </c>
      <c r="D10" s="9" t="inlineStr">
        <is>
          <t>Colchester (کولچستر) — Essex، ۵۰ دقیقه تا لندن</t>
        </is>
      </c>
      <c r="E10" s="9" t="inlineStr">
        <is>
          <t>متوسط — $1,330–1,790</t>
        </is>
      </c>
      <c r="F10" s="9" t="inlineStr">
        <is>
          <t>MSc Advanced Computer Science</t>
        </is>
      </c>
      <c r="G10" s="9" t="inlineStr">
        <is>
          <t>مهندسی نرم‌افزار / علوم کامپیوتر</t>
        </is>
      </c>
      <c r="H10" s="9" t="inlineStr">
        <is>
          <t>۱ سال</t>
        </is>
      </c>
      <c r="I10" s="9" t="inlineStr">
        <is>
          <t>$32,700</t>
        </is>
      </c>
      <c r="J10" s="9" t="inlineStr">
        <is>
          <t>$32,700</t>
        </is>
      </c>
      <c r="K10" s="18" t="inlineStr">
        <is>
          <t>$49–54k</t>
        </is>
      </c>
      <c r="L10" s="9" t="inlineStr">
        <is>
          <t>2:2؛ Computer Engineering پذیرفته می‌شود</t>
        </is>
      </c>
      <c r="M10" s="9" t="inlineStr">
        <is>
          <t>6.0</t>
        </is>
      </c>
      <c r="N10" s="9">
        <f>438</f>
        <v/>
      </c>
      <c r="O10" s="13" t="inlineStr">
        <is>
          <t>Safe/Target</t>
        </is>
      </c>
      <c r="P10" s="9" t="inlineStr">
        <is>
          <t>4/5 — بیشترین حجم آگهی در هر ۶ کشور؛ ورود جونیور از ۲۰۲۳ سخت‌تر شده — سابقهٔ کار شما مزیت است</t>
        </is>
      </c>
      <c r="Q10" s="9" t="inlineStr">
        <is>
          <t>۵۰ دقیقه تا لندن؛ دانشکدهٔ CSEE قوی در AI</t>
        </is>
      </c>
      <c r="R10" s="19" t="inlineStr">
        <is>
          <t>https://www.essex.ac.uk/courses/pg00435/1/msc-advanced-computer-science</t>
        </is>
      </c>
    </row>
    <row r="11">
      <c r="A11" s="6" t="n">
        <v>10</v>
      </c>
      <c r="B11" s="6" t="inlineStr">
        <is>
          <t>انگلستان</t>
        </is>
      </c>
      <c r="C11" s="9" t="inlineStr">
        <is>
          <t>University of Essex</t>
        </is>
      </c>
      <c r="D11" s="9" t="inlineStr">
        <is>
          <t>Colchester (کولچستر) — Essex، ۵۰ دقیقه تا لندن</t>
        </is>
      </c>
      <c r="E11" s="9" t="inlineStr">
        <is>
          <t>متوسط — $1,330–1,790</t>
        </is>
      </c>
      <c r="F11" s="9" t="inlineStr">
        <is>
          <t>MSc Artificial Intelligence</t>
        </is>
      </c>
      <c r="G11" s="9" t="inlineStr">
        <is>
          <t>هوش مصنوعی / یادگیری ماشین</t>
        </is>
      </c>
      <c r="H11" s="9" t="inlineStr">
        <is>
          <t>۱ سال</t>
        </is>
      </c>
      <c r="I11" s="9" t="inlineStr">
        <is>
          <t>$32,700</t>
        </is>
      </c>
      <c r="J11" s="9" t="inlineStr">
        <is>
          <t>$32,700</t>
        </is>
      </c>
      <c r="K11" s="18" t="inlineStr">
        <is>
          <t>$49–54k</t>
        </is>
      </c>
      <c r="L11" s="9" t="inlineStr">
        <is>
          <t>2:2 در رشتهٔ کامپیوتری/ریاضی</t>
        </is>
      </c>
      <c r="M11" s="9" t="inlineStr">
        <is>
          <t>6.0</t>
        </is>
      </c>
      <c r="N11" s="9">
        <f>438</f>
        <v/>
      </c>
      <c r="O11" s="13" t="inlineStr">
        <is>
          <t>Safe/Target</t>
        </is>
      </c>
      <c r="P11" s="9" t="inlineStr">
        <is>
          <t>5/5 — داغ‌ترین بازار؛ «AI Engineer» سریع‌ترین‌رشد (LinkedIn 2026)؛ ولی برنامه‌های ریاضی‌محور (Tübingen، UvA، KTH) بسیار رقابتی‌اند</t>
        </is>
      </c>
      <c r="Q11" s="9" t="inlineStr">
        <is>
          <t>ورودی اکتبر ۲۰۲۶ تأیید شده</t>
        </is>
      </c>
      <c r="R11" s="19" t="inlineStr">
        <is>
          <t>https://www.essex.ac.uk/courses/pg00457/1/msc-artificial-intelligence</t>
        </is>
      </c>
    </row>
    <row r="12">
      <c r="A12" s="6" t="n">
        <v>11</v>
      </c>
      <c r="B12" s="6" t="inlineStr">
        <is>
          <t>انگلستان</t>
        </is>
      </c>
      <c r="C12" s="9" t="inlineStr">
        <is>
          <t>University of Leicester</t>
        </is>
      </c>
      <c r="D12" s="9" t="inlineStr">
        <is>
          <t>Leicester (لستر) — میدلندز</t>
        </is>
      </c>
      <c r="E12" s="9" t="inlineStr">
        <is>
          <t>متوسط — $1,330–1,720</t>
        </is>
      </c>
      <c r="F12" s="9" t="inlineStr">
        <is>
          <t>MSc Advanced Computer Science</t>
        </is>
      </c>
      <c r="G12" s="9" t="inlineStr">
        <is>
          <t>مهندسی نرم‌افزار / علوم کامپیوتر</t>
        </is>
      </c>
      <c r="H12" s="9" t="inlineStr">
        <is>
          <t>۱ سال</t>
        </is>
      </c>
      <c r="I12" s="9" t="inlineStr">
        <is>
          <t>$32,100</t>
        </is>
      </c>
      <c r="J12" s="9" t="inlineStr">
        <is>
          <t>$32,100</t>
        </is>
      </c>
      <c r="K12" s="18" t="inlineStr">
        <is>
          <t>$48–53k</t>
        </is>
      </c>
      <c r="L12" s="9" t="inlineStr">
        <is>
          <t>2:1 (سابقهٔ کار مرتبط جبران می‌کند)</t>
        </is>
      </c>
      <c r="M12" s="9" t="inlineStr">
        <is>
          <t>6.5</t>
        </is>
      </c>
      <c r="N12" s="9">
        <f>314</f>
        <v/>
      </c>
      <c r="O12" s="10" t="inlineStr">
        <is>
          <t>Target</t>
        </is>
      </c>
      <c r="P12" s="9" t="inlineStr">
        <is>
          <t>4/5 — بیشترین حجم آگهی در هر ۶ کشور؛ ورود جونیور از ۲۰۲۳ سخت‌تر شده — سابقهٔ کار شما مزیت است</t>
        </is>
      </c>
      <c r="Q12" s="9" t="inlineStr">
        <is>
          <t>رتبهٔ بهتر با شهریهٔ نزدیک Essex</t>
        </is>
      </c>
      <c r="R12" s="19" t="inlineStr">
        <is>
          <t>https://le.ac.uk/courses/advanced-computer-science-msc/2026</t>
        </is>
      </c>
    </row>
    <row r="13">
      <c r="A13" s="6" t="n">
        <v>12</v>
      </c>
      <c r="B13" s="6" t="inlineStr">
        <is>
          <t>انگلستان</t>
        </is>
      </c>
      <c r="C13" s="9" t="inlineStr">
        <is>
          <t>University of Leicester</t>
        </is>
      </c>
      <c r="D13" s="9" t="inlineStr">
        <is>
          <t>Leicester (لستر) — میدلندز</t>
        </is>
      </c>
      <c r="E13" s="9" t="inlineStr">
        <is>
          <t>متوسط — $1,330–1,720</t>
        </is>
      </c>
      <c r="F13" s="9" t="inlineStr">
        <is>
          <t>MSc Artificial Intelligence</t>
        </is>
      </c>
      <c r="G13" s="9" t="inlineStr">
        <is>
          <t>هوش مصنوعی / یادگیری ماشین</t>
        </is>
      </c>
      <c r="H13" s="9" t="inlineStr">
        <is>
          <t>۱ سال</t>
        </is>
      </c>
      <c r="I13" s="9" t="inlineStr">
        <is>
          <t>$32,100</t>
        </is>
      </c>
      <c r="J13" s="9" t="inlineStr">
        <is>
          <t>$32,100</t>
        </is>
      </c>
      <c r="K13" s="18" t="inlineStr">
        <is>
          <t>$48–53k</t>
        </is>
      </c>
      <c r="L13" s="9" t="inlineStr">
        <is>
          <t>2:1</t>
        </is>
      </c>
      <c r="M13" s="9" t="inlineStr">
        <is>
          <t>6.5</t>
        </is>
      </c>
      <c r="N13" s="9">
        <f>314</f>
        <v/>
      </c>
      <c r="O13" s="10" t="inlineStr">
        <is>
          <t>Target</t>
        </is>
      </c>
      <c r="P13" s="9" t="inlineStr">
        <is>
          <t>5/5 — داغ‌ترین بازار؛ «AI Engineer» سریع‌ترین‌رشد (LinkedIn 2026)؛ ولی برنامه‌های ریاضی‌محور (Tübingen، UvA، KTH) بسیار رقابتی‌اند</t>
        </is>
      </c>
      <c r="Q13" s="9" t="inlineStr"/>
      <c r="R13" s="19" t="inlineStr">
        <is>
          <t>https://le.ac.uk/courses/artificial-intelligence-msc/2026</t>
        </is>
      </c>
    </row>
    <row r="14">
      <c r="A14" s="6" t="n">
        <v>13</v>
      </c>
      <c r="B14" s="6" t="inlineStr">
        <is>
          <t>انگلستان</t>
        </is>
      </c>
      <c r="C14" s="9" t="inlineStr">
        <is>
          <t>University of Leicester</t>
        </is>
      </c>
      <c r="D14" s="9" t="inlineStr">
        <is>
          <t>Leicester (لستر) — میدلندز</t>
        </is>
      </c>
      <c r="E14" s="9" t="inlineStr">
        <is>
          <t>متوسط — $1,330–1,720</t>
        </is>
      </c>
      <c r="F14" s="9" t="inlineStr">
        <is>
          <t>MSc Cloud Computing</t>
        </is>
      </c>
      <c r="G14" s="9" t="inlineStr">
        <is>
          <t>ابری / سیستم‌های توزیع‌شده / DevOps</t>
        </is>
      </c>
      <c r="H14" s="9" t="inlineStr">
        <is>
          <t>۱ سال</t>
        </is>
      </c>
      <c r="I14" s="9" t="inlineStr">
        <is>
          <t>$32,100</t>
        </is>
      </c>
      <c r="J14" s="9" t="inlineStr">
        <is>
          <t>$32,100</t>
        </is>
      </c>
      <c r="K14" s="18" t="inlineStr">
        <is>
          <t>$48–53k</t>
        </is>
      </c>
      <c r="L14" s="9" t="inlineStr">
        <is>
          <t>2:1</t>
        </is>
      </c>
      <c r="M14" s="9" t="inlineStr">
        <is>
          <t>6.5</t>
        </is>
      </c>
      <c r="N14" s="9">
        <f>314</f>
        <v/>
      </c>
      <c r="O14" s="10" t="inlineStr">
        <is>
          <t>Target</t>
        </is>
      </c>
      <c r="P14" s="9" t="inlineStr">
        <is>
          <t>4/5 — تقاضای پایدار و کمتر مدرک‌محور؛ گواهی AWS/Azure کنار مدرک وزن زیادی دارد</t>
        </is>
      </c>
      <c r="Q14" s="9" t="inlineStr">
        <is>
          <t>یکی از معدود ارشدهای خالص Cloud در انگلستان</t>
        </is>
      </c>
      <c r="R14" s="19" t="inlineStr">
        <is>
          <t>https://le.ac.uk/courses/cloud-computing-msc/2026</t>
        </is>
      </c>
    </row>
    <row r="15">
      <c r="A15" s="6" t="n">
        <v>14</v>
      </c>
      <c r="B15" s="6" t="inlineStr">
        <is>
          <t>انگلستان</t>
        </is>
      </c>
      <c r="C15" s="9" t="inlineStr">
        <is>
          <t>Brunel University London</t>
        </is>
      </c>
      <c r="D15" s="9" t="inlineStr">
        <is>
          <t>London – Uxbridge (لندن، غرب؛ کمپوس Brunel)</t>
        </is>
      </c>
      <c r="E15" s="9" t="inlineStr">
        <is>
          <t>خیلی گران — $1,860–2,390</t>
        </is>
      </c>
      <c r="F15" s="9" t="inlineStr">
        <is>
          <t>MSc Artificial Intelligence</t>
        </is>
      </c>
      <c r="G15" s="9" t="inlineStr">
        <is>
          <t>هوش مصنوعی / یادگیری ماشین</t>
        </is>
      </c>
      <c r="H15" s="9" t="inlineStr">
        <is>
          <t>۱ سال</t>
        </is>
      </c>
      <c r="I15" s="9" t="inlineStr">
        <is>
          <t>$32,900</t>
        </is>
      </c>
      <c r="J15" s="9" t="inlineStr">
        <is>
          <t>$32,900</t>
        </is>
      </c>
      <c r="K15" s="18" t="inlineStr">
        <is>
          <t>$55–61k</t>
        </is>
      </c>
      <c r="L15" s="9" t="inlineStr">
        <is>
          <t>2:2</t>
        </is>
      </c>
      <c r="M15" s="9" t="inlineStr">
        <is>
          <t>6.5</t>
        </is>
      </c>
      <c r="N15" s="9" t="inlineStr">
        <is>
          <t>353</t>
        </is>
      </c>
      <c r="O15" s="13" t="inlineStr">
        <is>
          <t>Safe/Target</t>
        </is>
      </c>
      <c r="P15" s="9" t="inlineStr">
        <is>
          <t>5/5 — داغ‌ترین بازار؛ «AI Engineer» سریع‌ترین‌رشد (LinkedIn 2026)؛ ولی برنامه‌های ریاضی‌محور (Tübingen، UvA، KTH) بسیار رقابتی‌اند</t>
        </is>
      </c>
      <c r="Q15" s="9" t="inlineStr">
        <is>
          <t>لندن = بازار کار بزرگ ولی زندگی $1,860–2,390/ماه؛ بورس تا $7,950 تضمینی نیست</t>
        </is>
      </c>
      <c r="R15" s="19" t="inlineStr">
        <is>
          <t>https://www.brunel.ac.uk/study/courses/artificial-intelligence-msc</t>
        </is>
      </c>
    </row>
    <row r="16">
      <c r="A16" s="6" t="n">
        <v>15</v>
      </c>
      <c r="B16" s="6" t="inlineStr">
        <is>
          <t>انگلستان</t>
        </is>
      </c>
      <c r="C16" s="9" t="inlineStr">
        <is>
          <t>Brunel University London</t>
        </is>
      </c>
      <c r="D16" s="9" t="inlineStr">
        <is>
          <t>London – Uxbridge (لندن، غرب؛ کمپوس Brunel)</t>
        </is>
      </c>
      <c r="E16" s="9" t="inlineStr">
        <is>
          <t>خیلی گران — $1,860–2,390</t>
        </is>
      </c>
      <c r="F16" s="9" t="inlineStr">
        <is>
          <t>MSc Data Science and Analytics</t>
        </is>
      </c>
      <c r="G16" s="9" t="inlineStr">
        <is>
          <t>علم داده / تحلیل داده</t>
        </is>
      </c>
      <c r="H16" s="9" t="inlineStr">
        <is>
          <t>۱ سال</t>
        </is>
      </c>
      <c r="I16" s="9" t="inlineStr">
        <is>
          <t>$32,900</t>
        </is>
      </c>
      <c r="J16" s="9" t="inlineStr">
        <is>
          <t>$32,900</t>
        </is>
      </c>
      <c r="K16" s="18" t="inlineStr">
        <is>
          <t>$55–61k</t>
        </is>
      </c>
      <c r="L16" s="9" t="inlineStr">
        <is>
          <t>2:2</t>
        </is>
      </c>
      <c r="M16" s="9" t="inlineStr">
        <is>
          <t>6.5</t>
        </is>
      </c>
      <c r="N16" s="9" t="inlineStr">
        <is>
          <t>353</t>
        </is>
      </c>
      <c r="O16" s="13" t="inlineStr">
        <is>
          <t>Safe/Target</t>
        </is>
      </c>
      <c r="P16" s="9" t="inlineStr">
        <is>
          <t>3/5 — بازار ارشد/سینیور خوب، ولی سطح جونیور اشباع (ده‌ها هزار فارغ‌التحصیل مشابه)؛ Data Engineer کم‌رقابت‌تر از Data Scientist</t>
        </is>
      </c>
      <c r="Q16" s="9" t="inlineStr"/>
      <c r="R16" s="19" t="inlineStr">
        <is>
          <t>https://www.brunel.ac.uk/study/courses/data-science-and-analytics-msc</t>
        </is>
      </c>
    </row>
    <row r="17">
      <c r="A17" s="6" t="n">
        <v>16</v>
      </c>
      <c r="B17" s="6" t="inlineStr">
        <is>
          <t>انگلستان</t>
        </is>
      </c>
      <c r="C17" s="9" t="inlineStr">
        <is>
          <t>University of Kent</t>
        </is>
      </c>
      <c r="D17" s="9" t="inlineStr">
        <is>
          <t>Canterbury (کنتربری) — Kent</t>
        </is>
      </c>
      <c r="E17" s="9" t="inlineStr">
        <is>
          <t>متوسط — $1,330–1,790</t>
        </is>
      </c>
      <c r="F17" s="9" t="inlineStr">
        <is>
          <t>MSc Cyber Security (NCSC fully certified + BCS)</t>
        </is>
      </c>
      <c r="G17" s="9" t="inlineStr">
        <is>
          <t>امنیت سایبری</t>
        </is>
      </c>
      <c r="H17" s="9" t="inlineStr">
        <is>
          <t>۱ سال</t>
        </is>
      </c>
      <c r="I17" s="9" t="inlineStr">
        <is>
          <t>≈ $31,100</t>
        </is>
      </c>
      <c r="J17" s="9" t="inlineStr">
        <is>
          <t>$31,100</t>
        </is>
      </c>
      <c r="K17" s="18" t="inlineStr">
        <is>
          <t>$47–53k</t>
        </is>
      </c>
      <c r="L17" s="9" t="inlineStr">
        <is>
          <t>«good 2:2»</t>
        </is>
      </c>
      <c r="M17" s="9" t="inlineStr">
        <is>
          <t>6.5</t>
        </is>
      </c>
      <c r="N17" s="9" t="inlineStr">
        <is>
          <t>415</t>
        </is>
      </c>
      <c r="O17" s="10" t="inlineStr">
        <is>
          <t>Target</t>
        </is>
      </c>
      <c r="P17" s="9" t="inlineStr">
        <is>
          <t>4/5 — کمبود ساختاری (Bitkom: جزو ۳ کمبود اصلی آلمان)؛ اما ۳۱٪ تیم‌ها هیچ نیروی جونیور ندارند → کارآموزی/گواهی لازم است</t>
        </is>
      </c>
      <c r="Q17" s="9" t="inlineStr">
        <is>
          <t>گواهی کامل NCSC = معتبرترین برچسب امنیت در بریتانیا؛ رقم شهریه از مرجع ثانویه</t>
        </is>
      </c>
      <c r="R17" s="19" t="inlineStr">
        <is>
          <t>https://www.kent.ac.uk/courses/postgraduate/1225/cyber-security</t>
        </is>
      </c>
    </row>
    <row r="18">
      <c r="A18" s="6" t="n">
        <v>17</v>
      </c>
      <c r="B18" s="6" t="inlineStr">
        <is>
          <t>انگلستان</t>
        </is>
      </c>
      <c r="C18" s="9" t="inlineStr">
        <is>
          <t>Royal Holloway, University of London</t>
        </is>
      </c>
      <c r="D18" s="9" t="inlineStr">
        <is>
          <t>Egham، Surrey (اگام؛ ۴۰ دقیقه تا لندن)</t>
        </is>
      </c>
      <c r="E18" s="9" t="inlineStr">
        <is>
          <t>گران — $1,720–2,120</t>
        </is>
      </c>
      <c r="F18" s="9" t="inlineStr">
        <is>
          <t>MSc Information and Cyber Security</t>
        </is>
      </c>
      <c r="G18" s="9" t="inlineStr">
        <is>
          <t>امنیت سایبری</t>
        </is>
      </c>
      <c r="H18" s="9" t="inlineStr">
        <is>
          <t>۱ سال</t>
        </is>
      </c>
      <c r="I18" s="9" t="inlineStr">
        <is>
          <t>$33,800</t>
        </is>
      </c>
      <c r="J18" s="9" t="inlineStr">
        <is>
          <t>$33,800</t>
        </is>
      </c>
      <c r="K18" s="18" t="inlineStr">
        <is>
          <t>$54–59k</t>
        </is>
      </c>
      <c r="L18" s="9" t="inlineStr">
        <is>
          <t>2:2</t>
        </is>
      </c>
      <c r="M18" s="9" t="inlineStr">
        <is>
          <t>6.5</t>
        </is>
      </c>
      <c r="N18" s="9">
        <f>485</f>
        <v/>
      </c>
      <c r="O18" s="10" t="inlineStr">
        <is>
          <t>Target</t>
        </is>
      </c>
      <c r="P18" s="9" t="inlineStr">
        <is>
          <t>4/5 — کمبود ساختاری (Bitkom: جزو ۳ کمبود اصلی آلمان)؛ اما ۳۱٪ تیم‌ها هیچ نیروی جونیور ندارند → کارآموزی/گواهی لازم است</t>
        </is>
      </c>
      <c r="Q18" s="9" t="inlineStr">
        <is>
          <t>قدیمی‌ترین گروه امنیت اطلاعات بریتانیا (ISG)؛ NCSC certified</t>
        </is>
      </c>
      <c r="R18" s="19" t="inlineStr">
        <is>
          <t>https://www.royalholloway.ac.uk/studying-here/postgraduate/information-security/information-and-cyber-security/</t>
        </is>
      </c>
    </row>
    <row r="19">
      <c r="A19" s="6" t="n">
        <v>18</v>
      </c>
      <c r="B19" s="6" t="inlineStr">
        <is>
          <t>انگلستان</t>
        </is>
      </c>
      <c r="C19" s="9" t="inlineStr">
        <is>
          <t>Goldsmiths, University of London</t>
        </is>
      </c>
      <c r="D19" s="9" t="inlineStr">
        <is>
          <t>London – New Cross (لندن، جنوب شرق؛ Goldsmiths)</t>
        </is>
      </c>
      <c r="E19" s="9" t="inlineStr">
        <is>
          <t>خیلی گران — $1,860–2,390</t>
        </is>
      </c>
      <c r="F19" s="9" t="inlineStr">
        <is>
          <t>MSc Computer Games Programming</t>
        </is>
      </c>
      <c r="G19" s="9" t="inlineStr">
        <is>
          <t>توسعه بازی</t>
        </is>
      </c>
      <c r="H19" s="9" t="inlineStr">
        <is>
          <t>۱ سال</t>
        </is>
      </c>
      <c r="I19" s="9" t="inlineStr">
        <is>
          <t>$29,200</t>
        </is>
      </c>
      <c r="J19" s="9" t="inlineStr">
        <is>
          <t>$29,200</t>
        </is>
      </c>
      <c r="K19" s="18" t="inlineStr">
        <is>
          <t>$51–58k</t>
        </is>
      </c>
      <c r="L19" s="9" t="inlineStr">
        <is>
          <t>مدرک second-class در رشتهٔ برنامه‌نویسی</t>
        </is>
      </c>
      <c r="M19" s="9" t="inlineStr">
        <is>
          <t>6.5 (6.0)</t>
        </is>
      </c>
      <c r="N19" s="9" t="inlineStr">
        <is>
          <t>≈ 800–1000</t>
        </is>
      </c>
      <c r="O19" s="13" t="inlineStr">
        <is>
          <t>Safe/Target</t>
        </is>
      </c>
      <c r="P19" s="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9" t="inlineStr">
        <is>
          <t>پورتفولیوی Unity/C# شما اینجا مستقیماً به کار می‌آید؛ بازار بازی ۲۰۲۲–۲۵ ضعیف</t>
        </is>
      </c>
      <c r="R19" s="19" t="inlineStr">
        <is>
          <t>https://www.gold.ac.uk/pg/msc-computer-games-programming/</t>
        </is>
      </c>
    </row>
    <row r="20">
      <c r="A20" s="6" t="n">
        <v>19</v>
      </c>
      <c r="B20" s="6" t="inlineStr">
        <is>
          <t>انگلستان</t>
        </is>
      </c>
      <c r="C20" s="9" t="inlineStr">
        <is>
          <t>University of Surrey</t>
        </is>
      </c>
      <c r="D20" s="9" t="inlineStr">
        <is>
          <t>Guildford (گیلفورد) — Surrey، ۳۵ دقیقه تا لندن؛ قطب بازی‌سازی</t>
        </is>
      </c>
      <c r="E20" s="9" t="inlineStr">
        <is>
          <t>گران — $1,720–2,120</t>
        </is>
      </c>
      <c r="F20" s="9" t="inlineStr">
        <is>
          <t>MSc Artificial Intelligence</t>
        </is>
      </c>
      <c r="G20" s="9" t="inlineStr">
        <is>
          <t>هوش مصنوعی / یادگیری ماشین</t>
        </is>
      </c>
      <c r="H20" s="9" t="inlineStr">
        <is>
          <t>۱ سال</t>
        </is>
      </c>
      <c r="I20" s="9" t="inlineStr">
        <is>
          <t>≈ $35,600–36,400</t>
        </is>
      </c>
      <c r="J20" s="9" t="inlineStr">
        <is>
          <t>$35,600–36,400</t>
        </is>
      </c>
      <c r="K20" s="18" t="inlineStr">
        <is>
          <t>$56–62k</t>
        </is>
      </c>
      <c r="L20" s="9" t="inlineStr">
        <is>
          <t>2:2</t>
        </is>
      </c>
      <c r="M20" s="9" t="inlineStr">
        <is>
          <t>6.5</t>
        </is>
      </c>
      <c r="N20" s="9">
        <f>246</f>
        <v/>
      </c>
      <c r="O20" s="10" t="inlineStr">
        <is>
          <t>Target</t>
        </is>
      </c>
      <c r="P20" s="9" t="inlineStr">
        <is>
          <t>5/5 — داغ‌ترین بازار؛ «AI Engineer» سریع‌ترین‌رشد (LinkedIn 2026)؛ ولی برنامه‌های ریاضی‌محور (Tübingen، UvA، KTH) بسیار رقابتی‌اند</t>
        </is>
      </c>
      <c r="Q20" s="9" t="inlineStr">
        <is>
          <t>Guildford قطب بازی‌سازی و امنیت بریتانیا (نزدیک لندن)؛ رقم AI برآورد است (Cyber همین دانشگاه: $35,600 برای سپتامبر ۲۰۲۷ رسمی)</t>
        </is>
      </c>
      <c r="R20" s="19" t="inlineStr">
        <is>
          <t>https://www.surrey.ac.uk/postgraduate/artificial-intelligence-msc</t>
        </is>
      </c>
    </row>
    <row r="21">
      <c r="A21" s="6" t="n">
        <v>20</v>
      </c>
      <c r="B21" s="6" t="inlineStr">
        <is>
          <t>انگلستان</t>
        </is>
      </c>
      <c r="C21" s="9" t="inlineStr">
        <is>
          <t>University of Surrey</t>
        </is>
      </c>
      <c r="D21" s="9" t="inlineStr">
        <is>
          <t>Guildford (گیلفورد) — Surrey، ۳۵ دقیقه تا لندن؛ قطب بازی‌سازی</t>
        </is>
      </c>
      <c r="E21" s="9" t="inlineStr">
        <is>
          <t>گران — $1,720–2,120</t>
        </is>
      </c>
      <c r="F21" s="9" t="inlineStr">
        <is>
          <t>MSc Cyber Security (NCSC)</t>
        </is>
      </c>
      <c r="G21" s="9" t="inlineStr">
        <is>
          <t>امنیت سایبری</t>
        </is>
      </c>
      <c r="H21" s="9" t="inlineStr">
        <is>
          <t>۱ سال</t>
        </is>
      </c>
      <c r="I21" s="9" t="inlineStr">
        <is>
          <t>$35,600 (ورودی سپتامبر ۲۰۲۷ — رسمی؛ فوریه ۲۰۲۷: $34,300)</t>
        </is>
      </c>
      <c r="J21" s="9" t="inlineStr">
        <is>
          <t>$35,600</t>
        </is>
      </c>
      <c r="K21" s="18" t="inlineStr">
        <is>
          <t>$56–61k</t>
        </is>
      </c>
      <c r="L21" s="9" t="inlineStr">
        <is>
          <t>2:2</t>
        </is>
      </c>
      <c r="M21" s="9" t="inlineStr">
        <is>
          <t>6.5 (W 6.0)</t>
        </is>
      </c>
      <c r="N21" s="9">
        <f>246</f>
        <v/>
      </c>
      <c r="O21" s="10" t="inlineStr">
        <is>
          <t>Target</t>
        </is>
      </c>
      <c r="P21" s="9" t="inlineStr">
        <is>
          <t>4/5 — کمبود ساختاری (Bitkom: جزو ۳ کمبود اصلی آلمان)؛ اما ۳۱٪ تیم‌ها هیچ نیروی جونیور ندارند → کارآموزی/گواهی لازم است</t>
        </is>
      </c>
      <c r="Q21" s="9" t="inlineStr">
        <is>
          <t>رقم رسمی دقیقاً برای سال ورود شما (سپتامبر ۲۰۲۷)</t>
        </is>
      </c>
      <c r="R21" s="19" t="inlineStr">
        <is>
          <t>https://www.surrey.ac.uk/postgraduate/cyber-security-msc</t>
        </is>
      </c>
    </row>
    <row r="22">
      <c r="A22" s="6" t="n">
        <v>21</v>
      </c>
      <c r="B22" s="6" t="inlineStr">
        <is>
          <t>انگلستان</t>
        </is>
      </c>
      <c r="C22" s="9" t="inlineStr">
        <is>
          <t>University of York</t>
        </is>
      </c>
      <c r="D22" s="9" t="inlineStr">
        <is>
          <t>York (یورک) — شمال انگلستان</t>
        </is>
      </c>
      <c r="E22" s="9" t="inlineStr">
        <is>
          <t>متوسط — $1,330–1,790</t>
        </is>
      </c>
      <c r="F22" s="9" t="inlineStr">
        <is>
          <t>MSc Advanced Computer Science</t>
        </is>
      </c>
      <c r="G22" s="9" t="inlineStr">
        <is>
          <t>مهندسی نرم‌افزار / علوم کامپیوتر</t>
        </is>
      </c>
      <c r="H22" s="9" t="inlineStr">
        <is>
          <t>۱ سال</t>
        </is>
      </c>
      <c r="I22" s="9" t="inlineStr">
        <is>
          <t>$43,600</t>
        </is>
      </c>
      <c r="J22" s="9" t="inlineStr">
        <is>
          <t>$43,600</t>
        </is>
      </c>
      <c r="K22" s="18" t="inlineStr">
        <is>
          <t>$59–65k</t>
        </is>
      </c>
      <c r="L22" s="9" t="inlineStr">
        <is>
          <t>2:2 با پیش‌زمینهٔ قوی</t>
        </is>
      </c>
      <c r="M22" s="9" t="inlineStr">
        <is>
          <t>6.5</t>
        </is>
      </c>
      <c r="N22" s="9">
        <f>158</f>
        <v/>
      </c>
      <c r="O22" s="11" t="inlineStr">
        <is>
          <t>Target/Reach</t>
        </is>
      </c>
      <c r="P22" s="9" t="inlineStr">
        <is>
          <t>4/5 — بیشترین حجم آگهی در هر ۶ کشور؛ ورود جونیور از ۲۰۲۳ سخت‌تر شده — سابقهٔ کار شما مزیت است</t>
        </is>
      </c>
      <c r="Q22" s="9" t="inlineStr">
        <is>
          <t>Russell Group؛ گران</t>
        </is>
      </c>
      <c r="R22" s="19" t="inlineStr">
        <is>
          <t>https://www.york.ac.uk/study/postgraduate-taught/courses/msc-advanced-computer-science/</t>
        </is>
      </c>
    </row>
    <row r="23">
      <c r="A23" s="6" t="n">
        <v>22</v>
      </c>
      <c r="B23" s="6" t="inlineStr">
        <is>
          <t>انگلستان</t>
        </is>
      </c>
      <c r="C23" s="9" t="inlineStr">
        <is>
          <t>University of York</t>
        </is>
      </c>
      <c r="D23" s="9" t="inlineStr">
        <is>
          <t>York (یورک) — شمال انگلستان</t>
        </is>
      </c>
      <c r="E23" s="9" t="inlineStr">
        <is>
          <t>متوسط — $1,330–1,790</t>
        </is>
      </c>
      <c r="F23" s="9" t="inlineStr">
        <is>
          <t>MSc Human-Centred Interactive Technologies</t>
        </is>
      </c>
      <c r="G23" s="9" t="inlineStr">
        <is>
          <t>HCI / طراحی تعامل / UX</t>
        </is>
      </c>
      <c r="H23" s="9" t="inlineStr">
        <is>
          <t>۱ سال</t>
        </is>
      </c>
      <c r="I23" s="9" t="inlineStr">
        <is>
          <t>$43,600</t>
        </is>
      </c>
      <c r="J23" s="9" t="inlineStr">
        <is>
          <t>$43,600</t>
        </is>
      </c>
      <c r="K23" s="18" t="inlineStr">
        <is>
          <t>$59–65k</t>
        </is>
      </c>
      <c r="L23" s="9" t="inlineStr">
        <is>
          <t>2:2</t>
        </is>
      </c>
      <c r="M23" s="9" t="inlineStr">
        <is>
          <t>6.5</t>
        </is>
      </c>
      <c r="N23" s="9">
        <f>158</f>
        <v/>
      </c>
      <c r="O23" s="10" t="inlineStr">
        <is>
          <t>Target</t>
        </is>
      </c>
      <c r="P23" s="9" t="inlineStr">
        <is>
          <t>2/5 — آگهی‌های UX/UXR از ۲۰۲۲ حدود ۷۰٪ کم شده و از ۲۰۲۳ ثابت مانده؛ رقابت شدید، حقوق شروع کمتر از توسعه‌دهنده</t>
        </is>
      </c>
      <c r="Q23" s="9" t="inlineStr">
        <is>
          <t>بهترین برنامهٔ HCI انگلستان برای معدل شما؛ ولی بازار UX ضعیف</t>
        </is>
      </c>
      <c r="R23" s="19" t="inlineStr">
        <is>
          <t>https://www.york.ac.uk/study/postgraduate-taught/courses/msc-human-centred-interactive-technologies/</t>
        </is>
      </c>
    </row>
    <row r="24">
      <c r="A24" s="6" t="n">
        <v>23</v>
      </c>
      <c r="B24" s="6" t="inlineStr">
        <is>
          <t>انگلستان</t>
        </is>
      </c>
      <c r="C24" s="9" t="inlineStr">
        <is>
          <t>Newcastle University (Russell Group)</t>
        </is>
      </c>
      <c r="D24" s="9" t="inlineStr">
        <is>
          <t>Newcastle upon Tyne (نیوکاسل) — شمال شرق</t>
        </is>
      </c>
      <c r="E24" s="9" t="inlineStr">
        <is>
          <t>ارزان تا متوسط — $1,260–1,660</t>
        </is>
      </c>
      <c r="F24" s="9" t="inlineStr">
        <is>
          <t>MSc Computer Game Engineering</t>
        </is>
      </c>
      <c r="G24" s="9" t="inlineStr">
        <is>
          <t>توسعه بازی</t>
        </is>
      </c>
      <c r="H24" s="9" t="inlineStr">
        <is>
          <t>۱ سال</t>
        </is>
      </c>
      <c r="I24" s="9" t="inlineStr">
        <is>
          <t>$42,800 (2026)</t>
        </is>
      </c>
      <c r="J24" s="9" t="inlineStr">
        <is>
          <t>$42,800</t>
        </is>
      </c>
      <c r="K24" s="18" t="inlineStr">
        <is>
          <t>$58–63k</t>
        </is>
      </c>
      <c r="L24" s="9" t="inlineStr">
        <is>
          <t>2:2 در رشتهٔ کامپیوتری/ریاضی‌محور (طبق QS TopUniversities و IDP — صفحهٔ رسمی را چک کنید)</t>
        </is>
      </c>
      <c r="M24" s="9" t="inlineStr">
        <is>
          <t>6.5</t>
        </is>
      </c>
      <c r="N24" s="9" t="inlineStr">
        <is>
          <t>149</t>
        </is>
      </c>
      <c r="O24" s="11" t="inlineStr">
        <is>
          <t>Target/Reach</t>
        </is>
      </c>
      <c r="P24" s="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9" t="inlineStr">
        <is>
          <t>معتبرترین ارشد مهندسی بازی انگلستان؛ گران</t>
        </is>
      </c>
      <c r="R24" s="19" t="inlineStr">
        <is>
          <t>https://www.ncl.ac.uk/postgraduate/</t>
        </is>
      </c>
    </row>
    <row r="25">
      <c r="A25" s="6" t="n">
        <v>24</v>
      </c>
      <c r="B25" s="6" t="inlineStr">
        <is>
          <t>انگلستان</t>
        </is>
      </c>
      <c r="C25" s="9" t="inlineStr">
        <is>
          <t>Lancaster University</t>
        </is>
      </c>
      <c r="D25" s="9" t="inlineStr">
        <is>
          <t>Lancaster (لنکستر) — شمال غرب</t>
        </is>
      </c>
      <c r="E25" s="9" t="inlineStr">
        <is>
          <t>ارزان تا متوسط — $1,260–1,660</t>
        </is>
      </c>
      <c r="F25" s="9" t="inlineStr">
        <is>
          <t>MSc Cyber Security</t>
        </is>
      </c>
      <c r="G25" s="9" t="inlineStr">
        <is>
          <t>امنیت سایبری</t>
        </is>
      </c>
      <c r="H25" s="9" t="inlineStr">
        <is>
          <t>۱ سال</t>
        </is>
      </c>
      <c r="I25" s="9" t="inlineStr">
        <is>
          <t>$39,800 (بورس خودکار $5,960 با 2:1)</t>
        </is>
      </c>
      <c r="J25" s="9" t="inlineStr">
        <is>
          <t>$39,800</t>
        </is>
      </c>
      <c r="K25" s="18" t="inlineStr">
        <is>
          <t>$55–60k</t>
        </is>
      </c>
      <c r="L25" s="9" t="inlineStr">
        <is>
          <t>2:1</t>
        </is>
      </c>
      <c r="M25" s="9" t="inlineStr">
        <is>
          <t>6.5</t>
        </is>
      </c>
      <c r="N25" s="9" t="inlineStr">
        <is>
          <t>164</t>
        </is>
      </c>
      <c r="O25" s="20" t="inlineStr">
        <is>
          <t>Reach</t>
        </is>
      </c>
      <c r="P25" s="9" t="inlineStr">
        <is>
          <t>4/5 — کمبود ساختاری (Bitkom: جزو ۳ کمبود اصلی آلمان)؛ اما ۳۱٪ تیم‌ها هیچ نیروی جونیور ندارند → کارآموزی/گواهی لازم است</t>
        </is>
      </c>
      <c r="Q25" s="9" t="inlineStr">
        <is>
          <t>NCSC-certified؛ شرط 2:1 برای معدل شما سخت است</t>
        </is>
      </c>
      <c r="R25" s="19" t="inlineStr">
        <is>
          <t>https://www.lancaster.ac.uk/study/postgraduate/postgraduate-courses/cyber-security-msc/2026/</t>
        </is>
      </c>
    </row>
    <row r="26">
      <c r="A26" s="6" t="n">
        <v>25</v>
      </c>
      <c r="B26" s="6" t="inlineStr">
        <is>
          <t>انگلستان</t>
        </is>
      </c>
      <c r="C26" s="9" t="inlineStr">
        <is>
          <t>University of Sheffield (Russell Group)</t>
        </is>
      </c>
      <c r="D26" s="9" t="inlineStr">
        <is>
          <t>Sheffield (شفیلد) — یورکشایر</t>
        </is>
      </c>
      <c r="E26" s="9" t="inlineStr">
        <is>
          <t>ارزان تا متوسط — $1,260–1,660</t>
        </is>
      </c>
      <c r="F26" s="9" t="inlineStr">
        <is>
          <t>MSc Artificial Intelligence</t>
        </is>
      </c>
      <c r="G26" s="9" t="inlineStr">
        <is>
          <t>هوش مصنوعی / یادگیری ماشین</t>
        </is>
      </c>
      <c r="H26" s="9" t="inlineStr">
        <is>
          <t>۱ سال</t>
        </is>
      </c>
      <c r="I26" s="9" t="inlineStr">
        <is>
          <t>≈ $43,600–45,500 (2026؛ MSc AI for Engineering همین دانشگاه رسماً $43,600)</t>
        </is>
      </c>
      <c r="J26" s="9" t="inlineStr">
        <is>
          <t>$43,600–45,500</t>
        </is>
      </c>
      <c r="K26" s="18" t="inlineStr">
        <is>
          <t>$59–65k</t>
        </is>
      </c>
      <c r="L26" s="9" t="inlineStr">
        <is>
          <t>2:1</t>
        </is>
      </c>
      <c r="M26" s="9" t="inlineStr">
        <is>
          <t>6.5</t>
        </is>
      </c>
      <c r="N26" s="9" t="inlineStr">
        <is>
          <t>82</t>
        </is>
      </c>
      <c r="O26" s="20" t="inlineStr">
        <is>
          <t>Reach</t>
        </is>
      </c>
      <c r="P26" s="9" t="inlineStr">
        <is>
          <t>5/5 — داغ‌ترین بازار؛ «AI Engineer» سریع‌ترین‌رشد (LinkedIn 2026)؛ ولی برنامه‌های ریاضی‌محور (Tübingen، UvA، KTH) بسیار رقابتی‌اند</t>
        </is>
      </c>
      <c r="Q26" s="9" t="inlineStr">
        <is>
          <t>رتبهٔ بالا، شهریه و شرط ورود بالا؛ رقم دقیق MSc AI را از صفحهٔ رسمی بگیرید</t>
        </is>
      </c>
      <c r="R26" s="19" t="inlineStr">
        <is>
          <t>https://www.sheffield.ac.uk/postgraduate/taught/courses</t>
        </is>
      </c>
    </row>
    <row r="27">
      <c r="A27" s="6" t="n">
        <v>26</v>
      </c>
      <c r="B27" s="6" t="inlineStr">
        <is>
          <t>انگلستان</t>
        </is>
      </c>
      <c r="C27" s="9" t="inlineStr">
        <is>
          <t>Imperial College London (Russell Group)</t>
        </is>
      </c>
      <c r="D27" s="9" t="inlineStr">
        <is>
          <t>London – مرکز (South Kensington / Bloomsbury / Strand؛ Imperial، UCL، KCL)</t>
        </is>
      </c>
      <c r="E27" s="9" t="inlineStr">
        <is>
          <t>خیلی گران — $2,120–2,520 (برآورد خود Imperial: $21.7–22.5k برای ۹ ماه)</t>
        </is>
      </c>
      <c r="F27" s="9" t="inlineStr">
        <is>
          <t>MSc Computing (Artificial Intelligence and Machine Learning) / MSc Computing</t>
        </is>
      </c>
      <c r="G27" s="9" t="inlineStr">
        <is>
          <t>هوش مصنوعی / یادگیری ماشین</t>
        </is>
      </c>
      <c r="H27" s="9" t="inlineStr">
        <is>
          <t>۱ سال</t>
        </is>
      </c>
      <c r="I27" s="9" t="inlineStr">
        <is>
          <t>$61,000 (2026/27 رسمی؛ 2027/28 هنوز اعلام نشده)</t>
        </is>
      </c>
      <c r="J27" s="9" t="inlineStr">
        <is>
          <t>$61,000</t>
        </is>
      </c>
      <c r="K27" s="18" t="inlineStr">
        <is>
          <t>$86–91k</t>
        </is>
      </c>
      <c r="L27" s="9" t="inlineStr">
        <is>
          <t>First-class honours در رشته‌ای با محتوای قابل توجه Computing — برای مدرک ایرانی ≥ ۱۷–۱۸/۲۰ → با ۱۵.۷۷ رسماً واجد شرایط نیستید</t>
        </is>
      </c>
      <c r="M27" s="9" t="inlineStr">
        <is>
          <t>7.0 (higher requirement؛ هر بخش ≥ 6.5)</t>
        </is>
      </c>
      <c r="N27" s="9">
        <f>2</f>
        <v/>
      </c>
      <c r="O27" s="20" t="inlineStr">
        <is>
          <t>Reach</t>
        </is>
      </c>
      <c r="P27" s="9" t="inlineStr">
        <is>
          <t>5/5 — داغ‌ترین بازار؛ «AI Engineer» سریع‌ترین‌رشد (LinkedIn 2026)؛ ولی برنامه‌های ریاضی‌محور (Tübingen، UvA، KTH) بسیار رقابتی‌اند</t>
        </is>
      </c>
      <c r="Q27" s="9"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19" t="inlineStr">
        <is>
          <t>https://www.imperial.ac.uk/study/courses/postgraduate-taught/computing-artificial-intelligence-msc/</t>
        </is>
      </c>
    </row>
    <row r="28">
      <c r="A28" s="6" t="n">
        <v>27</v>
      </c>
      <c r="B28" s="6" t="inlineStr">
        <is>
          <t>انگلستان</t>
        </is>
      </c>
      <c r="C28" s="9" t="inlineStr">
        <is>
          <t>UCL – University College London (Russell Group)</t>
        </is>
      </c>
      <c r="D28" s="9" t="inlineStr">
        <is>
          <t>London – مرکز (South Kensington / Bloomsbury / Strand؛ Imperial، UCL، KCL)</t>
        </is>
      </c>
      <c r="E28" s="9" t="inlineStr">
        <is>
          <t>خیلی گران — $2,120–2,520 (برآورد خود Imperial: $21.7–22.5k برای ۹ ماه)</t>
        </is>
      </c>
      <c r="F28" s="9" t="inlineStr">
        <is>
          <t>MSc Software Systems Engineering / MSc Machine Learning (MSc Computer Science تبدیلی است و برای فارغ‌التحصیل CS باز نیست)</t>
        </is>
      </c>
      <c r="G28" s="9" t="inlineStr">
        <is>
          <t>مهندسی نرم‌افزار / علوم کامپیوتر</t>
        </is>
      </c>
      <c r="H28" s="9" t="inlineStr">
        <is>
          <t>۱ سال</t>
        </is>
      </c>
      <c r="I28" s="9" t="inlineStr">
        <is>
          <t>≈ $56,600–61,900 (2026/27؛ MSc Computer Science رسماً $56,600)</t>
        </is>
      </c>
      <c r="J28" s="9" t="inlineStr">
        <is>
          <t>$56,600–61,900</t>
        </is>
      </c>
      <c r="K28" s="18" t="inlineStr">
        <is>
          <t>$82–92k</t>
        </is>
      </c>
      <c r="L28" s="9" t="inlineStr">
        <is>
          <t>2:1 (upper second) — جدول تطبیق ایرانِ UCL را نتوانستم رسمی تأیید کنم (معمولاً ۱۵–۱۶/۲۰)؛ ریاضی قوی؛ هزینهٔ درخواست $120؛ ودیعهٔ ۱۰٪ شهریه</t>
        </is>
      </c>
      <c r="M28" s="9" t="inlineStr">
        <is>
          <t>7.0 (Level 2؛ هر بخش ≥ 6.5)</t>
        </is>
      </c>
      <c r="N28" s="9">
        <f>9</f>
        <v/>
      </c>
      <c r="O28" s="20" t="inlineStr">
        <is>
          <t>Reach</t>
        </is>
      </c>
      <c r="P28" s="9" t="inlineStr">
        <is>
          <t>4/5 — بیشترین حجم آگهی در هر ۶ کشور؛ ورود جونیور از ۲۰۲۳ سخت‌تر شده — سابقهٔ کار شما مزیت است</t>
        </is>
      </c>
      <c r="Q28" s="9" t="inlineStr">
        <is>
          <t>QS 2027 #9 · High Fliers 2026: پنجمین دانشگاه هدف کارفرمایان بزرگ · لندن گران‌ترین زندگی · با ۱۵.۷۷ مرزی-پایین</t>
        </is>
      </c>
      <c r="R28" s="19" t="inlineStr">
        <is>
          <t>https://www.ucl.ac.uk/prospective-students/graduate/taught-degrees/computer-science-msc-2026</t>
        </is>
      </c>
    </row>
    <row r="29">
      <c r="A29" s="6" t="n">
        <v>28</v>
      </c>
      <c r="B29" s="6" t="inlineStr">
        <is>
          <t>انگلستان</t>
        </is>
      </c>
      <c r="C29" s="9" t="inlineStr">
        <is>
          <t>King's College London (Russell Group)</t>
        </is>
      </c>
      <c r="D29" s="9" t="inlineStr">
        <is>
          <t>London – مرکز (South Kensington / Bloomsbury / Strand؛ Imperial، UCL، KCL)</t>
        </is>
      </c>
      <c r="E29" s="9" t="inlineStr">
        <is>
          <t>خیلی گران — $2,120–2,520 (برآورد خود Imperial: $21.7–22.5k برای ۹ ماه)</t>
        </is>
      </c>
      <c r="F29" s="9" t="inlineStr">
        <is>
          <t>MSc Advanced Computing / MSc Artificial Intelligence</t>
        </is>
      </c>
      <c r="G29" s="9" t="inlineStr">
        <is>
          <t>مهندسی نرم‌افزار / علوم کامپیوتر</t>
        </is>
      </c>
      <c r="H29" s="9" t="inlineStr">
        <is>
          <t>۱ سال</t>
        </is>
      </c>
      <c r="I29" s="9" t="inlineStr">
        <is>
          <t>$53,600 (2026)</t>
        </is>
      </c>
      <c r="J29" s="9" t="inlineStr">
        <is>
          <t>$53,600</t>
        </is>
      </c>
      <c r="K29" s="18" t="inlineStr">
        <is>
          <t>$79–84k</t>
        </is>
      </c>
      <c r="L29" s="9" t="inlineStr">
        <is>
          <t>«high 2:1» = ۶۵٪ — جدول رسمی KCL برای ایران: ۱۷/۲۰ (2:1 معمولی = ۱۵/۲۰، First = ۱۸/۲۰) → با ۱۵.۷۷ زیر خط، مگر با سابقهٔ کار قابل توجه</t>
        </is>
      </c>
      <c r="M29" s="9" t="inlineStr">
        <is>
          <t>7.0 (هر بخش ≥ 6.5)</t>
        </is>
      </c>
      <c r="N29" s="9">
        <f>31</f>
        <v/>
      </c>
      <c r="O29" s="20" t="inlineStr">
        <is>
          <t>Reach</t>
        </is>
      </c>
      <c r="P29" s="9" t="inlineStr">
        <is>
          <t>4/5 — بیشترین حجم آگهی در هر ۶ کشور؛ ورود جونیور از ۲۰۲۳ سخت‌تر شده — سابقهٔ کار شما مزیت است</t>
        </is>
      </c>
      <c r="Q29" s="9" t="inlineStr">
        <is>
          <t>QS 2027 ≈ 31 · Strand، مرکز لندن · نیاز به ۱۷/۲۰ یعنی «high 2:1» — سابقهٔ کار ۲ ساله ممکن است جبران کند (خود KCL این را می‌گوید)، ولی امیدوار نباشید</t>
        </is>
      </c>
      <c r="R29" s="19" t="inlineStr">
        <is>
          <t>https://www.kcl.ac.uk/study-legacy/postgraduate/apply/entry-requirements/international</t>
        </is>
      </c>
    </row>
    <row r="30">
      <c r="A30" s="6" t="n">
        <v>29</v>
      </c>
      <c r="B30" s="6" t="inlineStr">
        <is>
          <t>انگلستان</t>
        </is>
      </c>
      <c r="C30" s="9" t="inlineStr">
        <is>
          <t>University of Warwick (Russell Group)</t>
        </is>
      </c>
      <c r="D30" s="9" t="inlineStr">
        <is>
          <t>Coventry (کاونتری) — کمپوس Warwick؛ میدلندز</t>
        </is>
      </c>
      <c r="E30" s="9" t="inlineStr">
        <is>
          <t>متوسط — $1,330–1,660</t>
        </is>
      </c>
      <c r="F30" s="9" t="inlineStr">
        <is>
          <t>MSc Computer Science</t>
        </is>
      </c>
      <c r="G30" s="9" t="inlineStr">
        <is>
          <t>مهندسی نرم‌افزار / علوم کامپیوتر</t>
        </is>
      </c>
      <c r="H30" s="9" t="inlineStr">
        <is>
          <t>۱ سال</t>
        </is>
      </c>
      <c r="I30" s="9" t="inlineStr">
        <is>
          <t>$49,600 (2026 entry)</t>
        </is>
      </c>
      <c r="J30" s="9" t="inlineStr">
        <is>
          <t>$49,600</t>
        </is>
      </c>
      <c r="K30" s="18" t="inlineStr">
        <is>
          <t>$66–70k</t>
        </is>
      </c>
      <c r="L30" s="9" t="inlineStr">
        <is>
          <t>2:1 — جدول رسمی Warwick برای ایران: 1st = ۱۷/۲۰، 2:1 = ۱۵/۲۰، 2:2 = ۱۳/۲۰ → ۱۵.۷۷ ✓ (پذیرش PGT ≈ ۲۲٪، رقابتی)</t>
        </is>
      </c>
      <c r="M30" s="9" t="inlineStr">
        <is>
          <t>7.0 (اکثر PGT؛ بعضی 6.5)</t>
        </is>
      </c>
      <c r="N30" s="9">
        <f>69</f>
        <v/>
      </c>
      <c r="O30" s="11" t="inlineStr">
        <is>
          <t>Target/Reach</t>
        </is>
      </c>
      <c r="P30" s="9" t="inlineStr">
        <is>
          <t>4/5 — بیشترین حجم آگهی در هر ۶ کشور؛ ورود جونیور از ۲۰۲۳ سخت‌تر شده — سابقهٔ کار شما مزیت است</t>
        </is>
      </c>
      <c r="Q30" s="9" t="inlineStr">
        <is>
          <t>QS 2027 ≈ 69 · High Fliers 2026: چهارمین دانشگاه هدف کارفرمایان · Coventry ارزان‌تر از لندن · هزینهٔ درخواست $99، ودیعهٔ $3,310 · واقع‌بینانه‌ترین «برند بزرگ» برای معدل شما</t>
        </is>
      </c>
      <c r="R30" s="19" t="inlineStr">
        <is>
          <t>https://warwick.ac.uk/study/international/countryinformation/middleeast/iran/</t>
        </is>
      </c>
    </row>
    <row r="31">
      <c r="A31" s="6" t="n">
        <v>30</v>
      </c>
      <c r="B31" s="6" t="inlineStr">
        <is>
          <t>انگلستان</t>
        </is>
      </c>
      <c r="C31" s="9" t="inlineStr">
        <is>
          <t>University of Bristol (Russell Group)</t>
        </is>
      </c>
      <c r="D31" s="9" t="inlineStr">
        <is>
          <t>Bristol (بریستول) — جنوب غرب؛ قطب فناوری/هوافضا</t>
        </is>
      </c>
      <c r="E31" s="9" t="inlineStr">
        <is>
          <t>گران — $1,590–1,920</t>
        </is>
      </c>
      <c r="F31" s="9" t="inlineStr">
        <is>
          <t>MSc Data Science (برای فارغ‌التحصیل CS/مهندسی؛ MSc Computer Science بریستول تبدیلی است)</t>
        </is>
      </c>
      <c r="G31" s="9" t="inlineStr">
        <is>
          <t>علم داده / تحلیل داده</t>
        </is>
      </c>
      <c r="H31" s="9" t="inlineStr">
        <is>
          <t>۱ سال</t>
        </is>
      </c>
      <c r="I31" s="9" t="inlineStr">
        <is>
          <t>$50,200 (2027/28 رسمی — ورودی سپتامبر ۲۰۲۷)</t>
        </is>
      </c>
      <c r="J31" s="9" t="inlineStr">
        <is>
          <t>$50,200</t>
        </is>
      </c>
      <c r="K31" s="18" t="inlineStr">
        <is>
          <t>$69–73k</t>
        </is>
      </c>
      <c r="L31" s="9" t="inlineStr">
        <is>
          <t>«strong 2:1 (۶۵٪+)» در CS/مهندسی/علوم عددی؛ صفحهٔ ایرانِ بریستول: کارشناسی ۴ ساله از دانشگاه مورد تأیید با حداقل ۱۵/۲۰ → ۱۵.۷۷ حداقل را رد می‌کند ولی «strong» نیست</t>
        </is>
      </c>
      <c r="M31" s="9" t="inlineStr">
        <is>
          <t>6.5 (Profile E) — چک شود</t>
        </is>
      </c>
      <c r="N31" s="9">
        <f>54</f>
        <v/>
      </c>
      <c r="O31" s="20" t="inlineStr">
        <is>
          <t>Reach</t>
        </is>
      </c>
      <c r="P31" s="9" t="inlineStr">
        <is>
          <t>3/5 — بازار ارشد/سینیور خوب، ولی سطح جونیور اشباع (ده‌ها هزار فارغ‌التحصیل مشابه)؛ Data Engineer کم‌رقابت‌تر از Data Scientist</t>
        </is>
      </c>
      <c r="Q31" s="9" t="inlineStr">
        <is>
          <t>QS 2027 ≈ 54 · LEO: میانهٔ Computing پنج سال بعد $93,100 · High Fliers: پنجم (۲۰۲۵) · Think Big Scholarship (رقابتی) · با ۱۵.۷۷ Reach</t>
        </is>
      </c>
      <c r="R31" s="19" t="inlineStr">
        <is>
          <t>https://www.bristol.ac.uk/study/postgraduate/taught/msc-data-science/</t>
        </is>
      </c>
    </row>
    <row r="32">
      <c r="A32" s="6" t="n">
        <v>31</v>
      </c>
      <c r="B32" s="6" t="inlineStr">
        <is>
          <t>انگلستان</t>
        </is>
      </c>
      <c r="C32" s="9" t="inlineStr">
        <is>
          <t>Durham University (Russell Group)</t>
        </is>
      </c>
      <c r="D32" s="9" t="inlineStr">
        <is>
          <t>Durham (دورهام) — شمال شرق؛ ۱۵ دقیقه تا نیوکاسل</t>
        </is>
      </c>
      <c r="E32" s="9" t="inlineStr">
        <is>
          <t>ارزان تا متوسط — $1,260–1,590</t>
        </is>
      </c>
      <c r="F32" s="9" t="inlineStr">
        <is>
          <t>MSc Advanced Computer Science (و MSc Data Science)</t>
        </is>
      </c>
      <c r="G32" s="9" t="inlineStr">
        <is>
          <t>مهندسی نرم‌افزار / علوم کامپیوتر</t>
        </is>
      </c>
      <c r="H32" s="9" t="inlineStr">
        <is>
          <t>۱ سال</t>
        </is>
      </c>
      <c r="I32" s="9" t="inlineStr">
        <is>
          <t>$45,700 (2026 entry)</t>
        </is>
      </c>
      <c r="J32" s="9" t="inlineStr">
        <is>
          <t>$45,700</t>
        </is>
      </c>
      <c r="K32" s="18" t="inlineStr">
        <is>
          <t>$61–65k</t>
        </is>
      </c>
      <c r="L32" s="9" t="inlineStr">
        <is>
          <t>2:1 در CS — جدول رسمی Durham برای ایران: 1st ≥ ۱۷/۲۰، 2:1 = ۱۴–۱۶/۲۰، 2:2 = ۱۲–۱۳/۲۰ (دانشگاه باید در فهرست Ecctis باشد) → ۱۵.۷۷ ✓</t>
        </is>
      </c>
      <c r="M32" s="9" t="inlineStr">
        <is>
          <t>6.5 (هر بخش ≥ 6.0)</t>
        </is>
      </c>
      <c r="N32" s="9">
        <f>94</f>
        <v/>
      </c>
      <c r="O32" s="10" t="inlineStr">
        <is>
          <t>Target</t>
        </is>
      </c>
      <c r="P32" s="9" t="inlineStr">
        <is>
          <t>4/5 — بیشترین حجم آگهی در هر ۶ کشور؛ ورود جونیور از ۲۰۲۳ سخت‌تر شده — سابقهٔ کار شما مزیت است</t>
        </is>
      </c>
      <c r="Q32" s="9" t="inlineStr">
        <is>
          <t>QS 2027 ≈ 94 · High Fliers 2025: دهم · ارزان‌ترین شهر بین این شش · ارزان‌ترین Russell Group این فهرست بعد از York/Newcastle · شروع سپتامبر ۲۰۲۶ اعلام شده؛ ۲۰۲۷ مشابه</t>
        </is>
      </c>
      <c r="R32" s="19" t="inlineStr">
        <is>
          <t>https://www.durham.ac.uk/study/courses/advanced-computer-science-g5t609/</t>
        </is>
      </c>
    </row>
    <row r="33">
      <c r="A33" s="6" t="n">
        <v>32</v>
      </c>
      <c r="B33" s="6" t="inlineStr">
        <is>
          <t>سوئیس</t>
        </is>
      </c>
      <c r="C33" s="9" t="inlineStr">
        <is>
          <t>USI – Università della Svizzera italiana</t>
        </is>
      </c>
      <c r="D33" s="9" t="inlineStr">
        <is>
          <t>Lugano (لوگانو) — تیچینو، ایتالیایی‌زبان؛ IDSIA؛ ارزان‌ترین شهر دانشگاهی سوئیس</t>
        </is>
      </c>
      <c r="E33" s="9" t="inlineStr">
        <is>
          <t>گران — $1,690–2,180</t>
        </is>
      </c>
      <c r="F33" s="9" t="inlineStr">
        <is>
          <t>MSc Informatics (گرایش‌ها: Artificial Intelligence، Software Development، Systems…)</t>
        </is>
      </c>
      <c r="G33" s="9" t="inlineStr">
        <is>
          <t>مهندسی نرم‌افزار / علوم کامپیوتر</t>
        </is>
      </c>
      <c r="H33" s="9" t="inlineStr">
        <is>
          <t>۲ سال (120 ECTS)</t>
        </is>
      </c>
      <c r="I33" s="9" t="inlineStr">
        <is>
          <t>$4,840 در ترم برای غیرمقیم سوئیس ($9,680/سال)</t>
        </is>
      </c>
      <c r="J33" s="9" t="inlineStr">
        <is>
          <t>$19,400</t>
        </is>
      </c>
      <c r="K33" s="18" t="inlineStr">
        <is>
          <t>$60–72k</t>
        </is>
      </c>
      <c r="L33" s="9" t="inlineStr">
        <is>
          <t>کارشناسی CS/مرتبط؛ فارغ‌التحصیل UAS با ۳۰–۶۰ ECTS تکمیلی؛ بررسی موردی</t>
        </is>
      </c>
      <c r="M33" s="9" t="inlineStr">
        <is>
          <t>B2 در ورود (IELTS 5.5) → C1 (7.0) تا فارغ‌التحصیلی</t>
        </is>
      </c>
      <c r="N33" s="9">
        <f>456</f>
        <v/>
      </c>
      <c r="O33" s="10" t="inlineStr">
        <is>
          <t>Target</t>
        </is>
      </c>
      <c r="P33" s="9" t="inlineStr">
        <is>
          <t>4/5 — بیشترین حجم آگهی در هر ۶ کشور؛ ورود جونیور از ۲۰۲۳ سخت‌تر شده — سابقهٔ کار شما مزیت است</t>
        </is>
      </c>
      <c r="Q33" s="9" t="inlineStr">
        <is>
          <t>کم‌شرط‌ترین ورود سوئیس؛ Lugano ارزان‌ترین شهر دانشگاهی سوئیس؛ مهلت غیر-EU ۳۰ آوریل ۲۰۲۷؛ زبان شهر ایتالیایی</t>
        </is>
      </c>
      <c r="R33" s="19" t="inlineStr">
        <is>
          <t>https://www.usi.ch/en/education/master/informatics</t>
        </is>
      </c>
    </row>
    <row r="34">
      <c r="A34" s="6" t="n">
        <v>33</v>
      </c>
      <c r="B34" s="6" t="inlineStr">
        <is>
          <t>سوئیس</t>
        </is>
      </c>
      <c r="C34" s="9" t="inlineStr">
        <is>
          <t>USI – Università della Svizzera italiana</t>
        </is>
      </c>
      <c r="D34" s="9" t="inlineStr">
        <is>
          <t>Lugano (لوگانو) — تیچینو، ایتالیایی‌زبان؛ IDSIA؛ ارزان‌ترین شهر دانشگاهی سوئیس</t>
        </is>
      </c>
      <c r="E34" s="9" t="inlineStr">
        <is>
          <t>گران — $1,690–2,180</t>
        </is>
      </c>
      <c r="F34" s="9" t="inlineStr">
        <is>
          <t>MSc Artificial Intelligence (با IDSIA)</t>
        </is>
      </c>
      <c r="G34" s="9" t="inlineStr">
        <is>
          <t>هوش مصنوعی / یادگیری ماشین</t>
        </is>
      </c>
      <c r="H34" s="9" t="inlineStr">
        <is>
          <t>۲ سال (120 ECTS)</t>
        </is>
      </c>
      <c r="I34" s="9" t="inlineStr">
        <is>
          <t>$4,840 در ترم برای غیرمقیم ($9,680/سال)</t>
        </is>
      </c>
      <c r="J34" s="9" t="inlineStr">
        <is>
          <t>$19,400</t>
        </is>
      </c>
      <c r="K34" s="18" t="inlineStr">
        <is>
          <t>$60–72k</t>
        </is>
      </c>
      <c r="L34" s="9" t="inlineStr">
        <is>
          <t>کارشناسی CS/مرتبط با ریاضی و برنامه‌نویسی قوی؛ بررسی موردی</t>
        </is>
      </c>
      <c r="M34" s="9" t="inlineStr">
        <is>
          <t>6.5 (B2؛ C1 تا پایان دوره)</t>
        </is>
      </c>
      <c r="N34" s="9">
        <f>456</f>
        <v/>
      </c>
      <c r="O34" s="10" t="inlineStr">
        <is>
          <t>Target</t>
        </is>
      </c>
      <c r="P34" s="9" t="inlineStr">
        <is>
          <t>5/5 — داغ‌ترین بازار؛ «AI Engineer» سریع‌ترین‌رشد (LinkedIn 2026)؛ ولی برنامه‌های ریاضی‌محور (Tübingen، UvA، KTH) بسیار رقابتی‌اند</t>
        </is>
      </c>
      <c r="Q34" s="9" t="inlineStr">
        <is>
          <t>اولین ارشد AI سوئیس؛ IDSIA (آزمایشگاه Schmidhuber/LSTM)؛ رقابتی‌تر از Informatics</t>
        </is>
      </c>
      <c r="R34" s="19" t="inlineStr">
        <is>
          <t>https://www.usi.ch/en/education/master/artificial-intelligence</t>
        </is>
      </c>
    </row>
    <row r="35">
      <c r="A35" s="6" t="n">
        <v>34</v>
      </c>
      <c r="B35" s="6" t="inlineStr">
        <is>
          <t>سوئیس</t>
        </is>
      </c>
      <c r="C35" s="9" t="inlineStr">
        <is>
          <t>USI – Università della Svizzera italiana</t>
        </is>
      </c>
      <c r="D35" s="9" t="inlineStr">
        <is>
          <t>Lugano (لوگانو) — تیچینو، ایتالیایی‌زبان؛ IDSIA؛ ارزان‌ترین شهر دانشگاهی سوئیس</t>
        </is>
      </c>
      <c r="E35" s="9" t="inlineStr">
        <is>
          <t>گران — $1,690–2,180</t>
        </is>
      </c>
      <c r="F35" s="9" t="inlineStr">
        <is>
          <t>MSc Software and Data Engineering</t>
        </is>
      </c>
      <c r="G35" s="9" t="inlineStr">
        <is>
          <t>علم داده / تحلیل داده</t>
        </is>
      </c>
      <c r="H35" s="9" t="inlineStr">
        <is>
          <t>۲ سال (120 ECTS)</t>
        </is>
      </c>
      <c r="I35" s="9" t="inlineStr">
        <is>
          <t>$4,840 در ترم برای غیرمقیم ($9,680/سال)</t>
        </is>
      </c>
      <c r="J35" s="9" t="inlineStr">
        <is>
          <t>$19,400</t>
        </is>
      </c>
      <c r="K35" s="18" t="inlineStr">
        <is>
          <t>$60–72k</t>
        </is>
      </c>
      <c r="L35" s="9" t="inlineStr">
        <is>
          <t>کارشناسی CS/مرتبط</t>
        </is>
      </c>
      <c r="M35" s="9" t="inlineStr">
        <is>
          <t>B2 → C1</t>
        </is>
      </c>
      <c r="N35" s="9">
        <f>456</f>
        <v/>
      </c>
      <c r="O35" s="10" t="inlineStr">
        <is>
          <t>Target</t>
        </is>
      </c>
      <c r="P35" s="9" t="inlineStr">
        <is>
          <t>3/5 — بازار ارشد/سینیور خوب، ولی سطح جونیور اشباع (ده‌ها هزار فارغ‌التحصیل مشابه)؛ Data Engineer کم‌رقابت‌تر از Data Scientist</t>
        </is>
      </c>
      <c r="Q35" s="9" t="inlineStr">
        <is>
          <t>ترکیب مهندسی نرم‌افزار + مهندسی داده (Data Engineering — همان توصیهٔ شیت حوزه‌ها)؛ کم‌رقابت‌تر از AI</t>
        </is>
      </c>
      <c r="R35" s="19" t="inlineStr">
        <is>
          <t>https://www.usi.ch/en/education/master/software-and-data-engineering</t>
        </is>
      </c>
    </row>
    <row r="36">
      <c r="A36" s="6" t="n">
        <v>35</v>
      </c>
      <c r="B36" s="6" t="inlineStr">
        <is>
          <t>سوئیس</t>
        </is>
      </c>
      <c r="C36" s="9" t="inlineStr">
        <is>
          <t>Hochschule Luzern (HSLU)</t>
        </is>
      </c>
      <c r="D36" s="9" t="inlineStr">
        <is>
          <t>Lucerne / Luzern (لوسرن) — مرکز سوئیس، ۴۵ دقیقه تا زوریخ</t>
        </is>
      </c>
      <c r="E36" s="9" t="inlineStr">
        <is>
          <t>گران — $1,880–2,360</t>
        </is>
      </c>
      <c r="F36" s="9" t="inlineStr">
        <is>
          <t>MSc Applied Data Science and AI (نام جدید از اوت ۲۰۲۶؛ قبلاً Applied Information and Data Science)</t>
        </is>
      </c>
      <c r="G36" s="9" t="inlineStr">
        <is>
          <t>علم داده / تحلیل داده</t>
        </is>
      </c>
      <c r="H36" s="9" t="inlineStr">
        <is>
          <t>۲ سال (120 ECTS؛ معمولاً ۴ ترم، قابل تمدید تا ۸)</t>
        </is>
      </c>
      <c r="I36" s="9" t="inlineStr">
        <is>
          <t>$1,570 در ترم (خارجی) + ≈ $335 هزینهٔ جانبی ≈ $3,810/سال؛ هزینهٔ درخواست $305</t>
        </is>
      </c>
      <c r="J36" s="9" t="inlineStr">
        <is>
          <t>$7,620</t>
        </is>
      </c>
      <c r="K36" s="18" t="inlineStr">
        <is>
          <t>$53–64k</t>
        </is>
      </c>
      <c r="L36" s="9" t="inlineStr">
        <is>
          <t>هر کارشناسی (دانشگاه یا UAS)؛ آزمون انگلیسی + آزمون استعداد HSLU</t>
        </is>
      </c>
      <c r="M36" s="9" t="inlineStr">
        <is>
          <t>C1 (B2 مشروط)</t>
        </is>
      </c>
      <c r="N36" s="9" t="inlineStr">
        <is>
          <t>—</t>
        </is>
      </c>
      <c r="O36" s="13" t="inlineStr">
        <is>
          <t>Safe/Target</t>
        </is>
      </c>
      <c r="P36" s="9" t="inlineStr">
        <is>
          <t>3/5 — بازار ارشد/سینیور خوب، ولی سطح جونیور اشباع (ده‌ها هزار فارغ‌التحصیل مشابه)؛ Data Engineer کم‌رقابت‌تر از Data Scientist</t>
        </is>
      </c>
      <c r="Q36" s="9"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19" t="inlineStr">
        <is>
          <t>https://www.hslu.ch/en/lucerne-school-of-business/degree-programmes/master/applied-data-science-and-ai/</t>
        </is>
      </c>
    </row>
    <row r="37">
      <c r="A37" s="6" t="n">
        <v>36</v>
      </c>
      <c r="B37" s="6" t="inlineStr">
        <is>
          <t>سوئیس</t>
        </is>
      </c>
      <c r="C37" s="9" t="inlineStr">
        <is>
          <t>University of Bern</t>
        </is>
      </c>
      <c r="D37" s="9" t="inlineStr">
        <is>
          <t>Bern (برن) — پایتخت؛ آلمانی‌زبان</t>
        </is>
      </c>
      <c r="E37" s="9" t="inlineStr">
        <is>
          <t>گران — $1,940–2,420</t>
        </is>
      </c>
      <c r="F37" s="9" t="inlineStr">
        <is>
          <t>Swiss Joint MSc Computer Science (Bern / Neuchâtel / Fribourg)</t>
        </is>
      </c>
      <c r="G37" s="9" t="inlineStr">
        <is>
          <t>مهندسی نرم‌افزار / علوم کامپیوتر</t>
        </is>
      </c>
      <c r="H37" s="9" t="inlineStr">
        <is>
          <t>۱.۵ سال (90 ECTS)</t>
        </is>
      </c>
      <c r="I37" s="9" t="inlineStr">
        <is>
          <t>$3,160 در ترم برای خارجی‌ها از پاییز ۲۰۲۶ (پایه $1,030 + اضافهٔ غیرسوئیسی‌ها $2,060 + جانبی $71) ≈ $6,290/سال</t>
        </is>
      </c>
      <c r="J37" s="9" t="inlineStr">
        <is>
          <t>$9,470</t>
        </is>
      </c>
      <c r="K37" s="18" t="inlineStr">
        <is>
          <t>$44–53k</t>
        </is>
      </c>
      <c r="L37" s="9" t="inlineStr">
        <is>
          <t>کارشناسی Computer Science یا معادل (بررسی موردی؛ حداکثر ۶۰ ECTS تکمیلی — دروس تکمیلی ممکن است آلمانی/فرانسه باشند)</t>
        </is>
      </c>
      <c r="M37" s="9" t="inlineStr">
        <is>
          <t>بدون آزمون (B2 توصیه — FAQ رسمی)</t>
        </is>
      </c>
      <c r="N37" s="9">
        <f>191</f>
        <v/>
      </c>
      <c r="O37" s="10" t="inlineStr">
        <is>
          <t>Target</t>
        </is>
      </c>
      <c r="P37" s="9" t="inlineStr">
        <is>
          <t>4/5 — بیشترین حجم آگهی در هر ۶ کشور؛ ورود جونیور از ۲۰۲۳ سخت‌تر شده — سابقهٔ کار شما مزیت است</t>
        </is>
      </c>
      <c r="Q37" s="9"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19" t="inlineStr">
        <is>
          <t>https://www.philnat.unibe.ch/studies/study_programs/master_s_in_computer_science/index_eng.html</t>
        </is>
      </c>
    </row>
    <row r="38">
      <c r="A38" s="6" t="n">
        <v>37</v>
      </c>
      <c r="B38" s="6" t="inlineStr">
        <is>
          <t>سوئیس</t>
        </is>
      </c>
      <c r="C38" s="9" t="inlineStr">
        <is>
          <t>University of Neuchâtel</t>
        </is>
      </c>
      <c r="D38" s="9" t="inlineStr">
        <is>
          <t>Neuchâtel (نوشاتل) — فرانسه‌زبان؛ کنار دریاچه؛ ۳۵ دقیقه تا برن</t>
        </is>
      </c>
      <c r="E38" s="9" t="inlineStr">
        <is>
          <t>متوسط تا گران — $1,630–2,120</t>
        </is>
      </c>
      <c r="F38" s="9" t="inlineStr">
        <is>
          <t>Swiss Joint MSc Computer Science (ثبت‌نام در Neuchâtel)</t>
        </is>
      </c>
      <c r="G38" s="9" t="inlineStr">
        <is>
          <t>مهندسی نرم‌افزار / علوم کامپیوتر</t>
        </is>
      </c>
      <c r="H38" s="9" t="inlineStr">
        <is>
          <t>۱.۵ سال (90 ECTS)</t>
        </is>
      </c>
      <c r="I38" s="9" t="inlineStr">
        <is>
          <t>$955 در ترم (خارجی؛ شامل همهٔ هزینه‌ها) = $1,910/سال</t>
        </is>
      </c>
      <c r="J38" s="9" t="inlineStr">
        <is>
          <t>$2,870</t>
        </is>
      </c>
      <c r="K38" s="18" t="inlineStr">
        <is>
          <t>$32–41k</t>
        </is>
      </c>
      <c r="L38" s="9" t="inlineStr">
        <is>
          <t>کارشناسی CS یا معادل (بررسی موردی؛ حداکثر ۶۰ ECTS تکمیلی)</t>
        </is>
      </c>
      <c r="M38" s="9" t="inlineStr">
        <is>
          <t>بدون آزمون (B2 توصیه — FAQ رسمی)</t>
        </is>
      </c>
      <c r="N38" s="9" t="inlineStr">
        <is>
          <t>—</t>
        </is>
      </c>
      <c r="O38" s="10" t="inlineStr">
        <is>
          <t>Target</t>
        </is>
      </c>
      <c r="P38" s="9" t="inlineStr">
        <is>
          <t>4/5 — بیشترین حجم آگهی در هر ۶ کشور؛ ورود جونیور از ۲۰۲۳ سخت‌تر شده — سابقهٔ کار شما مزیت است</t>
        </is>
      </c>
      <c r="Q38" s="9"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19" t="inlineStr">
        <is>
          <t>https://mcs.unibnf.ch/</t>
        </is>
      </c>
    </row>
    <row r="39">
      <c r="A39" s="6" t="n">
        <v>38</v>
      </c>
      <c r="B39" s="6" t="inlineStr">
        <is>
          <t>سوئیس</t>
        </is>
      </c>
      <c r="C39" s="9" t="inlineStr">
        <is>
          <t>University of Fribourg</t>
        </is>
      </c>
      <c r="D39" s="9" t="inlineStr">
        <is>
          <t>Fribourg (فریبورگ) — دوزبانه (آلمانی/فرانسه)</t>
        </is>
      </c>
      <c r="E39" s="9" t="inlineStr">
        <is>
          <t>گران — $1,750–2,180</t>
        </is>
      </c>
      <c r="F39" s="9" t="inlineStr">
        <is>
          <t>Swiss Joint MSc Computer Science (ثبت‌نام در Fribourg)</t>
        </is>
      </c>
      <c r="G39" s="9" t="inlineStr">
        <is>
          <t>مهندسی نرم‌افزار / علوم کامپیوتر</t>
        </is>
      </c>
      <c r="H39" s="9" t="inlineStr">
        <is>
          <t>۱.۵ سال (90 ECTS)</t>
        </is>
      </c>
      <c r="I39" s="9" t="inlineStr">
        <is>
          <t>$1,190 در ترم (خارجی؛ رسمی؛ شامل $140 اضافهٔ خارجی‌ها) = $2,380/سال</t>
        </is>
      </c>
      <c r="J39" s="9" t="inlineStr">
        <is>
          <t>$3,580</t>
        </is>
      </c>
      <c r="K39" s="18" t="inlineStr">
        <is>
          <t>$35–43k</t>
        </is>
      </c>
      <c r="L39" s="9" t="inlineStr">
        <is>
          <t>کارشناسی CS یا معادل (بررسی موردی؛ حداکثر ۶۰ ECTS تکمیلی)</t>
        </is>
      </c>
      <c r="M39" s="9" t="inlineStr">
        <is>
          <t>بدون آزمون (B2 توصیه — FAQ رسمی)</t>
        </is>
      </c>
      <c r="N39" s="9">
        <f>670</f>
        <v/>
      </c>
      <c r="O39" s="10" t="inlineStr">
        <is>
          <t>Target</t>
        </is>
      </c>
      <c r="P39" s="9" t="inlineStr">
        <is>
          <t>4/5 — بیشترین حجم آگهی در هر ۶ کشور؛ ورود جونیور از ۲۰۲۳ سخت‌تر شده — سابقهٔ کار شما مزیت است</t>
        </is>
      </c>
      <c r="Q39" s="9" t="inlineStr">
        <is>
          <t>همان برنامهٔ مشترک Bern/Neuchâtel؛ شهر دوزبانه و ارزان‌تر؛ ⚠️ مهلت ویزایی‌ها ۱–۲۸ فوریه ۲۰۲۷ (رسمی unifr.ch)</t>
        </is>
      </c>
      <c r="R39" s="19" t="inlineStr">
        <is>
          <t>https://www.unifr.ch/inf/en/</t>
        </is>
      </c>
    </row>
    <row r="40">
      <c r="A40" s="6" t="n">
        <v>39</v>
      </c>
      <c r="B40" s="6" t="inlineStr">
        <is>
          <t>سوئیس</t>
        </is>
      </c>
      <c r="C40" s="9" t="inlineStr">
        <is>
          <t>University of Basel</t>
        </is>
      </c>
      <c r="D40" s="9" t="inlineStr">
        <is>
          <t>Basel (بازل) — Roche، Novartis؛ مرز آلمان/فرانسه</t>
        </is>
      </c>
      <c r="E40" s="9" t="inlineStr">
        <is>
          <t>گران — $1,940–2,540</t>
        </is>
      </c>
      <c r="F40" s="9" t="inlineStr">
        <is>
          <t>MSc Computer Science</t>
        </is>
      </c>
      <c r="G40" s="9" t="inlineStr">
        <is>
          <t>مهندسی نرم‌افزار / علوم کامپیوتر</t>
        </is>
      </c>
      <c r="H40" s="9" t="inlineStr">
        <is>
          <t>۱.۵ سال (90 ECTS)</t>
        </is>
      </c>
      <c r="I40" s="9" t="inlineStr">
        <is>
          <t>$1,030 در ترم (برای همه؛ بدون اضافهٔ خارجی‌ها — رسمی 2026/27) = $2,060/سال</t>
        </is>
      </c>
      <c r="J40" s="9" t="inlineStr">
        <is>
          <t>$3,090</t>
        </is>
      </c>
      <c r="K40" s="18" t="inlineStr">
        <is>
          <t>$38–49k</t>
        </is>
      </c>
      <c r="L40" s="9" t="inlineStr">
        <is>
          <t>کارشناسی CS یا معادل با نمرات خوب؛ بررسی فردی</t>
        </is>
      </c>
      <c r="M40" s="9" t="inlineStr">
        <is>
          <t>B2–C1 (چک شود)</t>
        </is>
      </c>
      <c r="N40" s="9">
        <f>150</f>
        <v/>
      </c>
      <c r="O40" s="11" t="inlineStr">
        <is>
          <t>Target/Reach</t>
        </is>
      </c>
      <c r="P40" s="9" t="inlineStr">
        <is>
          <t>4/5 — بیشترین حجم آگهی در هر ۶ کشور؛ ورود جونیور از ۲۰۲۳ سخت‌تر شده — سابقهٔ کار شما مزیت است</t>
        </is>
      </c>
      <c r="Q40" s="9" t="inlineStr">
        <is>
          <t>رتبهٔ ۱۵۰؛ 90 ECTS انگلیسی؛ هزینهٔ درخواست $120؛ ⚠️ کانتون Basel تمکن $29,000/سال می‌خواهد؛ مهلت ۳۰ آوریل (رسمی)</t>
        </is>
      </c>
      <c r="R40" s="19" t="inlineStr">
        <is>
          <t>https://dmi.unibas.ch/en/studies/computer-science/masters/</t>
        </is>
      </c>
    </row>
    <row r="41">
      <c r="A41" s="6" t="n">
        <v>40</v>
      </c>
      <c r="B41" s="6" t="inlineStr">
        <is>
          <t>سوئیس</t>
        </is>
      </c>
      <c r="C41" s="9" t="inlineStr">
        <is>
          <t>University of Zurich (UZH)</t>
        </is>
      </c>
      <c r="D41" s="9" t="inlineStr">
        <is>
          <t>Zürich (زوریخ) — Google، UBS، ETH؛ گران‌ترین شهر دانشگاهی اروپا</t>
        </is>
      </c>
      <c r="E41" s="9" t="inlineStr">
        <is>
          <t>خیلی گران — $2,300–3,030</t>
        </is>
      </c>
      <c r="F41" s="9" t="inlineStr">
        <is>
          <t>MSc Informatics (گرایش‌ها: Software Systems، Data Science، People-Oriented Computing…)</t>
        </is>
      </c>
      <c r="G41" s="9" t="inlineStr">
        <is>
          <t>مهندسی نرم‌افزار / علوم کامپیوتر</t>
        </is>
      </c>
      <c r="H41" s="9" t="inlineStr">
        <is>
          <t>۱.۵–۲ سال (90/120 ECTS)</t>
        </is>
      </c>
      <c r="I41" s="9" t="inlineStr">
        <is>
          <t>$1,060 در ترم (خارجی؛ شامل $120 اضافهٔ خارجی‌ها و $71 جانبی) ≈ $2,130/سال</t>
        </is>
      </c>
      <c r="J41" s="9" t="inlineStr">
        <is>
          <t>$3,190</t>
        </is>
      </c>
      <c r="K41" s="18" t="inlineStr">
        <is>
          <t>$45–58k</t>
        </is>
      </c>
      <c r="L41" s="9" t="inlineStr">
        <is>
          <t>کارشناسی Informatics/CS با نمرات بسیار خوب؛ فقط یک درخواست در هر ترم؛ هزینهٔ درخواست $180</t>
        </is>
      </c>
      <c r="M41" s="9" t="inlineStr">
        <is>
          <t>C1 / IELTS 7.0</t>
        </is>
      </c>
      <c r="N41" s="9">
        <f>98</f>
        <v/>
      </c>
      <c r="O41" s="20" t="inlineStr">
        <is>
          <t>Reach</t>
        </is>
      </c>
      <c r="P41" s="9" t="inlineStr">
        <is>
          <t>4/5 — بیشترین حجم آگهی در هر ۶ کشور؛ ورود جونیور از ۲۰۲۳ سخت‌تر شده — سابقهٔ کار شما مزیت است</t>
        </is>
      </c>
      <c r="Q41" s="9" t="inlineStr">
        <is>
          <t>⚠️ مهلت ویزایی‌ها ۲۸ فوریه ۲۰۲۷ (بدون ویزا ۳۰ آوریل)؛ کانتون زوریخ: تمکن $25,400 فقط در بانک سوئیسی به نام خودتان</t>
        </is>
      </c>
      <c r="R41" s="19" t="inlineStr">
        <is>
          <t>https://www.ifi.uzh.ch/en/studies/master.html</t>
        </is>
      </c>
    </row>
    <row r="42">
      <c r="A42" s="6" t="n">
        <v>41</v>
      </c>
      <c r="B42" s="6" t="inlineStr">
        <is>
          <t>سوئیس</t>
        </is>
      </c>
      <c r="C42" s="9" t="inlineStr">
        <is>
          <t>ZHAW School of Engineering</t>
        </is>
      </c>
      <c r="D42" s="9" t="inlineStr">
        <is>
          <t>Zürich / Winterthur (زوریخ / وینترتور؛ کمپوس‌های ZHAW)</t>
        </is>
      </c>
      <c r="E42" s="9" t="inlineStr">
        <is>
          <t>خیلی گران — $2,180–2,900</t>
        </is>
      </c>
      <c r="F42" s="9" t="inlineStr">
        <is>
          <t>MSc in Engineering (MSE) — پروفایل Computer Science / Data Science / Information &amp; Cyber Security</t>
        </is>
      </c>
      <c r="G42" s="9" t="inlineStr">
        <is>
          <t>چندحوزه‌ای (انتخاب گرایش)</t>
        </is>
      </c>
      <c r="H42" s="9" t="inlineStr">
        <is>
          <t>۱.۵ سال (90 ECTS؛ پاره‌وقت تا ۳ سال)</t>
        </is>
      </c>
      <c r="I42" s="9" t="inlineStr">
        <is>
          <t>$1,480 در ترم (خارجی) + $73 ≈ $3,100/سال</t>
        </is>
      </c>
      <c r="J42" s="9" t="inlineStr">
        <is>
          <t>$4,650</t>
        </is>
      </c>
      <c r="K42" s="18" t="inlineStr">
        <is>
          <t>$44–57k</t>
        </is>
      </c>
      <c r="L42" s="9" t="inlineStr">
        <is>
          <t>کارشناسی با نمرات A یا B (≈ یک‌سوم بالای کلاس) — گواهی رتبهٔ کلاسی از سمنان بگیرید</t>
        </is>
      </c>
      <c r="M42" s="9" t="inlineStr">
        <is>
          <t>B2–C1</t>
        </is>
      </c>
      <c r="N42" s="9" t="inlineStr">
        <is>
          <t>851–900</t>
        </is>
      </c>
      <c r="O42" s="11" t="inlineStr">
        <is>
          <t>Target/Reach</t>
        </is>
      </c>
      <c r="P42" s="9" t="inlineStr">
        <is>
          <t>4/5 — گرایش را بعد از ورود انتخاب می‌کنید؛ امتیاز بازار = گرایشی که برمی‌دارید</t>
        </is>
      </c>
      <c r="Q42" s="9" t="inlineStr">
        <is>
          <t>کاربردی و پروژه‌محور (کار در مؤسسات ZHAW، اغلب با حقوق دستیاری)؛ مهلت پایان آوریل؛ کانتون زوریخ (تمکن در بانک سوئیسی)</t>
        </is>
      </c>
      <c r="R42" s="19" t="inlineStr">
        <is>
          <t>https://www.zhaw.ch/en/engineering/study/masters-degree-programme</t>
        </is>
      </c>
    </row>
    <row r="43">
      <c r="A43" s="6" t="n">
        <v>42</v>
      </c>
      <c r="B43" s="6" t="inlineStr">
        <is>
          <t>سوئیس</t>
        </is>
      </c>
      <c r="C43" s="9" t="inlineStr">
        <is>
          <t>EPFL</t>
        </is>
      </c>
      <c r="D43" s="9" t="inlineStr">
        <is>
          <t>Lausanne (لوزان) — کنار دریاچهٔ ژنو؛ فرانسه‌زبان؛ EPFL</t>
        </is>
      </c>
      <c r="E43" s="9" t="inlineStr">
        <is>
          <t>خیلی گران — $2,060–2,660</t>
        </is>
      </c>
      <c r="F43" s="9" t="inlineStr">
        <is>
          <t>MSc Computer Science</t>
        </is>
      </c>
      <c r="G43" s="9" t="inlineStr">
        <is>
          <t>مهندسی نرم‌افزار / علوم کامپیوتر</t>
        </is>
      </c>
      <c r="H43" s="9" t="inlineStr">
        <is>
          <t>۲ سال (120 ECTS)</t>
        </is>
      </c>
      <c r="I43" s="9" t="inlineStr">
        <is>
          <t>$2,710 در ترم برای خارجی‌های غیرمقیم (از پاییز ۲۰۲۵؛ ≈ $5,420/سال)</t>
        </is>
      </c>
      <c r="J43" s="9" t="inlineStr">
        <is>
          <t>$10,800</t>
        </is>
      </c>
      <c r="K43" s="18" t="inlineStr">
        <is>
          <t>$60–75k</t>
        </is>
      </c>
      <c r="L43" s="9" t="inlineStr">
        <is>
          <t>کارشناسی CS با نمرات عالی (بالای کلاس)؛ فقط یک برنامه در سال</t>
        </is>
      </c>
      <c r="M43" s="9" t="inlineStr">
        <is>
          <t>مدرک زبان الزامی نیست (C1 عملاً لازم)</t>
        </is>
      </c>
      <c r="N43" s="9">
        <f>22</f>
        <v/>
      </c>
      <c r="O43" s="20" t="inlineStr">
        <is>
          <t>Reach</t>
        </is>
      </c>
      <c r="P43" s="9" t="inlineStr">
        <is>
          <t>4/5 — بیشترین حجم آگهی در هر ۶ کشور؛ ورود جونیور از ۲۰۲۳ سخت‌تر شده — سابقهٔ کار شما مزیت است</t>
        </is>
      </c>
      <c r="Q43" s="9" t="inlineStr">
        <is>
          <t>دور اول ۱۵ دسامبر ۲۰۲۶ (توصیه برای ویزایی‌ها؛ پاسخ اوایل آوریل)، دور دوم ۳۱ مارس ۲۰۲۷؛ ⚠️ احتمال افزایش دوبارهٔ شهریه (EP27)</t>
        </is>
      </c>
      <c r="R43" s="19" t="inlineStr">
        <is>
          <t>https://www.epfl.ch/education/master/programs/computer-science/</t>
        </is>
      </c>
    </row>
    <row r="44">
      <c r="A44" s="6" t="n">
        <v>43</v>
      </c>
      <c r="B44" s="6" t="inlineStr">
        <is>
          <t>سوئیس</t>
        </is>
      </c>
      <c r="C44" s="9" t="inlineStr">
        <is>
          <t>EPFL</t>
        </is>
      </c>
      <c r="D44" s="9" t="inlineStr">
        <is>
          <t>Lausanne (لوزان) — کنار دریاچهٔ ژنو؛ فرانسه‌زبان؛ EPFL</t>
        </is>
      </c>
      <c r="E44" s="9" t="inlineStr">
        <is>
          <t>خیلی گران — $2,060–2,660</t>
        </is>
      </c>
      <c r="F44" s="9" t="inlineStr">
        <is>
          <t>MSc Data Science</t>
        </is>
      </c>
      <c r="G44" s="9" t="inlineStr">
        <is>
          <t>علم داده / تحلیل داده</t>
        </is>
      </c>
      <c r="H44" s="9" t="inlineStr">
        <is>
          <t>۲ سال (120 ECTS)</t>
        </is>
      </c>
      <c r="I44" s="9" t="inlineStr">
        <is>
          <t>$2,710 در ترم (≈ $5,420/سال)</t>
        </is>
      </c>
      <c r="J44" s="9" t="inlineStr">
        <is>
          <t>$10,800</t>
        </is>
      </c>
      <c r="K44" s="18" t="inlineStr">
        <is>
          <t>$60–75k</t>
        </is>
      </c>
      <c r="L44" s="9" t="inlineStr">
        <is>
          <t>کارشناسی CS/ریاضی/مهندسی با نمرات عالی</t>
        </is>
      </c>
      <c r="M44" s="9" t="inlineStr">
        <is>
          <t>مدرک زبان الزامی نیست</t>
        </is>
      </c>
      <c r="N44" s="9">
        <f>22</f>
        <v/>
      </c>
      <c r="O44" s="20" t="inlineStr">
        <is>
          <t>Reach</t>
        </is>
      </c>
      <c r="P44" s="9" t="inlineStr">
        <is>
          <t>3/5 — بازار ارشد/سینیور خوب، ولی سطح جونیور اشباع (ده‌ها هزار فارغ‌التحصیل مشابه)؛ Data Engineer کم‌رقابت‌تر از Data Scientist</t>
        </is>
      </c>
      <c r="Q44" s="9" t="inlineStr">
        <is>
          <t>بسیار رقابتی؛ کارآموزی صنعتی جزو برنامه است</t>
        </is>
      </c>
      <c r="R44" s="19" t="inlineStr">
        <is>
          <t>https://www.epfl.ch/education/master/programs/data-science/</t>
        </is>
      </c>
    </row>
    <row r="45">
      <c r="A45" s="6" t="n">
        <v>44</v>
      </c>
      <c r="B45" s="6" t="inlineStr">
        <is>
          <t>سوئیس</t>
        </is>
      </c>
      <c r="C45" s="9" t="inlineStr">
        <is>
          <t>ETH Zürich</t>
        </is>
      </c>
      <c r="D45" s="9" t="inlineStr">
        <is>
          <t>Zürich (زوریخ) — Google، UBS، ETH؛ گران‌ترین شهر دانشگاهی اروپا</t>
        </is>
      </c>
      <c r="E45" s="9" t="inlineStr">
        <is>
          <t>خیلی گران — $2,300–3,030</t>
        </is>
      </c>
      <c r="F45" s="9" t="inlineStr">
        <is>
          <t>MSc Computer Science</t>
        </is>
      </c>
      <c r="G45" s="9" t="inlineStr">
        <is>
          <t>مهندسی نرم‌افزار / علوم کامپیوتر</t>
        </is>
      </c>
      <c r="H45" s="9" t="inlineStr">
        <is>
          <t>۲ سال (120 ECTS)</t>
        </is>
      </c>
      <c r="I45" s="9" t="inlineStr">
        <is>
          <t>$2,650 + ≈ $90 = ≈ $2,740 در ترم (≈ $5,480/سال)</t>
        </is>
      </c>
      <c r="J45" s="9" t="inlineStr">
        <is>
          <t>$11,000</t>
        </is>
      </c>
      <c r="K45" s="18" t="inlineStr">
        <is>
          <t>$66–84k</t>
        </is>
      </c>
      <c r="L45" s="9" t="inlineStr">
        <is>
          <t>کارشناسی CS با نمرات ممتاز (عملاً ۱۰٪ بالای کلاس)؛ هزینهٔ درخواست $180؛ تا ۲ برنامه</t>
        </is>
      </c>
      <c r="M45" s="9" t="inlineStr">
        <is>
          <t>C1 / IELTS 7.0</t>
        </is>
      </c>
      <c r="N45" s="9">
        <f>8</f>
        <v/>
      </c>
      <c r="O45" s="20" t="inlineStr">
        <is>
          <t>Reach</t>
        </is>
      </c>
      <c r="P45" s="9" t="inlineStr">
        <is>
          <t>4/5 — بیشترین حجم آگهی در هر ۶ کشور؛ ورود جونیور از ۲۰۲۳ سخت‌تر شده — سابقهٔ کار شما مزیت است</t>
        </is>
      </c>
      <c r="Q45" s="9" t="inlineStr">
        <is>
          <t>بهترین دانشگاه قارهٔ اروپا؛ اپلای فقط ۱–۳۰ نوامبر ۲۰۲۶، پاسخ تا پایان مارس ۲۰۲۷، شروع ۲۰ سپتامبر ۲۰۲۷؛ با معدل ۱۵.۷۷ احتمال پذیرش کم</t>
        </is>
      </c>
      <c r="R45" s="19" t="inlineStr">
        <is>
          <t>https://ethz.ch/en/studies/master/degree-programmes/engineering-sciences/computer-science.html</t>
        </is>
      </c>
    </row>
    <row r="46">
      <c r="A46" s="6" t="n">
        <v>45</v>
      </c>
      <c r="B46" s="6" t="inlineStr">
        <is>
          <t>سوئیس</t>
        </is>
      </c>
      <c r="C46" s="9" t="inlineStr">
        <is>
          <t>ETH Zürich + EPFL</t>
        </is>
      </c>
      <c r="D46" s="9" t="inlineStr">
        <is>
          <t>Zürich (زوریخ) — Google، UBS، ETH؛ گران‌ترین شهر دانشگاهی اروپا</t>
        </is>
      </c>
      <c r="E46" s="9" t="inlineStr">
        <is>
          <t>خیلی گران — $2,300–3,030</t>
        </is>
      </c>
      <c r="F46" s="9" t="inlineStr">
        <is>
          <t>MSc Cyber Security (مشترک ETH–EPFL؛ یک سال در هر کدام)</t>
        </is>
      </c>
      <c r="G46" s="9" t="inlineStr">
        <is>
          <t>امنیت سایبری</t>
        </is>
      </c>
      <c r="H46" s="9" t="inlineStr">
        <is>
          <t>۲ سال (120 ECTS)</t>
        </is>
      </c>
      <c r="I46" s="9" t="inlineStr">
        <is>
          <t>شهریهٔ ETH: ≈ $2,740 در ترم (≈ $5,480/سال)</t>
        </is>
      </c>
      <c r="J46" s="9" t="inlineStr">
        <is>
          <t>$11,000</t>
        </is>
      </c>
      <c r="K46" s="18" t="inlineStr">
        <is>
          <t>$66–84k</t>
        </is>
      </c>
      <c r="L46" s="9" t="inlineStr">
        <is>
          <t>کارشناسی CS با نمرات ممتاز؛ پیش‌زمینهٔ ریاضی/سیستم قوی</t>
        </is>
      </c>
      <c r="M46" s="9" t="inlineStr">
        <is>
          <t>C1 / IELTS 7.0</t>
        </is>
      </c>
      <c r="N46" s="9">
        <f>8</f>
        <v/>
      </c>
      <c r="O46" s="20" t="inlineStr">
        <is>
          <t>Reach</t>
        </is>
      </c>
      <c r="P46" s="9" t="inlineStr">
        <is>
          <t>4/5 — کمبود ساختاری (Bitkom: جزو ۳ کمبود اصلی آلمان)؛ اما ۳۱٪ تیم‌ها هیچ نیروی جونیور ندارند → کارآموزی/گواهی لازم است</t>
        </is>
      </c>
      <c r="Q46" s="9" t="inlineStr">
        <is>
          <t>قوی‌ترین ارشد امنیت اروپا؛ همان پنجرهٔ نوامبر ETH؛ Reach</t>
        </is>
      </c>
      <c r="R46" s="19" t="inlineStr">
        <is>
          <t>https://ethz.ch/en/studies/master/degree-programmes/engineering-sciences/cyber-security.html</t>
        </is>
      </c>
    </row>
    <row r="47">
      <c r="A47" s="6" t="n">
        <v>46</v>
      </c>
      <c r="B47" s="6" t="inlineStr">
        <is>
          <t>آلمان</t>
        </is>
      </c>
      <c r="C47" s="9" t="inlineStr">
        <is>
          <t>Universität Stuttgart</t>
        </is>
      </c>
      <c r="D47" s="9" t="inlineStr">
        <is>
          <t>Stuttgart (اشتوتگارت) — Bosch، Mercedes، Porsche</t>
        </is>
      </c>
      <c r="E47" s="9" t="inlineStr">
        <is>
          <t>گران — $1,250–1,540</t>
        </is>
      </c>
      <c r="F47" s="9" t="inlineStr">
        <is>
          <t>M.Sc. Computer Science (انگلیسی، بدون NC)</t>
        </is>
      </c>
      <c r="G47" s="9" t="inlineStr">
        <is>
          <t>مهندسی نرم‌افزار / علوم کامپیوتر</t>
        </is>
      </c>
      <c r="H47" s="9" t="inlineStr">
        <is>
          <t>۲ سال</t>
        </is>
      </c>
      <c r="I47" s="9" t="inlineStr">
        <is>
          <t>$1,710 در ترم + ≈ $230 سهم ترم = ≈ $3,880/سال</t>
        </is>
      </c>
      <c r="J47" s="9" t="inlineStr">
        <is>
          <t>$7,750</t>
        </is>
      </c>
      <c r="K47" s="18" t="inlineStr">
        <is>
          <t>$38–45k</t>
        </is>
      </c>
      <c r="L47" s="9" t="inlineStr">
        <is>
          <t>کارشناسی CS/مرتبط؛ بدون NC</t>
        </is>
      </c>
      <c r="M47" s="9" t="inlineStr">
        <is>
          <t>7.0 (C1)</t>
        </is>
      </c>
      <c r="N47" s="9" t="inlineStr">
        <is>
          <t>318</t>
        </is>
      </c>
      <c r="O47" s="10" t="inlineStr">
        <is>
          <t>Target</t>
        </is>
      </c>
      <c r="P47" s="9" t="inlineStr">
        <is>
          <t>4/5 — بیشترین حجم آگهی در هر ۶ کشور؛ ورود جونیور از ۲۰۲۳ سخت‌تر شده — سابقهٔ کار شما مزیت است</t>
        </is>
      </c>
      <c r="Q47" s="9" t="inlineStr">
        <is>
          <t>شهریهٔ بادن-وورتمبرگ برای غیر-EU</t>
        </is>
      </c>
      <c r="R47" s="19" t="inlineStr">
        <is>
          <t>https://www.uni-stuttgart.de/en/study/study-programs/</t>
        </is>
      </c>
    </row>
    <row r="48">
      <c r="A48" s="6" t="n">
        <v>47</v>
      </c>
      <c r="B48" s="6" t="inlineStr">
        <is>
          <t>آلمان</t>
        </is>
      </c>
      <c r="C48" s="9" t="inlineStr">
        <is>
          <t>Universität Stuttgart</t>
        </is>
      </c>
      <c r="D48" s="9" t="inlineStr">
        <is>
          <t>Stuttgart (اشتوتگارت) — Bosch، Mercedes، Porsche</t>
        </is>
      </c>
      <c r="E48" s="9" t="inlineStr">
        <is>
          <t>گران — $1,250–1,540</t>
        </is>
      </c>
      <c r="F48" s="9" t="inlineStr">
        <is>
          <t>M.Sc. Information Technology (INFOTECH)</t>
        </is>
      </c>
      <c r="G48" s="9" t="inlineStr">
        <is>
          <t>سیستم‌های نهفته / رباتیک / خودران</t>
        </is>
      </c>
      <c r="H48" s="9" t="inlineStr">
        <is>
          <t>۲ سال</t>
        </is>
      </c>
      <c r="I48" s="9" t="inlineStr">
        <is>
          <t>$1,710 در ترم + سهم ترم ≈ $3,880/سال</t>
        </is>
      </c>
      <c r="J48" s="9" t="inlineStr">
        <is>
          <t>$7,750</t>
        </is>
      </c>
      <c r="K48" s="18" t="inlineStr">
        <is>
          <t>$38–45k</t>
        </is>
      </c>
      <c r="L48" s="9" t="inlineStr">
        <is>
          <t>کارشناسی EE/CS/Computer Engineering؛ گزینش</t>
        </is>
      </c>
      <c r="M48" s="9" t="inlineStr">
        <is>
          <t>7.0 (C1)</t>
        </is>
      </c>
      <c r="N48" s="9" t="inlineStr">
        <is>
          <t>318</t>
        </is>
      </c>
      <c r="O48" s="10" t="inlineStr">
        <is>
          <t>Target</t>
        </is>
      </c>
      <c r="P48" s="9" t="inlineStr">
        <is>
          <t>4/5 — در آلمان و سوئد قوی (خودرو، Bosch، ABB، Ericsson)؛ ولی کارفرمایان صنعتی خارج از شهرهای بزرگ اغلب آلمانی/سوئدی می‌خواهند</t>
        </is>
      </c>
      <c r="Q48" s="9" t="inlineStr">
        <is>
          <t>گرایش‌های Embedded/Communication؛ Bosch و Daimler همان شهر</t>
        </is>
      </c>
      <c r="R48" s="19" t="inlineStr">
        <is>
          <t>https://www.mygermanuniversity.com/master/information-technology-infotech/678</t>
        </is>
      </c>
    </row>
    <row r="49">
      <c r="A49" s="6" t="n">
        <v>48</v>
      </c>
      <c r="B49" s="6" t="inlineStr">
        <is>
          <t>آلمان</t>
        </is>
      </c>
      <c r="C49" s="9" t="inlineStr">
        <is>
          <t>FAU Erlangen-Nürnberg</t>
        </is>
      </c>
      <c r="D49" s="9" t="inlineStr">
        <is>
          <t>Erlangen / Nürnberg (ارلانگن / نورنبرگ) — Siemens</t>
        </is>
      </c>
      <c r="E49" s="9" t="inlineStr">
        <is>
          <t>متوسط — $1,080–1,310</t>
        </is>
      </c>
      <c r="F49" s="9" t="inlineStr">
        <is>
          <t>M.Sc. Artificial Intelligence</t>
        </is>
      </c>
      <c r="G49" s="9" t="inlineStr">
        <is>
          <t>هوش مصنوعی / یادگیری ماشین</t>
        </is>
      </c>
      <c r="H49" s="9" t="inlineStr">
        <is>
          <t>۲ سال</t>
        </is>
      </c>
      <c r="I49" s="9" t="inlineStr">
        <is>
          <t>$4,560 در ترم برای غیر-EU از ترم تابستان ۲۰۲۷ ($9,120/سال) + $93 سهم ترم</t>
        </is>
      </c>
      <c r="J49" s="9" t="inlineStr">
        <is>
          <t>$18,600</t>
        </is>
      </c>
      <c r="K49" s="18" t="inlineStr">
        <is>
          <t>$45–50k</t>
        </is>
      </c>
      <c r="L49" s="9" t="inlineStr">
        <is>
          <t>کارشناسی CS/مرتبط؛ بررسی ریزنمرات</t>
        </is>
      </c>
      <c r="M49" s="9" t="inlineStr">
        <is>
          <t>B2 (IELTS 6.0)</t>
        </is>
      </c>
      <c r="N49" s="9" t="inlineStr">
        <is>
          <t>218</t>
        </is>
      </c>
      <c r="O49" s="10" t="inlineStr">
        <is>
          <t>Target</t>
        </is>
      </c>
      <c r="P49" s="9" t="inlineStr">
        <is>
          <t>5/5 — داغ‌ترین بازار؛ «AI Engineer» سریع‌ترین‌رشد (LinkedIn 2026)؛ ولی برنامه‌های ریاضی‌محور (Tübingen، UvA، KTH) بسیار رقابتی‌اند</t>
        </is>
      </c>
      <c r="Q49" s="9"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19" t="inlineStr">
        <is>
          <t>https://www.fau.eu/degree-program/artificial-intelligence-m-sc/</t>
        </is>
      </c>
    </row>
    <row r="50">
      <c r="A50" s="6" t="n">
        <v>49</v>
      </c>
      <c r="B50" s="6" t="inlineStr">
        <is>
          <t>آلمان</t>
        </is>
      </c>
      <c r="C50" s="9" t="inlineStr">
        <is>
          <t>FAU Erlangen-Nürnberg</t>
        </is>
      </c>
      <c r="D50" s="9" t="inlineStr">
        <is>
          <t>Erlangen / Nürnberg (ارلانگن / نورنبرگ) — Siemens</t>
        </is>
      </c>
      <c r="E50" s="9" t="inlineStr">
        <is>
          <t>متوسط — $1,080–1,310</t>
        </is>
      </c>
      <c r="F50" s="9" t="inlineStr">
        <is>
          <t>M.Sc. Autonomy Technologies</t>
        </is>
      </c>
      <c r="G50" s="9" t="inlineStr">
        <is>
          <t>سیستم‌های نهفته / رباتیک / خودران</t>
        </is>
      </c>
      <c r="H50" s="9" t="inlineStr">
        <is>
          <t>۲ سال</t>
        </is>
      </c>
      <c r="I50" s="9" t="inlineStr">
        <is>
          <t>$2,280 در ترم از تابستان ۲۰۲۷ ($4,560/سال) + $93 سهم ترم</t>
        </is>
      </c>
      <c r="J50" s="9" t="inlineStr">
        <is>
          <t>$9,490</t>
        </is>
      </c>
      <c r="K50" s="18" t="inlineStr">
        <is>
          <t>$35–41k</t>
        </is>
      </c>
      <c r="L50" s="9" t="inlineStr">
        <is>
          <t>کارشناسی مرتبط؛ آلمانی لازم نیست</t>
        </is>
      </c>
      <c r="M50" s="9" t="inlineStr">
        <is>
          <t>B2 (IELTS 6.0)</t>
        </is>
      </c>
      <c r="N50" s="9" t="inlineStr">
        <is>
          <t>218</t>
        </is>
      </c>
      <c r="O50" s="10" t="inlineStr">
        <is>
          <t>Target</t>
        </is>
      </c>
      <c r="P50" s="9" t="inlineStr">
        <is>
          <t>4/5 — در آلمان و سوئد قوی (خودرو، Bosch، ABB، Ericsson)؛ ولی کارفرمایان صنعتی خارج از شهرهای بزرگ اغلب آلمانی/سوئدی می‌خواهند</t>
        </is>
      </c>
      <c r="Q50" s="9" t="inlineStr">
        <is>
          <t>رباتیک/خودران؛ ⚠️ مشمول شهریهٔ جدید FAU از ۲۰۲۷ (صفحهٔ رسمی شهریه، ۲۰۲۶)</t>
        </is>
      </c>
      <c r="R50" s="19" t="inlineStr">
        <is>
          <t>https://www.fau.eu/degree-program/autonomy-technologies-m-sc/</t>
        </is>
      </c>
    </row>
    <row r="51">
      <c r="A51" s="6" t="n">
        <v>50</v>
      </c>
      <c r="B51" s="6" t="inlineStr">
        <is>
          <t>آلمان</t>
        </is>
      </c>
      <c r="C51" s="9" t="inlineStr">
        <is>
          <t>TU Darmstadt</t>
        </is>
      </c>
      <c r="D51" s="9" t="inlineStr">
        <is>
          <t>Darmstadt (دارمشتات) — ۲۵ دقیقه تا فرانکفورت</t>
        </is>
      </c>
      <c r="E51" s="9" t="inlineStr">
        <is>
          <t>گران — $1,200–1,480</t>
        </is>
      </c>
      <c r="F51" s="9" t="inlineStr">
        <is>
          <t>M.Sc. Distributed Software Systems (انگلیسی)</t>
        </is>
      </c>
      <c r="G51" s="9" t="inlineStr">
        <is>
          <t>ابری / سیستم‌های توزیع‌شده / DevOps</t>
        </is>
      </c>
      <c r="H51" s="9" t="inlineStr">
        <is>
          <t>۲ سال</t>
        </is>
      </c>
      <c r="I51" s="9" t="inlineStr">
        <is>
          <t>$0 + ≈ $340 سهم ترم (≈ $685/سال)</t>
        </is>
      </c>
      <c r="J51" s="9" t="inlineStr">
        <is>
          <t>$1,370</t>
        </is>
      </c>
      <c r="K51" s="18" t="inlineStr">
        <is>
          <t>$30–37k</t>
        </is>
      </c>
      <c r="L51" s="9" t="inlineStr">
        <is>
          <t>کارشناسی CS با پیش‌نیازهای مشخص</t>
        </is>
      </c>
      <c r="M51" s="9" t="inlineStr">
        <is>
          <t>≈ 7.0 (C1) — چک شود</t>
        </is>
      </c>
      <c r="N51" s="9" t="inlineStr">
        <is>
          <t>250</t>
        </is>
      </c>
      <c r="O51" s="11" t="inlineStr">
        <is>
          <t>Target/Reach</t>
        </is>
      </c>
      <c r="P51" s="9" t="inlineStr">
        <is>
          <t>4/5 — تقاضای پایدار و کمتر مدرک‌محور؛ گواهی AWS/Azure کنار مدرک وزن زیادی دارد</t>
        </is>
      </c>
      <c r="Q51" s="9" t="inlineStr">
        <is>
          <t>منطقهٔ Rhein-Main (SAP، Deutsche Bank، Software AG)</t>
        </is>
      </c>
      <c r="R51" s="19" t="inlineStr">
        <is>
          <t>https://www.tu-darmstadt.de/studieren/</t>
        </is>
      </c>
    </row>
    <row r="52">
      <c r="A52" s="6" t="n">
        <v>51</v>
      </c>
      <c r="B52" s="6" t="inlineStr">
        <is>
          <t>آلمان</t>
        </is>
      </c>
      <c r="C52" s="9" t="inlineStr">
        <is>
          <t>TU Dresden</t>
        </is>
      </c>
      <c r="D52" s="9" t="inlineStr">
        <is>
          <t>Dresden (درسدن) — «سیلیکون ساکسونی»</t>
        </is>
      </c>
      <c r="E52" s="9" t="inlineStr">
        <is>
          <t>ارزان — $970–1,200</t>
        </is>
      </c>
      <c r="F52" s="9" t="inlineStr">
        <is>
          <t>M.Sc. Computer Science (انگلیسی)</t>
        </is>
      </c>
      <c r="G52" s="9" t="inlineStr">
        <is>
          <t>مهندسی نرم‌افزار / علوم کامپیوتر</t>
        </is>
      </c>
      <c r="H52" s="9" t="inlineStr">
        <is>
          <t>۲ سال</t>
        </is>
      </c>
      <c r="I52" s="9" t="inlineStr">
        <is>
          <t>$0 + ≈ $340 سهم ترم</t>
        </is>
      </c>
      <c r="J52" s="9" t="inlineStr">
        <is>
          <t>$1,370</t>
        </is>
      </c>
      <c r="K52" s="18" t="inlineStr">
        <is>
          <t>$25–30k</t>
        </is>
      </c>
      <c r="L52" s="9" t="inlineStr">
        <is>
          <t>کارشناسی CS؛ ارزیابی استعداد</t>
        </is>
      </c>
      <c r="M52" s="9" t="inlineStr">
        <is>
          <t>7.0</t>
        </is>
      </c>
      <c r="N52" s="9" t="inlineStr">
        <is>
          <t>185</t>
        </is>
      </c>
      <c r="O52" s="20" t="inlineStr">
        <is>
          <t>Reach</t>
        </is>
      </c>
      <c r="P52" s="9" t="inlineStr">
        <is>
          <t>4/5 — بیشترین حجم آگهی در هر ۶ کشور؛ ورود جونیور از ۲۰۲۳ سخت‌تر شده — سابقهٔ کار شما مزیت است</t>
        </is>
      </c>
      <c r="Q52" s="9" t="inlineStr">
        <is>
          <t>Dresden ارزان‌ترین شهر جدول؛ GlobalFoundries/Infineon/Bosch</t>
        </is>
      </c>
      <c r="R52" s="19" t="inlineStr">
        <is>
          <t>https://tu-dresden.de/studium/vor-dem-studium/studienangebot</t>
        </is>
      </c>
    </row>
    <row r="53">
      <c r="A53" s="6" t="n">
        <v>52</v>
      </c>
      <c r="B53" s="6" t="inlineStr">
        <is>
          <t>آلمان</t>
        </is>
      </c>
      <c r="C53" s="9" t="inlineStr">
        <is>
          <t>Saarland University (UdS)</t>
        </is>
      </c>
      <c r="D53" s="9" t="inlineStr">
        <is>
          <t>Saarbrücken (زاربروکن) — مرز فرانسه؛ CISPA/DFKI</t>
        </is>
      </c>
      <c r="E53" s="9" t="inlineStr">
        <is>
          <t>متوسط — $1,030–1,250</t>
        </is>
      </c>
      <c r="F53" s="9" t="inlineStr">
        <is>
          <t>M.Sc. Cybersecurity</t>
        </is>
      </c>
      <c r="G53" s="9" t="inlineStr">
        <is>
          <t>امنیت سایبری</t>
        </is>
      </c>
      <c r="H53" s="9" t="inlineStr">
        <is>
          <t>۲ سال</t>
        </is>
      </c>
      <c r="I53" s="9" t="inlineStr">
        <is>
          <t>$0 + ≈ $450 سهم ترم (≈ $900/سال)</t>
        </is>
      </c>
      <c r="J53" s="9" t="inlineStr">
        <is>
          <t>$1,800</t>
        </is>
      </c>
      <c r="K53" s="18" t="inlineStr">
        <is>
          <t>$26–32k</t>
        </is>
      </c>
      <c r="L53" s="9" t="inlineStr">
        <is>
          <t>کارشناسی CS + اثبات دروس پایه + ۲ توصیه‌نامه؛ بدون NC</t>
        </is>
      </c>
      <c r="M53" s="9" t="inlineStr">
        <is>
          <t>7.0 (C1؛ MOI پذیرفته نمی‌شود)</t>
        </is>
      </c>
      <c r="N53" s="9">
        <f>588 (CS ≈ 251)</f>
        <v/>
      </c>
      <c r="O53" s="10" t="inlineStr">
        <is>
          <t>Target</t>
        </is>
      </c>
      <c r="P53" s="9" t="inlineStr">
        <is>
          <t>4/5 — کمبود ساختاری (Bitkom: جزو ۳ کمبود اصلی آلمان)؛ اما ۳۱٪ تیم‌ها هیچ نیروی جونیور ندارند → کارآموزی/گواهی لازم است</t>
        </is>
      </c>
      <c r="Q53" s="9" t="inlineStr">
        <is>
          <t>CISPA — بهترین مرکز امنیت آلمان؛ IELTS 7 شرط سخت شماست</t>
        </is>
      </c>
      <c r="R53" s="19" t="inlineStr">
        <is>
          <t>https://www.uni-saarland.de/en/study/programmes/master/cybersecurity.html</t>
        </is>
      </c>
    </row>
    <row r="54">
      <c r="A54" s="6" t="n">
        <v>53</v>
      </c>
      <c r="B54" s="6" t="inlineStr">
        <is>
          <t>آلمان</t>
        </is>
      </c>
      <c r="C54" s="9" t="inlineStr">
        <is>
          <t>Saarland University (UdS)</t>
        </is>
      </c>
      <c r="D54" s="9" t="inlineStr">
        <is>
          <t>Saarbrücken (زاربروکن) — مرز فرانسه؛ CISPA/DFKI</t>
        </is>
      </c>
      <c r="E54" s="9" t="inlineStr">
        <is>
          <t>متوسط — $1,030–1,250</t>
        </is>
      </c>
      <c r="F54" s="9" t="inlineStr">
        <is>
          <t>M.Sc. Data Science and Artificial Intelligence</t>
        </is>
      </c>
      <c r="G54" s="9" t="inlineStr">
        <is>
          <t>هوش مصنوعی / یادگیری ماشین</t>
        </is>
      </c>
      <c r="H54" s="9" t="inlineStr">
        <is>
          <t>۲ سال</t>
        </is>
      </c>
      <c r="I54" s="9" t="inlineStr">
        <is>
          <t>$0 + ≈ $450 سهم ترم</t>
        </is>
      </c>
      <c r="J54" s="9" t="inlineStr">
        <is>
          <t>$1,800</t>
        </is>
      </c>
      <c r="K54" s="18" t="inlineStr">
        <is>
          <t>$26–32k</t>
        </is>
      </c>
      <c r="L54" s="9" t="inlineStr">
        <is>
          <t>کارشناسی CS/مرتبط؛ بدون NC</t>
        </is>
      </c>
      <c r="M54" s="9" t="inlineStr">
        <is>
          <t>7.0 (C1)</t>
        </is>
      </c>
      <c r="N54" s="9">
        <f>588 (CS ≈ 251)</f>
        <v/>
      </c>
      <c r="O54" s="10" t="inlineStr">
        <is>
          <t>Target</t>
        </is>
      </c>
      <c r="P54" s="9" t="inlineStr">
        <is>
          <t>5/5 — داغ‌ترین بازار؛ «AI Engineer» سریع‌ترین‌رشد (LinkedIn 2026)؛ ولی برنامه‌های ریاضی‌محور (Tübingen، UvA، KTH) بسیار رقابتی‌اند</t>
        </is>
      </c>
      <c r="Q54" s="9" t="inlineStr">
        <is>
          <t>MPI Informatics و DFKI در همان کمپوس</t>
        </is>
      </c>
      <c r="R54" s="19" t="inlineStr">
        <is>
          <t>https://www.uni-saarland.de/en/study/programmes/master/data-science.html</t>
        </is>
      </c>
    </row>
    <row r="55">
      <c r="A55" s="6" t="n">
        <v>54</v>
      </c>
      <c r="B55" s="6" t="inlineStr">
        <is>
          <t>آلمان</t>
        </is>
      </c>
      <c r="C55" s="9" t="inlineStr">
        <is>
          <t>TU Chemnitz</t>
        </is>
      </c>
      <c r="D55" s="9" t="inlineStr">
        <is>
          <t>Chemnitz (کمنیتس) — ساکسونی</t>
        </is>
      </c>
      <c r="E55" s="9" t="inlineStr">
        <is>
          <t>ارزان — $910–1,140</t>
        </is>
      </c>
      <c r="F55" s="9" t="inlineStr">
        <is>
          <t>M.Sc. Automotive Software Engineering</t>
        </is>
      </c>
      <c r="G55" s="9" t="inlineStr">
        <is>
          <t>سیستم‌های نهفته / رباتیک / خودران</t>
        </is>
      </c>
      <c r="H55" s="9" t="inlineStr">
        <is>
          <t>۲ سال</t>
        </is>
      </c>
      <c r="I55" s="9" t="inlineStr">
        <is>
          <t>$0 + ≈ $365 سهم ترم (≈ $730/سال)</t>
        </is>
      </c>
      <c r="J55" s="9" t="inlineStr">
        <is>
          <t>$1,460</t>
        </is>
      </c>
      <c r="K55" s="18" t="inlineStr">
        <is>
          <t>$23–29k</t>
        </is>
      </c>
      <c r="L55" s="9" t="inlineStr">
        <is>
          <t>کارشناسی CS/مرتبط؛ بدون محدودیت پذیرش</t>
        </is>
      </c>
      <c r="M55" s="9" t="inlineStr">
        <is>
          <t>B2 (IELTS 5.5)</t>
        </is>
      </c>
      <c r="N55" s="9" t="inlineStr">
        <is>
          <t>—</t>
        </is>
      </c>
      <c r="O55" s="12" t="inlineStr">
        <is>
          <t>Safe</t>
        </is>
      </c>
      <c r="P55" s="9" t="inlineStr">
        <is>
          <t>4/5 — در آلمان و سوئد قوی (خودرو، Bosch، ABB، Ericsson)؛ ولی کارفرمایان صنعتی خارج از شهرهای بزرگ اغلب آلمانی/سوئدی می‌خواهند</t>
        </is>
      </c>
      <c r="Q55" s="9" t="inlineStr">
        <is>
          <t>آسان‌ترین ورود؛ شهر ارزان؛ ولی صنعت خودرو ۲۰۲۴–۲۵ ضعیف و آلمانی در کارفرمایان محلی</t>
        </is>
      </c>
      <c r="R55" s="19" t="inlineStr">
        <is>
          <t>https://www.mygermanuniversity.com/master/automotive-software-engineering/91</t>
        </is>
      </c>
    </row>
    <row r="56">
      <c r="A56" s="6" t="n">
        <v>55</v>
      </c>
      <c r="B56" s="6" t="inlineStr">
        <is>
          <t>آلمان</t>
        </is>
      </c>
      <c r="C56" s="9" t="inlineStr">
        <is>
          <t>Universität Passau</t>
        </is>
      </c>
      <c r="D56" s="9" t="inlineStr">
        <is>
          <t>Passau (پاساو) — شهر کوچک، مرز اتریش</t>
        </is>
      </c>
      <c r="E56" s="9" t="inlineStr">
        <is>
          <t>متوسط — $1,030–1,250</t>
        </is>
      </c>
      <c r="F56" s="9" t="inlineStr">
        <is>
          <t>M.Sc. Artificial Intelligence Engineering</t>
        </is>
      </c>
      <c r="G56" s="9" t="inlineStr">
        <is>
          <t>هوش مصنوعی / یادگیری ماشین</t>
        </is>
      </c>
      <c r="H56" s="9" t="inlineStr">
        <is>
          <t>۲ سال</t>
        </is>
      </c>
      <c r="I56" s="9" t="inlineStr">
        <is>
          <t>$0 + ≈ $115–230 سهم ترم</t>
        </is>
      </c>
      <c r="J56" s="9" t="inlineStr">
        <is>
          <t>$685</t>
        </is>
      </c>
      <c r="K56" s="18" t="inlineStr">
        <is>
          <t>$25–31k</t>
        </is>
      </c>
      <c r="L56" s="9" t="inlineStr">
        <is>
          <t>معدل آلمانی ≤ 2.7 (معدل شما ≈ 2.3 ✓)؛ ۳۵ ECTS ریاضی + ۴۰ ECTS CS</t>
        </is>
      </c>
      <c r="M56" s="9" t="inlineStr">
        <is>
          <t>B2؛ + آلمانی A1 تا پایان سال اول (کلاس رایگان)</t>
        </is>
      </c>
      <c r="N56" s="9" t="inlineStr">
        <is>
          <t>—</t>
        </is>
      </c>
      <c r="O56" s="12" t="inlineStr">
        <is>
          <t>Safe</t>
        </is>
      </c>
      <c r="P56" s="9" t="inlineStr">
        <is>
          <t>5/5 — داغ‌ترین بازار؛ «AI Engineer» سریع‌ترین‌رشد (LinkedIn 2026)؛ ولی برنامه‌های ریاضی‌محور (Tübingen، UvA، KTH) بسیار رقابتی‌اند</t>
        </is>
      </c>
      <c r="Q56" s="9" t="inlineStr">
        <is>
          <t>کاملاً انگلیسی؛ شهر کوچک و ارزان؛ Passau رسماً اعلام کرده «فعلاً» شهریهٔ غیر-EU نمی‌گیرد (برخلاف FAU/TUM) ولی طبق قانون باواریا می‌تواند — قبل از اپلای چک کنید</t>
        </is>
      </c>
      <c r="R56" s="19" t="inlineStr">
        <is>
          <t>https://www.uni-passau.de/en/msc-ai-eng</t>
        </is>
      </c>
    </row>
    <row r="57">
      <c r="A57" s="6" t="n">
        <v>56</v>
      </c>
      <c r="B57" s="6" t="inlineStr">
        <is>
          <t>آلمان</t>
        </is>
      </c>
      <c r="C57" s="9" t="inlineStr">
        <is>
          <t>Otto-von-Guericke-Universität (OVGU)</t>
        </is>
      </c>
      <c r="D57" s="9" t="inlineStr">
        <is>
          <t>Magdeburg (ماگدبورگ) — ساکسونی-آنهالت</t>
        </is>
      </c>
      <c r="E57" s="9" t="inlineStr">
        <is>
          <t>ارزان — $970–1,140</t>
        </is>
      </c>
      <c r="F57" s="9" t="inlineStr">
        <is>
          <t>M.Sc. Data and Knowledge Engineering</t>
        </is>
      </c>
      <c r="G57" s="9" t="inlineStr">
        <is>
          <t>علم داده / تحلیل داده</t>
        </is>
      </c>
      <c r="H57" s="9" t="inlineStr">
        <is>
          <t>۲ سال</t>
        </is>
      </c>
      <c r="I57" s="9" t="inlineStr">
        <is>
          <t>$0 + ≈ $355 سهم ترم</t>
        </is>
      </c>
      <c r="J57" s="9" t="inlineStr">
        <is>
          <t>$1,410</t>
        </is>
      </c>
      <c r="K57" s="18" t="inlineStr">
        <is>
          <t>$25–29k</t>
        </is>
      </c>
      <c r="L57" s="9" t="inlineStr">
        <is>
          <t>معدل آلمانی ≤ 2.3 (معدل شما ≈ 2.27 — دقیقاً مرزی)؛ کارشناسی CS</t>
        </is>
      </c>
      <c r="M57" s="9" t="inlineStr">
        <is>
          <t>6.0–7.0 (منابع متناقض؛ رسمی را چک کنید)</t>
        </is>
      </c>
      <c r="N57" s="9" t="inlineStr">
        <is>
          <t>—</t>
        </is>
      </c>
      <c r="O57" s="13" t="inlineStr">
        <is>
          <t>Safe/Target</t>
        </is>
      </c>
      <c r="P57" s="9" t="inlineStr">
        <is>
          <t>3/5 — بازار ارشد/سینیور خوب، ولی سطح جونیور اشباع (ده‌ها هزار فارغ‌التحصیل مشابه)؛ Data Engineer کم‌رقابت‌تر از Data Scientist</t>
        </is>
      </c>
      <c r="Q57" s="9" t="inlineStr"/>
      <c r="R57" s="19" t="inlineStr">
        <is>
          <t>https://www.dke.ovgu.de/</t>
        </is>
      </c>
    </row>
    <row r="58">
      <c r="A58" s="6" t="n">
        <v>57</v>
      </c>
      <c r="B58" s="6" t="inlineStr">
        <is>
          <t>آلمان</t>
        </is>
      </c>
      <c r="C58" s="9" t="inlineStr">
        <is>
          <t>TH Köln – Cologne Game Lab</t>
        </is>
      </c>
      <c r="D58" s="9" t="inlineStr">
        <is>
          <t>Köln / Cologne (کلن) — چهارمین شهر آلمان</t>
        </is>
      </c>
      <c r="E58" s="9" t="inlineStr">
        <is>
          <t>گران — $1,200–1,480</t>
        </is>
      </c>
      <c r="F58" s="9" t="inlineStr">
        <is>
          <t>M.A. Game Development and Research</t>
        </is>
      </c>
      <c r="G58" s="9" t="inlineStr">
        <is>
          <t>توسعه بازی</t>
        </is>
      </c>
      <c r="H58" s="9" t="inlineStr">
        <is>
          <t>۲ سال</t>
        </is>
      </c>
      <c r="I58" s="9" t="inlineStr">
        <is>
          <t>$2,850 در ترم (غیر-EU) + $315 سهم ترم ≈ $6,330/سال</t>
        </is>
      </c>
      <c r="J58" s="9" t="inlineStr">
        <is>
          <t>$12,700</t>
        </is>
      </c>
      <c r="K58" s="18" t="inlineStr">
        <is>
          <t>$41–48k</t>
        </is>
      </c>
      <c r="L58" s="9" t="inlineStr">
        <is>
          <t>هر کارشناسی + ≥ ۱۲ ماه سابقهٔ مرتبط + آزمون استعداد (مهلت ۳۱ مارس)</t>
        </is>
      </c>
      <c r="M58" s="9" t="inlineStr">
        <is>
          <t>B2</t>
        </is>
      </c>
      <c r="N58" s="9" t="inlineStr">
        <is>
          <t>— (UAS)</t>
        </is>
      </c>
      <c r="O58" s="10" t="inlineStr">
        <is>
          <t>Target</t>
        </is>
      </c>
      <c r="P58" s="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9" t="inlineStr">
        <is>
          <t>معتبرترین مدرسهٔ بازی آلمان؛ ۷ ماه Unity + ۲ سال IT شما احتمالاً شرط ۱۲ ماه را می‌پوشاند — بپرسید</t>
        </is>
      </c>
      <c r="R58" s="19" t="inlineStr">
        <is>
          <t>https://colognegamelab.de/study-programs/post-graduate-programs/game-development-research-ma/faqs/</t>
        </is>
      </c>
    </row>
    <row r="59">
      <c r="A59" s="6" t="n">
        <v>58</v>
      </c>
      <c r="B59" s="6" t="inlineStr">
        <is>
          <t>آلمان</t>
        </is>
      </c>
      <c r="C59" s="9" t="inlineStr">
        <is>
          <t>Universität Siegen</t>
        </is>
      </c>
      <c r="D59" s="9" t="inlineStr">
        <is>
          <t>Siegen (زیگن) — شهر کوچک، NRW</t>
        </is>
      </c>
      <c r="E59" s="9" t="inlineStr">
        <is>
          <t>متوسط — $1,030–1,250</t>
        </is>
      </c>
      <c r="F59" s="9" t="inlineStr">
        <is>
          <t>M.Sc. Human Computer Interaction</t>
        </is>
      </c>
      <c r="G59" s="9" t="inlineStr">
        <is>
          <t>HCI / طراحی تعامل / UX</t>
        </is>
      </c>
      <c r="H59" s="9" t="inlineStr">
        <is>
          <t>۲ سال</t>
        </is>
      </c>
      <c r="I59" s="9" t="inlineStr">
        <is>
          <t>$0 + ≈ $425 سهم ترم</t>
        </is>
      </c>
      <c r="J59" s="9" t="inlineStr">
        <is>
          <t>$1,700</t>
        </is>
      </c>
      <c r="K59" s="18" t="inlineStr">
        <is>
          <t>$26–32k</t>
        </is>
      </c>
      <c r="L59" s="9" t="inlineStr">
        <is>
          <t>معدل آلمانی ≤ 2.5؛ کارشناسی CS/IS/Design/Psychology</t>
        </is>
      </c>
      <c r="M59" s="9" t="inlineStr">
        <is>
          <t>6.5</t>
        </is>
      </c>
      <c r="N59" s="9" t="inlineStr">
        <is>
          <t>—</t>
        </is>
      </c>
      <c r="O59" s="12" t="inlineStr">
        <is>
          <t>Safe</t>
        </is>
      </c>
      <c r="P59" s="9" t="inlineStr">
        <is>
          <t>2/5 — آگهی‌های UX/UXR از ۲۰۲۲ حدود ۷۰٪ کم شده و از ۲۰۲۳ ثابت مانده؛ رقابت شدید، حقوق شروع کمتر از توسعه‌دهنده</t>
        </is>
      </c>
      <c r="Q59" s="9" t="inlineStr">
        <is>
          <t>شروع زمستان و تابستان؛ شهر کوچک</t>
        </is>
      </c>
      <c r="R59" s="19" t="inlineStr">
        <is>
          <t>https://www2.daad.de/deutschland/studienangebote/international-programmes/en/detail/4686/</t>
        </is>
      </c>
    </row>
    <row r="60">
      <c r="A60" s="6" t="n">
        <v>59</v>
      </c>
      <c r="B60" s="6" t="inlineStr">
        <is>
          <t>آلمان</t>
        </is>
      </c>
      <c r="C60" s="9" t="inlineStr">
        <is>
          <t>Hochschule Bonn-Rhein-Sieg (H-BRS)</t>
        </is>
      </c>
      <c r="D60" s="9" t="inlineStr">
        <is>
          <t>Sankt Augustin (زانکت آگوستین) — حومهٔ Bonn</t>
        </is>
      </c>
      <c r="E60" s="9" t="inlineStr">
        <is>
          <t>متوسط — $1,080–1,370</t>
        </is>
      </c>
      <c r="F60" s="9" t="inlineStr">
        <is>
          <t>M.Sc. Autonomous Systems</t>
        </is>
      </c>
      <c r="G60" s="9" t="inlineStr">
        <is>
          <t>سیستم‌های نهفته / رباتیک / خودران</t>
        </is>
      </c>
      <c r="H60" s="9" t="inlineStr">
        <is>
          <t>۲ سال</t>
        </is>
      </c>
      <c r="I60" s="9" t="inlineStr">
        <is>
          <t>$0 + $400 سهم ترم</t>
        </is>
      </c>
      <c r="J60" s="9" t="inlineStr">
        <is>
          <t>$1,600</t>
        </is>
      </c>
      <c r="K60" s="18" t="inlineStr">
        <is>
          <t>$28–34k</t>
        </is>
      </c>
      <c r="L60" s="9" t="inlineStr">
        <is>
          <t>معدل آلمانی ≤ 2.5؛ ۲۵ جای محدود؛ آزمون استعداد؛ uni-assist</t>
        </is>
      </c>
      <c r="M60" s="9" t="inlineStr">
        <is>
          <t>6.5 (B2+)</t>
        </is>
      </c>
      <c r="N60" s="9" t="inlineStr">
        <is>
          <t>— (UAS)</t>
        </is>
      </c>
      <c r="O60" s="10" t="inlineStr">
        <is>
          <t>Target</t>
        </is>
      </c>
      <c r="P60" s="9" t="inlineStr">
        <is>
          <t>4/5 — در آلمان و سوئد قوی (خودرو، Bosch، ABB، Ericsson)؛ ولی کارفرمایان صنعتی خارج از شهرهای بزرگ اغلب آلمانی/سوئدی می‌خواهند</t>
        </is>
      </c>
      <c r="Q60" s="9" t="inlineStr">
        <is>
          <t>رباتیک کاربردی با Fraunhofer؛ نزدیک Bonn/Köln</t>
        </is>
      </c>
      <c r="R60" s="19" t="inlineStr">
        <is>
          <t>https://www.h-brs.de/en/inf/admission-application-master-autonomous-systems</t>
        </is>
      </c>
    </row>
    <row r="61">
      <c r="A61" s="6" t="n">
        <v>60</v>
      </c>
      <c r="B61" s="6" t="inlineStr">
        <is>
          <t>آلمان</t>
        </is>
      </c>
      <c r="C61" s="9" t="inlineStr">
        <is>
          <t>RWTH Aachen</t>
        </is>
      </c>
      <c r="D61" s="9" t="inlineStr">
        <is>
          <t>Aachen (آخن) — مرز هلند/بلژیک</t>
        </is>
      </c>
      <c r="E61" s="9" t="inlineStr">
        <is>
          <t>متوسط — $1,080–1,370</t>
        </is>
      </c>
      <c r="F61" s="9" t="inlineStr">
        <is>
          <t>M.Sc. Software Systems Engineering</t>
        </is>
      </c>
      <c r="G61" s="9" t="inlineStr">
        <is>
          <t>مهندسی نرم‌افزار / علوم کامپیوتر</t>
        </is>
      </c>
      <c r="H61" s="9" t="inlineStr">
        <is>
          <t>۲ سال</t>
        </is>
      </c>
      <c r="I61" s="9" t="inlineStr">
        <is>
          <t>$0 + ≈ $375 سهم ترم</t>
        </is>
      </c>
      <c r="J61" s="9" t="inlineStr">
        <is>
          <t>$1,500</t>
        </is>
      </c>
      <c r="K61" s="18" t="inlineStr">
        <is>
          <t>$27–34k</t>
        </is>
      </c>
      <c r="L61" s="9" t="inlineStr">
        <is>
          <t>کارشناسی CS، معدل ≥ ۶۵٪ (شما ۷۹٪ ✓)؛ ۲ درس پیشرفتهٔ سیستم؛ مهلت ۱ مارس</t>
        </is>
      </c>
      <c r="M61" s="9" t="inlineStr">
        <is>
          <t>B2 (IELTS 5.5)</t>
        </is>
      </c>
      <c r="N61" s="9" t="inlineStr">
        <is>
          <t>104</t>
        </is>
      </c>
      <c r="O61" s="20" t="inlineStr">
        <is>
          <t>Reach</t>
        </is>
      </c>
      <c r="P61" s="9" t="inlineStr">
        <is>
          <t>4/5 — بیشترین حجم آگهی در هر ۶ کشور؛ ورود جونیور از ۲۰۲۳ سخت‌تر شده — سابقهٔ کار شما مزیت است</t>
        </is>
      </c>
      <c r="Q61" s="9" t="inlineStr">
        <is>
          <t>TU9؛ رقابتی — معدل شما حداقل را رد می‌کند ولی متقاضیان قوی‌ترند</t>
        </is>
      </c>
      <c r="R61" s="19" t="inlineStr">
        <is>
          <t>https://sc.informatik.rwth-aachen.de/en/studium/master/sse/</t>
        </is>
      </c>
    </row>
    <row r="62">
      <c r="A62" s="6" t="n">
        <v>61</v>
      </c>
      <c r="B62" s="6" t="inlineStr">
        <is>
          <t>آلمان</t>
        </is>
      </c>
      <c r="C62" s="9" t="inlineStr">
        <is>
          <t>Universität Tübingen</t>
        </is>
      </c>
      <c r="D62" s="9" t="inlineStr">
        <is>
          <t>Tübingen (توبینگن) — شهر دانشگاهی کوچک؛ Cyber Valley</t>
        </is>
      </c>
      <c r="E62" s="9" t="inlineStr">
        <is>
          <t>گران — $1,200–1,480</t>
        </is>
      </c>
      <c r="F62" s="9" t="inlineStr">
        <is>
          <t>M.Sc. Machine Learning</t>
        </is>
      </c>
      <c r="G62" s="9" t="inlineStr">
        <is>
          <t>هوش مصنوعی / یادگیری ماشین</t>
        </is>
      </c>
      <c r="H62" s="9" t="inlineStr">
        <is>
          <t>۲ سال</t>
        </is>
      </c>
      <c r="I62" s="9" t="inlineStr">
        <is>
          <t>$1,710 در ترم + ≈ $230 = ≈ $3,880/سال</t>
        </is>
      </c>
      <c r="J62" s="9" t="inlineStr">
        <is>
          <t>$7,750</t>
        </is>
      </c>
      <c r="K62" s="18" t="inlineStr">
        <is>
          <t>$36–43k</t>
        </is>
      </c>
      <c r="L62" s="9" t="inlineStr">
        <is>
          <t>کارشناسی CS/ریاضی؛ آزمون توانایی؛ مهلت ۳۰ آوریل</t>
        </is>
      </c>
      <c r="M62" s="9" t="inlineStr">
        <is>
          <t>7.0</t>
        </is>
      </c>
      <c r="N62" s="9">
        <f>230</f>
        <v/>
      </c>
      <c r="O62" s="20" t="inlineStr">
        <is>
          <t>Reach</t>
        </is>
      </c>
      <c r="P62" s="9" t="inlineStr">
        <is>
          <t>5/5 — داغ‌ترین بازار؛ «AI Engineer» سریع‌ترین‌رشد (LinkedIn 2026)؛ ولی برنامه‌های ریاضی‌محور (Tübingen، UvA، KTH) بسیار رقابتی‌اند</t>
        </is>
      </c>
      <c r="Q62" s="9" t="inlineStr">
        <is>
          <t>Cyber Valley — بهترین ML آلمان؛ پذیرش بسیار سخت</t>
        </is>
      </c>
      <c r="R62" s="19"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9" t="inlineStr">
        <is>
          <t>TU München (TUM)</t>
        </is>
      </c>
      <c r="D63" s="9" t="inlineStr">
        <is>
          <t>München – Garching (مونیخ، کمپوس گارشینگ)</t>
        </is>
      </c>
      <c r="E63" s="9" t="inlineStr">
        <is>
          <t>خیلی گران — $1,480–1,820</t>
        </is>
      </c>
      <c r="F63" s="9" t="inlineStr">
        <is>
          <t>M.Sc. Informatics</t>
        </is>
      </c>
      <c r="G63" s="9" t="inlineStr">
        <is>
          <t>مهندسی نرم‌افزار / علوم کامپیوتر</t>
        </is>
      </c>
      <c r="H63" s="9" t="inlineStr">
        <is>
          <t>۲ سال</t>
        </is>
      </c>
      <c r="I63" s="9" t="inlineStr">
        <is>
          <t>$6,840 در ترم برای غیر-EU ($13,700/سال) + $110</t>
        </is>
      </c>
      <c r="J63" s="9" t="inlineStr">
        <is>
          <t>$27,800</t>
        </is>
      </c>
      <c r="K63" s="18" t="inlineStr">
        <is>
          <t>$63–72k</t>
        </is>
      </c>
      <c r="L63" s="9" t="inlineStr">
        <is>
          <t>کارشناسی CS؛ ارزیابی استعداد؛ بسیار رقابتی</t>
        </is>
      </c>
      <c r="M63" s="9" t="inlineStr">
        <is>
          <t>6.5</t>
        </is>
      </c>
      <c r="N63" s="9" t="inlineStr">
        <is>
          <t>≈ 25</t>
        </is>
      </c>
      <c r="O63" s="20" t="inlineStr">
        <is>
          <t>Reach</t>
        </is>
      </c>
      <c r="P63" s="9" t="inlineStr">
        <is>
          <t>4/5 — بیشترین حجم آگهی در هر ۶ کشور؛ ورود جونیور از ۲۰۲۳ سخت‌تر شده — سابقهٔ کار شما مزیت است</t>
        </is>
      </c>
      <c r="Q63" s="9" t="inlineStr">
        <is>
          <t>⚠️ TUM از ۲۰۲۴ شهریهٔ غیر-EU می‌گیرد — دیگر «رایگان» نیست؛ Munich گران‌ترین شهر آلمان</t>
        </is>
      </c>
      <c r="R63" s="19" t="inlineStr">
        <is>
          <t>https://www.tum.de/en/studies/degree-programs/detail/informatics-master-of-science-msc</t>
        </is>
      </c>
    </row>
    <row r="64">
      <c r="A64" s="6" t="n">
        <v>63</v>
      </c>
      <c r="B64" s="6" t="inlineStr">
        <is>
          <t>هلند</t>
        </is>
      </c>
      <c r="C64" s="9" t="inlineStr">
        <is>
          <t>University of Twente (UT)</t>
        </is>
      </c>
      <c r="D64" s="9" t="inlineStr">
        <is>
          <t>Enschede (انسخده) — شرق هلند، مرز آلمان</t>
        </is>
      </c>
      <c r="E64" s="9" t="inlineStr">
        <is>
          <t>متوسط — $1,140–1,480</t>
        </is>
      </c>
      <c r="F64" s="9" t="inlineStr">
        <is>
          <t>MSc Computer Science (گرایش‌ها: Cyber Security، Data Science، Software Tech، ...)</t>
        </is>
      </c>
      <c r="G64" s="9" t="inlineStr">
        <is>
          <t>مهندسی نرم‌افزار / علوم کامپیوتر</t>
        </is>
      </c>
      <c r="H64" s="9" t="inlineStr">
        <is>
          <t>۲ سال</t>
        </is>
      </c>
      <c r="I64" s="9" t="inlineStr">
        <is>
          <t>$24,700</t>
        </is>
      </c>
      <c r="J64" s="9" t="inlineStr">
        <is>
          <t>$49,500</t>
        </is>
      </c>
      <c r="K64" s="18" t="inlineStr">
        <is>
          <t>$77–85k</t>
        </is>
      </c>
      <c r="L64" s="9" t="inlineStr">
        <is>
          <t>حداقل رسمی برای مدرک ایرانی ۱۵/۲۰</t>
        </is>
      </c>
      <c r="M64" s="9" t="inlineStr">
        <is>
          <t>6.5</t>
        </is>
      </c>
      <c r="N64" s="9" t="inlineStr">
        <is>
          <t>223</t>
        </is>
      </c>
      <c r="O64" s="10" t="inlineStr">
        <is>
          <t>Target</t>
        </is>
      </c>
      <c r="P64" s="9" t="inlineStr">
        <is>
          <t>4/5 — بیشترین حجم آگهی در هر ۶ کشور؛ ورود جونیور از ۲۰۲۳ سخت‌تر شده — سابقهٔ کار شما مزیت است</t>
        </is>
      </c>
      <c r="Q64" s="9" t="inlineStr">
        <is>
          <t>گزینهٔ Target جدول اصلی</t>
        </is>
      </c>
      <c r="R64" s="19" t="inlineStr">
        <is>
          <t>https://www.utwente.nl/en/education/master/programmes/computer-science/</t>
        </is>
      </c>
    </row>
    <row r="65">
      <c r="A65" s="6" t="n">
        <v>64</v>
      </c>
      <c r="B65" s="6" t="inlineStr">
        <is>
          <t>هلند</t>
        </is>
      </c>
      <c r="C65" s="9" t="inlineStr">
        <is>
          <t>University of Twente (UT)</t>
        </is>
      </c>
      <c r="D65" s="9" t="inlineStr">
        <is>
          <t>Enschede (انسخده) — شرق هلند، مرز آلمان</t>
        </is>
      </c>
      <c r="E65" s="9" t="inlineStr">
        <is>
          <t>متوسط — $1,140–1,480</t>
        </is>
      </c>
      <c r="F65" s="9" t="inlineStr">
        <is>
          <t>MSc Embedded Systems</t>
        </is>
      </c>
      <c r="G65" s="9" t="inlineStr">
        <is>
          <t>سیستم‌های نهفته / رباتیک / خودران</t>
        </is>
      </c>
      <c r="H65" s="9" t="inlineStr">
        <is>
          <t>۲ سال</t>
        </is>
      </c>
      <c r="I65" s="9" t="inlineStr">
        <is>
          <t>$24,700</t>
        </is>
      </c>
      <c r="J65" s="9" t="inlineStr">
        <is>
          <t>$49,500</t>
        </is>
      </c>
      <c r="K65" s="18" t="inlineStr">
        <is>
          <t>$77–85k</t>
        </is>
      </c>
      <c r="L65" s="9" t="inlineStr">
        <is>
          <t>CGPA ≥ ۷۰–۷۵٪؛ کارشناسی CS/EE/Computer Eng</t>
        </is>
      </c>
      <c r="M65" s="9" t="inlineStr">
        <is>
          <t>6.5</t>
        </is>
      </c>
      <c r="N65" s="9" t="inlineStr">
        <is>
          <t>223</t>
        </is>
      </c>
      <c r="O65" s="10" t="inlineStr">
        <is>
          <t>Target</t>
        </is>
      </c>
      <c r="P65" s="9" t="inlineStr">
        <is>
          <t>4/5 — در آلمان و سوئد قوی (خودرو، Bosch، ABB، Ericsson)؛ ولی کارفرمایان صنعتی خارج از شهرهای بزرگ اغلب آلمانی/سوئدی می‌خواهند</t>
        </is>
      </c>
      <c r="Q65" s="9" t="inlineStr">
        <is>
          <t>شهریهٔ رسمی 2026/27؛ مهلت غیر-EU ۱ مه</t>
        </is>
      </c>
      <c r="R65" s="19" t="inlineStr">
        <is>
          <t>https://www.utwente.nl/en/education/master/programmes/embedded-systems/finance/</t>
        </is>
      </c>
    </row>
    <row r="66">
      <c r="A66" s="6" t="n">
        <v>65</v>
      </c>
      <c r="B66" s="6" t="inlineStr">
        <is>
          <t>هلند</t>
        </is>
      </c>
      <c r="C66" s="9" t="inlineStr">
        <is>
          <t>University of Twente (UT)</t>
        </is>
      </c>
      <c r="D66" s="9" t="inlineStr">
        <is>
          <t>Enschede (انسخده) — شرق هلند، مرز آلمان</t>
        </is>
      </c>
      <c r="E66" s="9" t="inlineStr">
        <is>
          <t>متوسط — $1,140–1,480</t>
        </is>
      </c>
      <c r="F66" s="9" t="inlineStr">
        <is>
          <t>MSc Interaction Technology</t>
        </is>
      </c>
      <c r="G66" s="9" t="inlineStr">
        <is>
          <t>HCI / طراحی تعامل / UX</t>
        </is>
      </c>
      <c r="H66" s="9" t="inlineStr">
        <is>
          <t>۲ سال</t>
        </is>
      </c>
      <c r="I66" s="9" t="inlineStr">
        <is>
          <t>$24,700</t>
        </is>
      </c>
      <c r="J66" s="9" t="inlineStr">
        <is>
          <t>$49,500</t>
        </is>
      </c>
      <c r="K66" s="18" t="inlineStr">
        <is>
          <t>$77–85k</t>
        </is>
      </c>
      <c r="L66" s="9" t="inlineStr">
        <is>
          <t>کارشناسی CS/مرتبط</t>
        </is>
      </c>
      <c r="M66" s="9" t="inlineStr">
        <is>
          <t>6.5</t>
        </is>
      </c>
      <c r="N66" s="9" t="inlineStr">
        <is>
          <t>223</t>
        </is>
      </c>
      <c r="O66" s="10" t="inlineStr">
        <is>
          <t>Target</t>
        </is>
      </c>
      <c r="P66" s="9" t="inlineStr">
        <is>
          <t>2/5 — آگهی‌های UX/UXR از ۲۰۲۲ حدود ۷۰٪ کم شده و از ۲۰۲۳ ثابت مانده؛ رقابت شدید، حقوق شروع کمتر از توسعه‌دهنده</t>
        </is>
      </c>
      <c r="Q66" s="9" t="inlineStr">
        <is>
          <t>HCI فنی (نه طراحی صرف)</t>
        </is>
      </c>
      <c r="R66" s="19" t="inlineStr">
        <is>
          <t>https://www.utwente.nl/en/education/master/programmes/interaction-technology/</t>
        </is>
      </c>
    </row>
    <row r="67">
      <c r="A67" s="6" t="n">
        <v>66</v>
      </c>
      <c r="B67" s="6" t="inlineStr">
        <is>
          <t>هلند</t>
        </is>
      </c>
      <c r="C67" s="9" t="inlineStr">
        <is>
          <t>Radboud University</t>
        </is>
      </c>
      <c r="D67" s="9" t="inlineStr">
        <is>
          <t>Nijmegen (نایمخن) — شرق هلند</t>
        </is>
      </c>
      <c r="E67" s="9" t="inlineStr">
        <is>
          <t>متوسط — $1,200–1,540</t>
        </is>
      </c>
      <c r="F67" s="9" t="inlineStr">
        <is>
          <t>MSc Computing Science (گرایش‌ها: Cyber Security، Data Science، Software Science)</t>
        </is>
      </c>
      <c r="G67" s="9" t="inlineStr">
        <is>
          <t>مهندسی نرم‌افزار / علوم کامپیوتر</t>
        </is>
      </c>
      <c r="H67" s="9" t="inlineStr">
        <is>
          <t>۲ سال</t>
        </is>
      </c>
      <c r="I67" s="9" t="inlineStr">
        <is>
          <t>$22,500 (2026/27 — نرخ رسمی دانشکدهٔ علوم)</t>
        </is>
      </c>
      <c r="J67" s="9" t="inlineStr">
        <is>
          <t>$44,900</t>
        </is>
      </c>
      <c r="K67" s="18" t="inlineStr">
        <is>
          <t>$74–82k</t>
        </is>
      </c>
      <c r="L67" s="9" t="inlineStr">
        <is>
          <t>کارشناسی CS با ریاضی/الگوریتم کافی</t>
        </is>
      </c>
      <c r="M67" s="9" t="inlineStr">
        <is>
          <t>6.5</t>
        </is>
      </c>
      <c r="N67" s="9" t="inlineStr">
        <is>
          <t>283</t>
        </is>
      </c>
      <c r="O67" s="10" t="inlineStr">
        <is>
          <t>Target</t>
        </is>
      </c>
      <c r="P67" s="9" t="inlineStr">
        <is>
          <t>4/5 — بیشترین حجم آگهی در هر ۶ کشور؛ ورود جونیور از ۲۰۲۳ سخت‌تر شده — سابقهٔ کار شما مزیت است</t>
        </is>
      </c>
      <c r="Q67" s="9" t="inlineStr">
        <is>
          <t>گزینهٔ Target جدول اصلی</t>
        </is>
      </c>
      <c r="R67" s="19" t="inlineStr">
        <is>
          <t>https://www.ru.nl/en/education/masters/computing-science</t>
        </is>
      </c>
    </row>
    <row r="68">
      <c r="A68" s="6" t="n">
        <v>67</v>
      </c>
      <c r="B68" s="6" t="inlineStr">
        <is>
          <t>هلند</t>
        </is>
      </c>
      <c r="C68" s="9" t="inlineStr">
        <is>
          <t>Radboud University</t>
        </is>
      </c>
      <c r="D68" s="9" t="inlineStr">
        <is>
          <t>Nijmegen (نایمخن) — شرق هلند</t>
        </is>
      </c>
      <c r="E68" s="9" t="inlineStr">
        <is>
          <t>متوسط — $1,200–1,540</t>
        </is>
      </c>
      <c r="F68" s="9" t="inlineStr">
        <is>
          <t>MSc Artificial Intelligence</t>
        </is>
      </c>
      <c r="G68" s="9" t="inlineStr">
        <is>
          <t>هوش مصنوعی / یادگیری ماشین</t>
        </is>
      </c>
      <c r="H68" s="9" t="inlineStr">
        <is>
          <t>۲ سال</t>
        </is>
      </c>
      <c r="I68" s="9" t="inlineStr">
        <is>
          <t>$22,500 (2026/27 — نرخ رسمی دانشکدهٔ علوم)</t>
        </is>
      </c>
      <c r="J68" s="9" t="inlineStr">
        <is>
          <t>$44,900</t>
        </is>
      </c>
      <c r="K68" s="18" t="inlineStr">
        <is>
          <t>$74–82k</t>
        </is>
      </c>
      <c r="L68" s="9" t="inlineStr">
        <is>
          <t>کارشناسی CS/AI/مرتبط</t>
        </is>
      </c>
      <c r="M68" s="9" t="inlineStr">
        <is>
          <t>6.5</t>
        </is>
      </c>
      <c r="N68" s="9" t="inlineStr">
        <is>
          <t>283</t>
        </is>
      </c>
      <c r="O68" s="10" t="inlineStr">
        <is>
          <t>Target</t>
        </is>
      </c>
      <c r="P68" s="9" t="inlineStr">
        <is>
          <t>5/5 — داغ‌ترین بازار؛ «AI Engineer» سریع‌ترین‌رشد (LinkedIn 2026)؛ ولی برنامه‌های ریاضی‌محور (Tübingen، UvA، KTH) بسیار رقابتی‌اند</t>
        </is>
      </c>
      <c r="Q68" s="9" t="inlineStr">
        <is>
          <t>AI شناختی (Donders Institute)</t>
        </is>
      </c>
      <c r="R68" s="19" t="inlineStr">
        <is>
          <t>https://www.ru.nl/en/education/masters/artificial-intelligence</t>
        </is>
      </c>
    </row>
    <row r="69">
      <c r="A69" s="6" t="n">
        <v>68</v>
      </c>
      <c r="B69" s="6" t="inlineStr">
        <is>
          <t>هلند</t>
        </is>
      </c>
      <c r="C69" s="9" t="inlineStr">
        <is>
          <t>Leiden University</t>
        </is>
      </c>
      <c r="D69" s="9" t="inlineStr">
        <is>
          <t>Leiden (لایدن) — بین Den Haag و Amsterdam</t>
        </is>
      </c>
      <c r="E69" s="9" t="inlineStr">
        <is>
          <t>گران — $1,370–1,710</t>
        </is>
      </c>
      <c r="F69" s="9" t="inlineStr">
        <is>
          <t>MSc Computer Science (گرایش‌ها: Artificial Intelligence، Data Science، ...)</t>
        </is>
      </c>
      <c r="G69" s="9" t="inlineStr">
        <is>
          <t>چندحوزه‌ای (انتخاب گرایش)</t>
        </is>
      </c>
      <c r="H69" s="9" t="inlineStr">
        <is>
          <t>۲ سال</t>
        </is>
      </c>
      <c r="I69" s="9" t="inlineStr">
        <is>
          <t>$25,600</t>
        </is>
      </c>
      <c r="J69" s="9" t="inlineStr">
        <is>
          <t>$51,300</t>
        </is>
      </c>
      <c r="K69" s="18" t="inlineStr">
        <is>
          <t>$84–92k</t>
        </is>
      </c>
      <c r="L69" s="9" t="inlineStr">
        <is>
          <t>کارشناسی CS</t>
        </is>
      </c>
      <c r="M69" s="9" t="inlineStr">
        <is>
          <t>6.5</t>
        </is>
      </c>
      <c r="N69" s="9" t="inlineStr">
        <is>
          <t>119</t>
        </is>
      </c>
      <c r="O69" s="11" t="inlineStr">
        <is>
          <t>Target/Reach</t>
        </is>
      </c>
      <c r="P69" s="9" t="inlineStr">
        <is>
          <t>4/5 — گرایش را بعد از ورود انتخاب می‌کنید؛ امتیاز بازار = گرایشی که برمی‌دارید</t>
        </is>
      </c>
      <c r="Q69" s="9" t="inlineStr">
        <is>
          <t>شهریهٔ رسمی 2026/27؛ نزدیک Den Haag/Amsterdam</t>
        </is>
      </c>
      <c r="R69" s="19" t="inlineStr">
        <is>
          <t>https://www.universiteitleiden.nl/en/education/study-programmes/master/computer-science/artificial-intelligence/admission-and-application/tuition-fees</t>
        </is>
      </c>
    </row>
    <row r="70">
      <c r="A70" s="6" t="n">
        <v>69</v>
      </c>
      <c r="B70" s="6" t="inlineStr">
        <is>
          <t>هلند</t>
        </is>
      </c>
      <c r="C70" s="9" t="inlineStr">
        <is>
          <t>University of Groningen (RUG)</t>
        </is>
      </c>
      <c r="D70" s="9" t="inlineStr">
        <is>
          <t>Groningen (خرونینگن) — شمال هلند</t>
        </is>
      </c>
      <c r="E70" s="9" t="inlineStr">
        <is>
          <t>متوسط — $1,200–1,540</t>
        </is>
      </c>
      <c r="F70" s="9" t="inlineStr">
        <is>
          <t>MSc Artificial Intelligence</t>
        </is>
      </c>
      <c r="G70" s="9" t="inlineStr">
        <is>
          <t>هوش مصنوعی / یادگیری ماشین</t>
        </is>
      </c>
      <c r="H70" s="9" t="inlineStr">
        <is>
          <t>۲ سال</t>
        </is>
      </c>
      <c r="I70" s="9" t="inlineStr">
        <is>
          <t>$28,400</t>
        </is>
      </c>
      <c r="J70" s="9" t="inlineStr">
        <is>
          <t>$56,800</t>
        </is>
      </c>
      <c r="K70" s="18" t="inlineStr">
        <is>
          <t>$86–94k</t>
        </is>
      </c>
      <c r="L70" s="9" t="inlineStr">
        <is>
          <t>کارشناسی AI/CS با ریاضی</t>
        </is>
      </c>
      <c r="M70" s="9" t="inlineStr">
        <is>
          <t>6.5</t>
        </is>
      </c>
      <c r="N70" s="9" t="inlineStr">
        <is>
          <t>157</t>
        </is>
      </c>
      <c r="O70" s="11" t="inlineStr">
        <is>
          <t>Target/Reach</t>
        </is>
      </c>
      <c r="P70" s="9" t="inlineStr">
        <is>
          <t>5/5 — داغ‌ترین بازار؛ «AI Engineer» سریع‌ترین‌رشد (LinkedIn 2026)؛ ولی برنامه‌های ریاضی‌محور (Tübingen، UvA، KTH) بسیار رقابتی‌اند</t>
        </is>
      </c>
      <c r="Q70" s="9" t="inlineStr">
        <is>
          <t>شهریهٔ رسمی 2026/27؛ بورس ASML $5.7k</t>
        </is>
      </c>
      <c r="R70" s="19" t="inlineStr">
        <is>
          <t>https://www.rug.nl/masters/artificial-intelligence/?lang=en</t>
        </is>
      </c>
    </row>
    <row r="71">
      <c r="A71" s="6" t="n">
        <v>70</v>
      </c>
      <c r="B71" s="6" t="inlineStr">
        <is>
          <t>هلند</t>
        </is>
      </c>
      <c r="C71" s="9" t="inlineStr">
        <is>
          <t>University of Groningen (RUG)</t>
        </is>
      </c>
      <c r="D71" s="9" t="inlineStr">
        <is>
          <t>Groningen (خرونینگن) — شمال هلند</t>
        </is>
      </c>
      <c r="E71" s="9" t="inlineStr">
        <is>
          <t>متوسط — $1,200–1,540</t>
        </is>
      </c>
      <c r="F71" s="9" t="inlineStr">
        <is>
          <t>MSc Computing Science</t>
        </is>
      </c>
      <c r="G71" s="9" t="inlineStr">
        <is>
          <t>مهندسی نرم‌افزار / علوم کامپیوتر</t>
        </is>
      </c>
      <c r="H71" s="9" t="inlineStr">
        <is>
          <t>۲ سال</t>
        </is>
      </c>
      <c r="I71" s="9" t="inlineStr">
        <is>
          <t>≈ $24,400 (2025) → ≈ $25,600</t>
        </is>
      </c>
      <c r="J71" s="9" t="inlineStr">
        <is>
          <t>$51,300</t>
        </is>
      </c>
      <c r="K71" s="18" t="inlineStr">
        <is>
          <t>$80–88k</t>
        </is>
      </c>
      <c r="L71" s="9" t="inlineStr">
        <is>
          <t>کارشناسی CS</t>
        </is>
      </c>
      <c r="M71" s="9" t="inlineStr">
        <is>
          <t>6.5</t>
        </is>
      </c>
      <c r="N71" s="9" t="inlineStr">
        <is>
          <t>157</t>
        </is>
      </c>
      <c r="O71" s="10" t="inlineStr">
        <is>
          <t>Target</t>
        </is>
      </c>
      <c r="P71" s="9" t="inlineStr">
        <is>
          <t>4/5 — بیشترین حجم آگهی در هر ۶ کشور؛ ورود جونیور از ۲۰۲۳ سخت‌تر شده — سابقهٔ کار شما مزیت است</t>
        </is>
      </c>
      <c r="Q71" s="9" t="inlineStr"/>
      <c r="R71" s="19" t="inlineStr">
        <is>
          <t>https://www.rug.nl/masters/computing-science/?lang=en</t>
        </is>
      </c>
    </row>
    <row r="72">
      <c r="A72" s="6" t="n">
        <v>71</v>
      </c>
      <c r="B72" s="6" t="inlineStr">
        <is>
          <t>هلند</t>
        </is>
      </c>
      <c r="C72" s="9" t="inlineStr">
        <is>
          <t>Utrecht University</t>
        </is>
      </c>
      <c r="D72" s="9" t="inlineStr">
        <is>
          <t>Utrecht (اوترخت) — مرکز هلند؛ قطب استودیوهای بازی</t>
        </is>
      </c>
      <c r="E72" s="9" t="inlineStr">
        <is>
          <t>گران — $1,370–1,710</t>
        </is>
      </c>
      <c r="F72" s="9" t="inlineStr">
        <is>
          <t>MSc Game and Media Technology</t>
        </is>
      </c>
      <c r="G72" s="9" t="inlineStr">
        <is>
          <t>توسعه بازی</t>
        </is>
      </c>
      <c r="H72" s="9" t="inlineStr">
        <is>
          <t>۲ سال</t>
        </is>
      </c>
      <c r="I72" s="9" t="inlineStr">
        <is>
          <t>$28,800</t>
        </is>
      </c>
      <c r="J72" s="9" t="inlineStr">
        <is>
          <t>$57,700</t>
        </is>
      </c>
      <c r="K72" s="18" t="inlineStr">
        <is>
          <t>$91–99k</t>
        </is>
      </c>
      <c r="L72" s="9" t="inlineStr">
        <is>
          <t>کارشناسی CS؛ ارشد پژوهشی گزینشی</t>
        </is>
      </c>
      <c r="M72" s="9" t="inlineStr">
        <is>
          <t>6.5</t>
        </is>
      </c>
      <c r="N72" s="9" t="inlineStr">
        <is>
          <t>113</t>
        </is>
      </c>
      <c r="O72" s="20" t="inlineStr">
        <is>
          <t>Reach</t>
        </is>
      </c>
      <c r="P72" s="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9" t="inlineStr">
        <is>
          <t>تنها ارشد پژوهشی بازی هلند؛ Utrecht قطب استودیوهای بازی</t>
        </is>
      </c>
      <c r="R72" s="19" t="inlineStr">
        <is>
          <t>https://www.uu.nl/en/masters/game-and-media-technology</t>
        </is>
      </c>
    </row>
    <row r="73">
      <c r="A73" s="6" t="n">
        <v>72</v>
      </c>
      <c r="B73" s="6" t="inlineStr">
        <is>
          <t>هلند</t>
        </is>
      </c>
      <c r="C73" s="9" t="inlineStr">
        <is>
          <t>Utrecht University</t>
        </is>
      </c>
      <c r="D73" s="9" t="inlineStr">
        <is>
          <t>Utrecht (اوترخت) — مرکز هلند؛ قطب استودیوهای بازی</t>
        </is>
      </c>
      <c r="E73" s="9" t="inlineStr">
        <is>
          <t>گران — $1,370–1,710</t>
        </is>
      </c>
      <c r="F73" s="9" t="inlineStr">
        <is>
          <t>MSc Artificial Intelligence</t>
        </is>
      </c>
      <c r="G73" s="9" t="inlineStr">
        <is>
          <t>هوش مصنوعی / یادگیری ماشین</t>
        </is>
      </c>
      <c r="H73" s="9" t="inlineStr">
        <is>
          <t>۲ سال</t>
        </is>
      </c>
      <c r="I73" s="9" t="inlineStr">
        <is>
          <t>$28,800</t>
        </is>
      </c>
      <c r="J73" s="9" t="inlineStr">
        <is>
          <t>$57,700</t>
        </is>
      </c>
      <c r="K73" s="18" t="inlineStr">
        <is>
          <t>$91–99k</t>
        </is>
      </c>
      <c r="L73" s="9" t="inlineStr">
        <is>
          <t>کارشناسی CS/AI؛ گزینشی</t>
        </is>
      </c>
      <c r="M73" s="9" t="inlineStr">
        <is>
          <t>6.5</t>
        </is>
      </c>
      <c r="N73" s="9" t="inlineStr">
        <is>
          <t>113</t>
        </is>
      </c>
      <c r="O73" s="20" t="inlineStr">
        <is>
          <t>Reach</t>
        </is>
      </c>
      <c r="P73" s="9" t="inlineStr">
        <is>
          <t>5/5 — داغ‌ترین بازار؛ «AI Engineer» سریع‌ترین‌رشد (LinkedIn 2026)؛ ولی برنامه‌های ریاضی‌محور (Tübingen، UvA، KTH) بسیار رقابتی‌اند</t>
        </is>
      </c>
      <c r="Q73" s="9" t="inlineStr">
        <is>
          <t>همان باند شهریهٔ Utrecht 2026/27</t>
        </is>
      </c>
      <c r="R73" s="19" t="inlineStr">
        <is>
          <t>https://www.uu.nl/en/masters/artificial-intelligence</t>
        </is>
      </c>
    </row>
    <row r="74">
      <c r="A74" s="6" t="n">
        <v>73</v>
      </c>
      <c r="B74" s="6" t="inlineStr">
        <is>
          <t>هلند</t>
        </is>
      </c>
      <c r="C74" s="9" t="inlineStr">
        <is>
          <t>University of Amsterdam (UvA)</t>
        </is>
      </c>
      <c r="D74" s="9" t="inlineStr">
        <is>
          <t>Amsterdam (آمستردام)</t>
        </is>
      </c>
      <c r="E74" s="9" t="inlineStr">
        <is>
          <t>خیلی گران — $1,480–1,940</t>
        </is>
      </c>
      <c r="F74" s="9" t="inlineStr">
        <is>
          <t>MSc Software Engineering (۱ ساله!)</t>
        </is>
      </c>
      <c r="G74" s="9" t="inlineStr">
        <is>
          <t>مهندسی نرم‌افزار / علوم کامپیوتر</t>
        </is>
      </c>
      <c r="H74" s="9" t="inlineStr">
        <is>
          <t>۱ سال</t>
        </is>
      </c>
      <c r="I74" s="9" t="inlineStr">
        <is>
          <t>≈ $26,800</t>
        </is>
      </c>
      <c r="J74" s="9" t="inlineStr">
        <is>
          <t>$26,800</t>
        </is>
      </c>
      <c r="K74" s="18" t="inlineStr">
        <is>
          <t>$45–50k</t>
        </is>
      </c>
      <c r="L74" s="9" t="inlineStr">
        <is>
          <t>کارشناسی CS</t>
        </is>
      </c>
      <c r="M74" s="9" t="inlineStr">
        <is>
          <t>6.5</t>
        </is>
      </c>
      <c r="N74" s="9" t="inlineStr">
        <is>
          <t>60</t>
        </is>
      </c>
      <c r="O74" s="11" t="inlineStr">
        <is>
          <t>Target/Reach</t>
        </is>
      </c>
      <c r="P74" s="9" t="inlineStr">
        <is>
          <t>4/5 — بیشترین حجم آگهی در هر ۶ کشور؛ ورود جونیور از ۲۰۲۳ سخت‌تر شده — سابقهٔ کار شما مزیت است</t>
        </is>
      </c>
      <c r="Q74" s="9" t="inlineStr">
        <is>
          <t>تنها ارشد ۱ سالهٔ معتبر هلند → کل هزینه نصف؛ اما اجارهٔ Amsterdam $1,030–1,480</t>
        </is>
      </c>
      <c r="R74" s="19" t="inlineStr">
        <is>
          <t>https://www.uva.nl/en/programmes/masters/software-engineering/software-engineering.html</t>
        </is>
      </c>
    </row>
    <row r="75">
      <c r="A75" s="6" t="n">
        <v>74</v>
      </c>
      <c r="B75" s="6" t="inlineStr">
        <is>
          <t>هلند</t>
        </is>
      </c>
      <c r="C75" s="9" t="inlineStr">
        <is>
          <t>University of Amsterdam (UvA)</t>
        </is>
      </c>
      <c r="D75" s="9" t="inlineStr">
        <is>
          <t>Amsterdam (آمستردام)</t>
        </is>
      </c>
      <c r="E75" s="9" t="inlineStr">
        <is>
          <t>خیلی گران — $1,480–1,940</t>
        </is>
      </c>
      <c r="F75" s="9" t="inlineStr">
        <is>
          <t>MSc Artificial Intelligence</t>
        </is>
      </c>
      <c r="G75" s="9" t="inlineStr">
        <is>
          <t>هوش مصنوعی / یادگیری ماشین</t>
        </is>
      </c>
      <c r="H75" s="9" t="inlineStr">
        <is>
          <t>۲ سال</t>
        </is>
      </c>
      <c r="I75" s="9" t="inlineStr">
        <is>
          <t>≈ $29,600</t>
        </is>
      </c>
      <c r="J75" s="9" t="inlineStr">
        <is>
          <t>$59,300</t>
        </is>
      </c>
      <c r="K75" s="18" t="inlineStr">
        <is>
          <t>$95–106k</t>
        </is>
      </c>
      <c r="L75" s="9" t="inlineStr">
        <is>
          <t>کارشناسی AI/CS با ریاضی قوی؛ بسیار رقابتی</t>
        </is>
      </c>
      <c r="M75" s="9" t="inlineStr">
        <is>
          <t>6.5</t>
        </is>
      </c>
      <c r="N75" s="9" t="inlineStr">
        <is>
          <t>60</t>
        </is>
      </c>
      <c r="O75" s="20" t="inlineStr">
        <is>
          <t>Reach</t>
        </is>
      </c>
      <c r="P75" s="9" t="inlineStr">
        <is>
          <t>5/5 — داغ‌ترین بازار؛ «AI Engineer» سریع‌ترین‌رشد (LinkedIn 2026)؛ ولی برنامه‌های ریاضی‌محور (Tübingen، UvA، KTH) بسیار رقابتی‌اند</t>
        </is>
      </c>
      <c r="Q75" s="9" t="inlineStr"/>
      <c r="R75" s="19" t="inlineStr">
        <is>
          <t>https://www.uva.nl/en/programmes/masters/artificial-intelligence/artificial-intelligence.html</t>
        </is>
      </c>
    </row>
    <row r="76">
      <c r="A76" s="6" t="n">
        <v>75</v>
      </c>
      <c r="B76" s="6" t="inlineStr">
        <is>
          <t>هلند</t>
        </is>
      </c>
      <c r="C76" s="9" t="inlineStr">
        <is>
          <t>TU Eindhoven (TU/e)</t>
        </is>
      </c>
      <c r="D76" s="9" t="inlineStr">
        <is>
          <t>Eindhoven (آیندهوون) — Brainport: ASML، Philips، NXP</t>
        </is>
      </c>
      <c r="E76" s="9" t="inlineStr">
        <is>
          <t>گران — $1,250–1,600</t>
        </is>
      </c>
      <c r="F76" s="9" t="inlineStr">
        <is>
          <t>MSc Data Science and Artificial Intelligence</t>
        </is>
      </c>
      <c r="G76" s="9" t="inlineStr">
        <is>
          <t>علم داده / تحلیل داده</t>
        </is>
      </c>
      <c r="H76" s="9" t="inlineStr">
        <is>
          <t>۲ سال</t>
        </is>
      </c>
      <c r="I76" s="9" t="inlineStr">
        <is>
          <t>$25,500 (2027/28 رسمی؛ 2026/27: $24,700)</t>
        </is>
      </c>
      <c r="J76" s="9" t="inlineStr">
        <is>
          <t>$51,100</t>
        </is>
      </c>
      <c r="K76" s="18" t="inlineStr">
        <is>
          <t>$81–89k</t>
        </is>
      </c>
      <c r="L76" s="9" t="inlineStr">
        <is>
          <t>کارشناسی CS/ریاضی؛ گزینش بر اساس معدل</t>
        </is>
      </c>
      <c r="M76" s="9" t="inlineStr">
        <is>
          <t>6.5</t>
        </is>
      </c>
      <c r="N76" s="9" t="inlineStr">
        <is>
          <t>152</t>
        </is>
      </c>
      <c r="O76" s="20" t="inlineStr">
        <is>
          <t>Reach</t>
        </is>
      </c>
      <c r="P76" s="9" t="inlineStr">
        <is>
          <t>3/5 — بازار ارشد/سینیور خوب، ولی سطح جونیور اشباع (ده‌ها هزار فارغ‌التحصیل مشابه)؛ Data Engineer کم‌رقابت‌تر از Data Scientist</t>
        </is>
      </c>
      <c r="Q76" s="9" t="inlineStr">
        <is>
          <t>Brainport (ASML، Philips، NXP)</t>
        </is>
      </c>
      <c r="R76" s="19" t="inlineStr">
        <is>
          <t>https://www.tue.nl/en/education/graduate-school/master-data-science-and-artificial-intelligence</t>
        </is>
      </c>
    </row>
    <row r="77">
      <c r="A77" s="6" t="n">
        <v>76</v>
      </c>
      <c r="B77" s="6" t="inlineStr">
        <is>
          <t>هلند</t>
        </is>
      </c>
      <c r="C77" s="9" t="inlineStr">
        <is>
          <t>TU Eindhoven (TU/e)</t>
        </is>
      </c>
      <c r="D77" s="9" t="inlineStr">
        <is>
          <t>Eindhoven (آیندهوون) — Brainport: ASML، Philips، NXP</t>
        </is>
      </c>
      <c r="E77" s="9" t="inlineStr">
        <is>
          <t>گران — $1,250–1,600</t>
        </is>
      </c>
      <c r="F77" s="9" t="inlineStr">
        <is>
          <t>MSc Embedded Systems</t>
        </is>
      </c>
      <c r="G77" s="9" t="inlineStr">
        <is>
          <t>سیستم‌های نهفته / رباتیک / خودران</t>
        </is>
      </c>
      <c r="H77" s="9" t="inlineStr">
        <is>
          <t>۲ سال</t>
        </is>
      </c>
      <c r="I77" s="9" t="inlineStr">
        <is>
          <t>$25,500 (2027/28 رسمی؛ 2026/27: $24,700)</t>
        </is>
      </c>
      <c r="J77" s="9" t="inlineStr">
        <is>
          <t>$51,100</t>
        </is>
      </c>
      <c r="K77" s="18" t="inlineStr">
        <is>
          <t>$81–89k</t>
        </is>
      </c>
      <c r="L77" s="9" t="inlineStr">
        <is>
          <t>کارشناسی CS/EE؛ گزینش</t>
        </is>
      </c>
      <c r="M77" s="9" t="inlineStr">
        <is>
          <t>6.5</t>
        </is>
      </c>
      <c r="N77" s="9" t="inlineStr">
        <is>
          <t>152</t>
        </is>
      </c>
      <c r="O77" s="20" t="inlineStr">
        <is>
          <t>Reach</t>
        </is>
      </c>
      <c r="P77" s="9" t="inlineStr">
        <is>
          <t>4/5 — در آلمان و سوئد قوی (خودرو، Bosch، ABB، Ericsson)؛ ولی کارفرمایان صنعتی خارج از شهرهای بزرگ اغلب آلمانی/سوئدی می‌خواهند</t>
        </is>
      </c>
      <c r="Q77" s="9" t="inlineStr">
        <is>
          <t>ASML/NXP بزرگ‌ترین کارفرمایان Embedded اروپا</t>
        </is>
      </c>
      <c r="R77" s="19" t="inlineStr">
        <is>
          <t>https://www.tue.nl/en/education/graduate-school/master-embedded-systems</t>
        </is>
      </c>
    </row>
    <row r="78">
      <c r="A78" s="6" t="n">
        <v>77</v>
      </c>
      <c r="B78" s="6" t="inlineStr">
        <is>
          <t>هلند</t>
        </is>
      </c>
      <c r="C78" s="9" t="inlineStr">
        <is>
          <t>TU Delft</t>
        </is>
      </c>
      <c r="D78" s="9" t="inlineStr">
        <is>
          <t>Delft (دلفت) — کنار Den Haag/Rotterdam</t>
        </is>
      </c>
      <c r="E78" s="9" t="inlineStr">
        <is>
          <t>گران — $1,370–1,710</t>
        </is>
      </c>
      <c r="F78" s="9" t="inlineStr">
        <is>
          <t>MSc Computer Science / MSc Computer &amp; Embedded Systems Engineering</t>
        </is>
      </c>
      <c r="G78" s="9" t="inlineStr">
        <is>
          <t>مهندسی نرم‌افزار / علوم کامپیوتر</t>
        </is>
      </c>
      <c r="H78" s="9" t="inlineStr">
        <is>
          <t>۲ سال</t>
        </is>
      </c>
      <c r="I78" s="9" t="inlineStr">
        <is>
          <t>$25,400 (2025/26) → ≈ $26,200</t>
        </is>
      </c>
      <c r="J78" s="9" t="inlineStr">
        <is>
          <t>$52,400</t>
        </is>
      </c>
      <c r="K78" s="18" t="inlineStr">
        <is>
          <t>$85–93k</t>
        </is>
      </c>
      <c r="L78" s="9" t="inlineStr">
        <is>
          <t>معدل ≥ ۷۵٪ / ۲۰٪ برتر</t>
        </is>
      </c>
      <c r="M78" s="9" t="inlineStr">
        <is>
          <t>7.0</t>
        </is>
      </c>
      <c r="N78" s="9" t="inlineStr">
        <is>
          <t>48</t>
        </is>
      </c>
      <c r="O78" s="20" t="inlineStr">
        <is>
          <t>Reach</t>
        </is>
      </c>
      <c r="P78" s="9" t="inlineStr">
        <is>
          <t>4/5 — بیشترین حجم آگهی در هر ۶ کشور؛ ورود جونیور از ۲۰۲۳ سخت‌تر شده — سابقهٔ کار شما مزیت است</t>
        </is>
      </c>
      <c r="Q78" s="9" t="inlineStr">
        <is>
          <t>معتبرترین، ولی برای معدل ۱۵.۷۷ دور از دسترس</t>
        </is>
      </c>
      <c r="R78" s="19" t="inlineStr">
        <is>
          <t>https://www.tudelft.nl/onderwijs/opleidingen/masters/cs/msc-computer-science</t>
        </is>
      </c>
    </row>
    <row r="79">
      <c r="A79" s="6" t="n">
        <v>78</v>
      </c>
      <c r="B79" s="6" t="inlineStr">
        <is>
          <t>هلند</t>
        </is>
      </c>
      <c r="C79" s="9" t="inlineStr">
        <is>
          <t>Breda University of Applied Sciences (BUas)</t>
        </is>
      </c>
      <c r="D79" s="9" t="inlineStr">
        <is>
          <t>Breda (بردا) — جنوب هلند</t>
        </is>
      </c>
      <c r="E79" s="9" t="inlineStr">
        <is>
          <t>متوسط — $1,140–1,480</t>
        </is>
      </c>
      <c r="F79" s="9" t="inlineStr">
        <is>
          <t>Master Game Technology (۱ ساله)</t>
        </is>
      </c>
      <c r="G79" s="9" t="inlineStr">
        <is>
          <t>توسعه بازی</t>
        </is>
      </c>
      <c r="H79" s="9" t="inlineStr">
        <is>
          <t>۱ سال</t>
        </is>
      </c>
      <c r="I79" s="9" t="inlineStr">
        <is>
          <t>≈ $17,300</t>
        </is>
      </c>
      <c r="J79" s="9" t="inlineStr">
        <is>
          <t>$17,300</t>
        </is>
      </c>
      <c r="K79" s="18" t="inlineStr">
        <is>
          <t>$31–35k</t>
        </is>
      </c>
      <c r="L79" s="9" t="inlineStr">
        <is>
          <t>کارشناسی IT/برنامه‌نویسی/بازی + پیشنهاد پروژه</t>
        </is>
      </c>
      <c r="M79" s="9" t="inlineStr">
        <is>
          <t>6.0</t>
        </is>
      </c>
      <c r="N79" s="9" t="inlineStr">
        <is>
          <t>— (UAS)</t>
        </is>
      </c>
      <c r="O79" s="13" t="inlineStr">
        <is>
          <t>Safe/Target</t>
        </is>
      </c>
      <c r="P79" s="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9" t="inlineStr">
        <is>
          <t>برنامهٔ بازی BUas در اروپا شناخته‌شده است؛ مدرک UAS (نه پژوهشی)</t>
        </is>
      </c>
      <c r="R79" s="19" t="inlineStr">
        <is>
          <t>https://www.topuniversities.com/universities/breda-university-applied-sciences/postgrad/master-game-technology</t>
        </is>
      </c>
    </row>
    <row r="80">
      <c r="A80" s="6" t="n">
        <v>79</v>
      </c>
      <c r="B80" s="6" t="inlineStr">
        <is>
          <t>سوئد</t>
        </is>
      </c>
      <c r="C80" s="9" t="inlineStr">
        <is>
          <t>Linköping University (LiU)</t>
        </is>
      </c>
      <c r="D80" s="9" t="inlineStr">
        <is>
          <t>Linköping (لینشوپینگ) — Saab، Ericsson</t>
        </is>
      </c>
      <c r="E80" s="9" t="inlineStr">
        <is>
          <t>متوسط — $1,060–1,260</t>
        </is>
      </c>
      <c r="F80" s="9" t="inlineStr">
        <is>
          <t>MSc Computer Science</t>
        </is>
      </c>
      <c r="G80" s="9" t="inlineStr">
        <is>
          <t>مهندسی نرم‌افزار / علوم کامپیوتر</t>
        </is>
      </c>
      <c r="H80" s="9" t="inlineStr">
        <is>
          <t>۲ سال</t>
        </is>
      </c>
      <c r="I80" s="9" t="inlineStr">
        <is>
          <t>$16,800</t>
        </is>
      </c>
      <c r="J80" s="9" t="inlineStr">
        <is>
          <t>$33,500</t>
        </is>
      </c>
      <c r="K80" s="18" t="inlineStr">
        <is>
          <t>$59–64k</t>
        </is>
      </c>
      <c r="L80" s="9" t="inlineStr">
        <is>
          <t>گزینش بر اساس گروه معدل</t>
        </is>
      </c>
      <c r="M80" s="9" t="inlineStr">
        <is>
          <t>6.5</t>
        </is>
      </c>
      <c r="N80" s="9" t="inlineStr">
        <is>
          <t>308</t>
        </is>
      </c>
      <c r="O80" s="10" t="inlineStr">
        <is>
          <t>Target</t>
        </is>
      </c>
      <c r="P80" s="9" t="inlineStr">
        <is>
          <t>4/5 — بیشترین حجم آگهی در هر ۶ کشور؛ ورود جونیور از ۲۰۲۳ سخت‌تر شده — سابقهٔ کار شما مزیت است</t>
        </is>
      </c>
      <c r="Q80" s="9" t="inlineStr">
        <is>
          <t>گزینهٔ Target جدول اصلی</t>
        </is>
      </c>
      <c r="R80" s="19" t="inlineStr">
        <is>
          <t>https://liu.se/en/education/program/6mics</t>
        </is>
      </c>
    </row>
    <row r="81">
      <c r="A81" s="6" t="n">
        <v>80</v>
      </c>
      <c r="B81" s="6" t="inlineStr">
        <is>
          <t>سوئد</t>
        </is>
      </c>
      <c r="C81" s="9" t="inlineStr">
        <is>
          <t>Linköping University (LiU)</t>
        </is>
      </c>
      <c r="D81" s="9" t="inlineStr">
        <is>
          <t>Linköping (لینشوپینگ) — Saab، Ericsson</t>
        </is>
      </c>
      <c r="E81" s="9" t="inlineStr">
        <is>
          <t>متوسط — $1,060–1,260</t>
        </is>
      </c>
      <c r="F81" s="9" t="inlineStr">
        <is>
          <t>MSc Statistics and Machine Learning</t>
        </is>
      </c>
      <c r="G81" s="9" t="inlineStr">
        <is>
          <t>هوش مصنوعی / یادگیری ماشین</t>
        </is>
      </c>
      <c r="H81" s="9" t="inlineStr">
        <is>
          <t>۲ سال</t>
        </is>
      </c>
      <c r="I81" s="9" t="inlineStr">
        <is>
          <t>≈ $16,800 (همان باند)</t>
        </is>
      </c>
      <c r="J81" s="9" t="inlineStr">
        <is>
          <t>$33,500</t>
        </is>
      </c>
      <c r="K81" s="18" t="inlineStr">
        <is>
          <t>$59–64k</t>
        </is>
      </c>
      <c r="L81" s="9" t="inlineStr">
        <is>
          <t>کارشناسی با ≥ ۳۰ واحد ریاضی/آمار + برنامه‌نویسی</t>
        </is>
      </c>
      <c r="M81" s="9" t="inlineStr">
        <is>
          <t>6.5</t>
        </is>
      </c>
      <c r="N81" s="9" t="inlineStr">
        <is>
          <t>308</t>
        </is>
      </c>
      <c r="O81" s="10" t="inlineStr">
        <is>
          <t>Target</t>
        </is>
      </c>
      <c r="P81" s="9" t="inlineStr">
        <is>
          <t>5/5 — داغ‌ترین بازار؛ «AI Engineer» سریع‌ترین‌رشد (LinkedIn 2026)؛ ولی برنامه‌های ریاضی‌محور (Tübingen، UvA، KTH) بسیار رقابتی‌اند</t>
        </is>
      </c>
      <c r="Q81" s="9" t="inlineStr"/>
      <c r="R81" s="19" t="inlineStr">
        <is>
          <t>https://liu.se/en/education/program/f7msl</t>
        </is>
      </c>
    </row>
    <row r="82">
      <c r="A82" s="6" t="n">
        <v>81</v>
      </c>
      <c r="B82" s="6" t="inlineStr">
        <is>
          <t>سوئد</t>
        </is>
      </c>
      <c r="C82" s="9" t="inlineStr">
        <is>
          <t>Halmstad University</t>
        </is>
      </c>
      <c r="D82" s="9" t="inlineStr">
        <is>
          <t>Halmstad (هالمستاد) — غرب سوئد</t>
        </is>
      </c>
      <c r="E82" s="9" t="inlineStr">
        <is>
          <t>متوسط — $1,010–1,210</t>
        </is>
      </c>
      <c r="F82" s="9" t="inlineStr">
        <is>
          <t>MSc Embedded and Intelligent Systems (120 cr)</t>
        </is>
      </c>
      <c r="G82" s="9" t="inlineStr">
        <is>
          <t>سیستم‌های نهفته / رباتیک / خودران</t>
        </is>
      </c>
      <c r="H82" s="9" t="inlineStr">
        <is>
          <t>۲ سال</t>
        </is>
      </c>
      <c r="I82" s="9" t="inlineStr">
        <is>
          <t>≈ $15,300</t>
        </is>
      </c>
      <c r="J82" s="9" t="inlineStr">
        <is>
          <t>$30,500</t>
        </is>
      </c>
      <c r="K82" s="18" t="inlineStr">
        <is>
          <t>$55–60k</t>
        </is>
      </c>
      <c r="L82" s="9" t="inlineStr">
        <is>
          <t>کارشناسی CS/EE</t>
        </is>
      </c>
      <c r="M82" s="9" t="inlineStr">
        <is>
          <t>6.5</t>
        </is>
      </c>
      <c r="N82" s="9" t="inlineStr">
        <is>
          <t>—</t>
        </is>
      </c>
      <c r="O82" s="12" t="inlineStr">
        <is>
          <t>Safe</t>
        </is>
      </c>
      <c r="P82" s="9" t="inlineStr">
        <is>
          <t>4/5 — در آلمان و سوئد قوی (خودرو، Bosch، ABB، Ericsson)؛ ولی کارفرمایان صنعتی خارج از شهرهای بزرگ اغلب آلمانی/سوئدی می‌خواهند</t>
        </is>
      </c>
      <c r="Q82" s="9" t="inlineStr">
        <is>
          <t>Volvo/HMS در منطقه؛ بدون رتبهٔ QS</t>
        </is>
      </c>
      <c r="R82" s="19" t="inlineStr">
        <is>
          <t>https://www.hh.se/english/education/programmes.html</t>
        </is>
      </c>
    </row>
    <row r="83">
      <c r="A83" s="6" t="n">
        <v>82</v>
      </c>
      <c r="B83" s="6" t="inlineStr">
        <is>
          <t>سوئد</t>
        </is>
      </c>
      <c r="C83" s="9" t="inlineStr">
        <is>
          <t>Blekinge Institute of Technology (BTH)</t>
        </is>
      </c>
      <c r="D83" s="9" t="inlineStr">
        <is>
          <t>Karlskrona (کارلسکرونا) — Ericsson، Telenor</t>
        </is>
      </c>
      <c r="E83" s="9" t="inlineStr">
        <is>
          <t>ارزان — $960–1,160</t>
        </is>
      </c>
      <c r="F83" s="9" t="inlineStr">
        <is>
          <t>MSc Software Engineering (120 cr)</t>
        </is>
      </c>
      <c r="G83" s="9" t="inlineStr">
        <is>
          <t>مهندسی نرم‌افزار / علوم کامپیوتر</t>
        </is>
      </c>
      <c r="H83" s="9" t="inlineStr">
        <is>
          <t>۲ سال</t>
        </is>
      </c>
      <c r="I83" s="9" t="inlineStr">
        <is>
          <t>$14,100</t>
        </is>
      </c>
      <c r="J83" s="9" t="inlineStr">
        <is>
          <t>$28,300</t>
        </is>
      </c>
      <c r="K83" s="18" t="inlineStr">
        <is>
          <t>$51–56k</t>
        </is>
      </c>
      <c r="L83" s="9" t="inlineStr">
        <is>
          <t>≥ ۹۰ واحد CS/SE</t>
        </is>
      </c>
      <c r="M83" s="9" t="inlineStr">
        <is>
          <t>6.5</t>
        </is>
      </c>
      <c r="N83" s="9" t="inlineStr">
        <is>
          <t>—</t>
        </is>
      </c>
      <c r="O83" s="13" t="inlineStr">
        <is>
          <t>Safe/Target</t>
        </is>
      </c>
      <c r="P83" s="9" t="inlineStr">
        <is>
          <t>4/5 — بیشترین حجم آگهی در هر ۶ کشور؛ ورود جونیور از ۲۰۲۳ سخت‌تر شده — سابقهٔ کار شما مزیت است</t>
        </is>
      </c>
      <c r="Q83" s="9" t="inlineStr">
        <is>
          <t>Ericsson و Telenor در Karlskrona؛ ⚠️ نسخهٔ ۶۰ واحدی از راه دور است</t>
        </is>
      </c>
      <c r="R83" s="19" t="inlineStr">
        <is>
          <t>https://www.bth.se/eng/programmes/</t>
        </is>
      </c>
    </row>
    <row r="84">
      <c r="A84" s="6" t="n">
        <v>83</v>
      </c>
      <c r="B84" s="6" t="inlineStr">
        <is>
          <t>سوئد</t>
        </is>
      </c>
      <c r="C84" s="9" t="inlineStr">
        <is>
          <t>KTH Royal Institute of Technology</t>
        </is>
      </c>
      <c r="D84" s="9" t="inlineStr">
        <is>
          <t>Stockholm (استکهلم)</t>
        </is>
      </c>
      <c r="E84" s="9" t="inlineStr">
        <is>
          <t>گران — $1,260–1,520</t>
        </is>
      </c>
      <c r="F84" s="9" t="inlineStr">
        <is>
          <t>MSc Machine Learning</t>
        </is>
      </c>
      <c r="G84" s="9" t="inlineStr">
        <is>
          <t>هوش مصنوعی / یادگیری ماشین</t>
        </is>
      </c>
      <c r="H84" s="9" t="inlineStr">
        <is>
          <t>۲ سال</t>
        </is>
      </c>
      <c r="I84" s="9" t="inlineStr">
        <is>
          <t>≈ $18,200–19,200 (کل دوره ≈ $36–38k)</t>
        </is>
      </c>
      <c r="J84" s="9" t="inlineStr">
        <is>
          <t>$36,400–38,400</t>
        </is>
      </c>
      <c r="K84" s="18" t="inlineStr">
        <is>
          <t>$67–75k</t>
        </is>
      </c>
      <c r="L84" s="9" t="inlineStr">
        <is>
          <t>کارشناسی CS/ریاضی قوی؛ بسیار رقابتی</t>
        </is>
      </c>
      <c r="M84" s="9" t="inlineStr">
        <is>
          <t>6.5</t>
        </is>
      </c>
      <c r="N84" s="9" t="inlineStr">
        <is>
          <t>82</t>
        </is>
      </c>
      <c r="O84" s="20" t="inlineStr">
        <is>
          <t>Reach</t>
        </is>
      </c>
      <c r="P84" s="9" t="inlineStr">
        <is>
          <t>5/5 — داغ‌ترین بازار؛ «AI Engineer» سریع‌ترین‌رشد (LinkedIn 2026)؛ ولی برنامه‌های ریاضی‌محور (Tübingen، UvA، KTH) بسیار رقابتی‌اند</t>
        </is>
      </c>
      <c r="Q84" s="9" t="inlineStr">
        <is>
          <t>Stockholm گران (اتاق $0.7–1k)؛ رقم دقیق روی kth.se فقط در سامانهٔ اپلای نمایش داده می‌شود</t>
        </is>
      </c>
      <c r="R84" s="19" t="inlineStr">
        <is>
          <t>https://www.kth.se/en/studies/master/machine-learning</t>
        </is>
      </c>
    </row>
    <row r="85">
      <c r="A85" s="6" t="n">
        <v>84</v>
      </c>
      <c r="B85" s="6" t="inlineStr">
        <is>
          <t>سوئد</t>
        </is>
      </c>
      <c r="C85" s="9" t="inlineStr">
        <is>
          <t>KTH Royal Institute of Technology</t>
        </is>
      </c>
      <c r="D85" s="9" t="inlineStr">
        <is>
          <t>Stockholm (استکهلم)</t>
        </is>
      </c>
      <c r="E85" s="9" t="inlineStr">
        <is>
          <t>گران — $1,260–1,520</t>
        </is>
      </c>
      <c r="F85" s="9" t="inlineStr">
        <is>
          <t>MSc Cybersecurity</t>
        </is>
      </c>
      <c r="G85" s="9" t="inlineStr">
        <is>
          <t>امنیت سایبری</t>
        </is>
      </c>
      <c r="H85" s="9" t="inlineStr">
        <is>
          <t>۲ سال</t>
        </is>
      </c>
      <c r="I85" s="9" t="inlineStr">
        <is>
          <t>≈ $18,200–19,200</t>
        </is>
      </c>
      <c r="J85" s="9" t="inlineStr">
        <is>
          <t>$36,400–38,400</t>
        </is>
      </c>
      <c r="K85" s="18" t="inlineStr">
        <is>
          <t>$67–75k</t>
        </is>
      </c>
      <c r="L85" s="9" t="inlineStr">
        <is>
          <t>کارشناسی CS</t>
        </is>
      </c>
      <c r="M85" s="9" t="inlineStr">
        <is>
          <t>6.5</t>
        </is>
      </c>
      <c r="N85" s="9" t="inlineStr">
        <is>
          <t>82</t>
        </is>
      </c>
      <c r="O85" s="20" t="inlineStr">
        <is>
          <t>Reach</t>
        </is>
      </c>
      <c r="P85" s="9" t="inlineStr">
        <is>
          <t>4/5 — کمبود ساختاری (Bitkom: جزو ۳ کمبود اصلی آلمان)؛ اما ۳۱٪ تیم‌ها هیچ نیروی جونیور ندارند → کارآموزی/گواهی لازم است</t>
        </is>
      </c>
      <c r="Q85" s="9" t="inlineStr"/>
      <c r="R85" s="19" t="inlineStr">
        <is>
          <t>https://www.kth.se/en/studies/master/cybersecurity</t>
        </is>
      </c>
    </row>
    <row r="86">
      <c r="A86" s="6" t="n">
        <v>85</v>
      </c>
      <c r="B86" s="6" t="inlineStr">
        <is>
          <t>سوئد</t>
        </is>
      </c>
      <c r="C86" s="9" t="inlineStr">
        <is>
          <t>KTH Royal Institute of Technology</t>
        </is>
      </c>
      <c r="D86" s="9" t="inlineStr">
        <is>
          <t>Stockholm – Kista (استکهلم، شیستا؛ قطب ICT)</t>
        </is>
      </c>
      <c r="E86" s="9" t="inlineStr">
        <is>
          <t>گران — $1,260–1,520</t>
        </is>
      </c>
      <c r="F86" s="9" t="inlineStr">
        <is>
          <t>MSc Software Engineering of Distributed Systems</t>
        </is>
      </c>
      <c r="G86" s="9" t="inlineStr">
        <is>
          <t>ابری / سیستم‌های توزیع‌شده / DevOps</t>
        </is>
      </c>
      <c r="H86" s="9" t="inlineStr">
        <is>
          <t>۲ سال</t>
        </is>
      </c>
      <c r="I86" s="9" t="inlineStr">
        <is>
          <t>$18,200–19,200</t>
        </is>
      </c>
      <c r="J86" s="9" t="inlineStr">
        <is>
          <t>$36,400–38,400</t>
        </is>
      </c>
      <c r="K86" s="18" t="inlineStr">
        <is>
          <t>$67–75k</t>
        </is>
      </c>
      <c r="L86" s="9" t="inlineStr">
        <is>
          <t>کارشناسی CS</t>
        </is>
      </c>
      <c r="M86" s="9" t="inlineStr">
        <is>
          <t>6.5</t>
        </is>
      </c>
      <c r="N86" s="9" t="inlineStr">
        <is>
          <t>82</t>
        </is>
      </c>
      <c r="O86" s="11" t="inlineStr">
        <is>
          <t>Target/Reach</t>
        </is>
      </c>
      <c r="P86" s="9" t="inlineStr">
        <is>
          <t>4/5 — تقاضای پایدار و کمتر مدرک‌محور؛ گواهی AWS/Azure کنار مدرک وزن زیادی دارد</t>
        </is>
      </c>
      <c r="Q86" s="9" t="inlineStr">
        <is>
          <t>Kista = قطب ICT سوئد (Ericsson)</t>
        </is>
      </c>
      <c r="R86" s="19" t="inlineStr">
        <is>
          <t>https://www.kth.se/en/studies/master/software-engineering-of-distributed-systems</t>
        </is>
      </c>
    </row>
    <row r="87">
      <c r="A87" s="6" t="n">
        <v>86</v>
      </c>
      <c r="B87" s="6" t="inlineStr">
        <is>
          <t>سوئد</t>
        </is>
      </c>
      <c r="C87" s="9" t="inlineStr">
        <is>
          <t>Chalmers University of Technology</t>
        </is>
      </c>
      <c r="D87" s="9" t="inlineStr">
        <is>
          <t>Gothenburg / Göteborg (گوتنبرگ) — Volvo، Ericsson</t>
        </is>
      </c>
      <c r="E87" s="9" t="inlineStr">
        <is>
          <t>متوسط تا گران — $1,160–1,360</t>
        </is>
      </c>
      <c r="F87" s="9" t="inlineStr">
        <is>
          <t>MSc Data Science and AI</t>
        </is>
      </c>
      <c r="G87" s="9" t="inlineStr">
        <is>
          <t>علم داده / تحلیل داده</t>
        </is>
      </c>
      <c r="H87" s="9" t="inlineStr">
        <is>
          <t>۲ سال</t>
        </is>
      </c>
      <c r="I87" s="9" t="inlineStr">
        <is>
          <t>≈ $17,700 (2026/27؛ 2025/26: $16,200)</t>
        </is>
      </c>
      <c r="J87" s="9" t="inlineStr">
        <is>
          <t>$35,400</t>
        </is>
      </c>
      <c r="K87" s="18" t="inlineStr">
        <is>
          <t>$63–68k</t>
        </is>
      </c>
      <c r="L87" s="9" t="inlineStr">
        <is>
          <t>کارشناسی CS/ریاضی</t>
        </is>
      </c>
      <c r="M87" s="9" t="inlineStr">
        <is>
          <t>6.5</t>
        </is>
      </c>
      <c r="N87" s="9" t="inlineStr">
        <is>
          <t>174</t>
        </is>
      </c>
      <c r="O87" s="11" t="inlineStr">
        <is>
          <t>Target/Reach</t>
        </is>
      </c>
      <c r="P87" s="9" t="inlineStr">
        <is>
          <t>3/5 — بازار ارشد/سینیور خوب، ولی سطح جونیور اشباع (ده‌ها هزار فارغ‌التحصیل مشابه)؛ Data Engineer کم‌رقابت‌تر از Data Scientist</t>
        </is>
      </c>
      <c r="Q87" s="9"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19" t="inlineStr">
        <is>
          <t>https://www.chalmers.se/en/education/find-masters-programme/data-science-and-ai-msc/</t>
        </is>
      </c>
    </row>
    <row r="88">
      <c r="A88" s="6" t="n">
        <v>87</v>
      </c>
      <c r="B88" s="6" t="inlineStr">
        <is>
          <t>سوئد</t>
        </is>
      </c>
      <c r="C88" s="9" t="inlineStr">
        <is>
          <t>Chalmers University of Technology</t>
        </is>
      </c>
      <c r="D88" s="9" t="inlineStr">
        <is>
          <t>Gothenburg / Göteborg (گوتنبرگ) — Volvo، Ericsson</t>
        </is>
      </c>
      <c r="E88" s="9" t="inlineStr">
        <is>
          <t>متوسط تا گران — $1,160–1,360</t>
        </is>
      </c>
      <c r="F88" s="9" t="inlineStr">
        <is>
          <t>MSc Software Engineering and Technology</t>
        </is>
      </c>
      <c r="G88" s="9" t="inlineStr">
        <is>
          <t>مهندسی نرم‌افزار / علوم کامپیوتر</t>
        </is>
      </c>
      <c r="H88" s="9" t="inlineStr">
        <is>
          <t>۲ سال</t>
        </is>
      </c>
      <c r="I88" s="9" t="inlineStr">
        <is>
          <t>≈ $17,700 (2026/27)</t>
        </is>
      </c>
      <c r="J88" s="9" t="inlineStr">
        <is>
          <t>$35,400</t>
        </is>
      </c>
      <c r="K88" s="18" t="inlineStr">
        <is>
          <t>$63–68k</t>
        </is>
      </c>
      <c r="L88" s="9" t="inlineStr">
        <is>
          <t>کارشناسی CS/SE</t>
        </is>
      </c>
      <c r="M88" s="9" t="inlineStr">
        <is>
          <t>6.5</t>
        </is>
      </c>
      <c r="N88" s="9" t="inlineStr">
        <is>
          <t>174</t>
        </is>
      </c>
      <c r="O88" s="10" t="inlineStr">
        <is>
          <t>Target</t>
        </is>
      </c>
      <c r="P88" s="9" t="inlineStr">
        <is>
          <t>4/5 — بیشترین حجم آگهی در هر ۶ کشور؛ ورود جونیور از ۲۰۲۳ سخت‌تر شده — سابقهٔ کار شما مزیت است</t>
        </is>
      </c>
      <c r="Q88" s="9" t="inlineStr"/>
      <c r="R88" s="19" t="inlineStr">
        <is>
          <t>https://www.chalmers.se/en/education/find-masters-programme/software-engineering-and-technology-msc/</t>
        </is>
      </c>
    </row>
    <row r="89">
      <c r="A89" s="6" t="n">
        <v>88</v>
      </c>
      <c r="B89" s="6" t="inlineStr">
        <is>
          <t>سوئد</t>
        </is>
      </c>
      <c r="C89" s="9" t="inlineStr">
        <is>
          <t>Chalmers University of Technology</t>
        </is>
      </c>
      <c r="D89" s="9" t="inlineStr">
        <is>
          <t>Gothenburg / Göteborg (گوتنبرگ) — Volvo، Ericsson</t>
        </is>
      </c>
      <c r="E89" s="9" t="inlineStr">
        <is>
          <t>متوسط تا گران — $1,160–1,360</t>
        </is>
      </c>
      <c r="F89" s="9" t="inlineStr">
        <is>
          <t>MSc Interaction Design and Technologies</t>
        </is>
      </c>
      <c r="G89" s="9" t="inlineStr">
        <is>
          <t>HCI / طراحی تعامل / UX</t>
        </is>
      </c>
      <c r="H89" s="9" t="inlineStr">
        <is>
          <t>۲ سال</t>
        </is>
      </c>
      <c r="I89" s="9" t="inlineStr">
        <is>
          <t>≈ $17,700 (2026/27)</t>
        </is>
      </c>
      <c r="J89" s="9" t="inlineStr">
        <is>
          <t>$35,400</t>
        </is>
      </c>
      <c r="K89" s="18" t="inlineStr">
        <is>
          <t>$63–68k</t>
        </is>
      </c>
      <c r="L89" s="9" t="inlineStr">
        <is>
          <t>کارشناسی CS/Design</t>
        </is>
      </c>
      <c r="M89" s="9" t="inlineStr">
        <is>
          <t>6.5</t>
        </is>
      </c>
      <c r="N89" s="9" t="inlineStr">
        <is>
          <t>174</t>
        </is>
      </c>
      <c r="O89" s="10" t="inlineStr">
        <is>
          <t>Target</t>
        </is>
      </c>
      <c r="P89" s="9" t="inlineStr">
        <is>
          <t>2/5 — آگهی‌های UX/UXR از ۲۰۲۲ حدود ۷۰٪ کم شده و از ۲۰۲۳ ثابت مانده؛ رقابت شدید، حقوق شروع کمتر از توسعه‌دهنده</t>
        </is>
      </c>
      <c r="Q89" s="9" t="inlineStr"/>
      <c r="R89" s="19" t="inlineStr">
        <is>
          <t>https://www.chalmers.se/en/education/find-masters-programme/interaction-design-and-technologies-msc/</t>
        </is>
      </c>
    </row>
    <row r="90">
      <c r="A90" s="6" t="n">
        <v>89</v>
      </c>
      <c r="B90" s="6" t="inlineStr">
        <is>
          <t>سوئد</t>
        </is>
      </c>
      <c r="C90" s="9" t="inlineStr">
        <is>
          <t>University of Gothenburg (مشترک با Chalmers)</t>
        </is>
      </c>
      <c r="D90" s="9" t="inlineStr">
        <is>
          <t>Gothenburg / Göteborg (گوتنبرگ) — Volvo، Ericsson</t>
        </is>
      </c>
      <c r="E90" s="9" t="inlineStr">
        <is>
          <t>متوسط تا گران — $1,160–1,360</t>
        </is>
      </c>
      <c r="F90" s="9" t="inlineStr">
        <is>
          <t>MSc Game Design &amp; Technology</t>
        </is>
      </c>
      <c r="G90" s="9" t="inlineStr">
        <is>
          <t>توسعه بازی</t>
        </is>
      </c>
      <c r="H90" s="9" t="inlineStr">
        <is>
          <t>۲ سال</t>
        </is>
      </c>
      <c r="I90" s="9" t="inlineStr">
        <is>
          <t>$14,800 (ورودی ۲۰۲۷: کل دوره $29,700 رسمی)</t>
        </is>
      </c>
      <c r="J90" s="9" t="inlineStr">
        <is>
          <t>$29,700</t>
        </is>
      </c>
      <c r="K90" s="18" t="inlineStr">
        <is>
          <t>$58–62k</t>
        </is>
      </c>
      <c r="L90" s="9" t="inlineStr">
        <is>
          <t>کارشناسی CS/Design/Media</t>
        </is>
      </c>
      <c r="M90" s="9" t="inlineStr">
        <is>
          <t>6.5</t>
        </is>
      </c>
      <c r="N90" s="9" t="inlineStr">
        <is>
          <t>225</t>
        </is>
      </c>
      <c r="O90" s="10" t="inlineStr">
        <is>
          <t>Target</t>
        </is>
      </c>
      <c r="P90" s="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9" t="inlineStr">
        <is>
          <t>Gothenburg: استودیوهای EA DICE/Ghost؛ بازار بازی ضعیف</t>
        </is>
      </c>
      <c r="R90" s="19" t="inlineStr">
        <is>
          <t>https://www.gu.se/en/study-gothenburg/game-design-technology-masters-programme-n2gdt</t>
        </is>
      </c>
    </row>
    <row r="91">
      <c r="A91" s="6" t="n">
        <v>90</v>
      </c>
      <c r="B91" s="6" t="inlineStr">
        <is>
          <t>سوئد</t>
        </is>
      </c>
      <c r="C91" s="9" t="inlineStr">
        <is>
          <t>Uppsala University</t>
        </is>
      </c>
      <c r="D91" s="9" t="inlineStr">
        <is>
          <t>Uppsala (اوپسالا) — ۴۰ دقیقه تا استکهلم</t>
        </is>
      </c>
      <c r="E91" s="9" t="inlineStr">
        <is>
          <t>متوسط تا گران — $1,110–1,310</t>
        </is>
      </c>
      <c r="F91" s="9" t="inlineStr">
        <is>
          <t>MSc Computer Science</t>
        </is>
      </c>
      <c r="G91" s="9" t="inlineStr">
        <is>
          <t>مهندسی نرم‌افزار / علوم کامپیوتر</t>
        </is>
      </c>
      <c r="H91" s="9" t="inlineStr">
        <is>
          <t>۲ سال</t>
        </is>
      </c>
      <c r="I91" s="9" t="inlineStr">
        <is>
          <t>≈ $14,600–15,200</t>
        </is>
      </c>
      <c r="J91" s="9" t="inlineStr">
        <is>
          <t>$29,300–30,300</t>
        </is>
      </c>
      <c r="K91" s="18" t="inlineStr">
        <is>
          <t>$56–62k</t>
        </is>
      </c>
      <c r="L91" s="9" t="inlineStr">
        <is>
          <t>کارشناسی CS</t>
        </is>
      </c>
      <c r="M91" s="9" t="inlineStr">
        <is>
          <t>6.5</t>
        </is>
      </c>
      <c r="N91" s="9" t="inlineStr">
        <is>
          <t>87</t>
        </is>
      </c>
      <c r="O91" s="11" t="inlineStr">
        <is>
          <t>Target/Reach</t>
        </is>
      </c>
      <c r="P91" s="9" t="inlineStr">
        <is>
          <t>4/5 — بیشترین حجم آگهی در هر ۶ کشور؛ ورود جونیور از ۲۰۲۳ سخت‌تر شده — سابقهٔ کار شما مزیت است</t>
        </is>
      </c>
      <c r="Q91" s="9" t="inlineStr">
        <is>
          <t>رتبهٔ بالا با شهریهٔ پایین‌تر از KTH</t>
        </is>
      </c>
      <c r="R91" s="19" t="inlineStr">
        <is>
          <t>https://www.uu.se/en/study/programme/masters-programme-in-computer-science</t>
        </is>
      </c>
    </row>
    <row r="92">
      <c r="A92" s="6" t="n">
        <v>91</v>
      </c>
      <c r="B92" s="6" t="inlineStr">
        <is>
          <t>سوئد</t>
        </is>
      </c>
      <c r="C92" s="9" t="inlineStr">
        <is>
          <t>Umeå University</t>
        </is>
      </c>
      <c r="D92" s="9" t="inlineStr">
        <is>
          <t>Umeå (اومئو) — شمال سوئد</t>
        </is>
      </c>
      <c r="E92" s="9" t="inlineStr">
        <is>
          <t>ارزان تا متوسط — $1,010–1,210</t>
        </is>
      </c>
      <c r="F92" s="9" t="inlineStr">
        <is>
          <t>MSc Artificial Intelligence</t>
        </is>
      </c>
      <c r="G92" s="9" t="inlineStr">
        <is>
          <t>هوش مصنوعی / یادگیری ماشین</t>
        </is>
      </c>
      <c r="H92" s="9" t="inlineStr">
        <is>
          <t>۲ سال</t>
        </is>
      </c>
      <c r="I92" s="9" t="inlineStr">
        <is>
          <t>$15,400</t>
        </is>
      </c>
      <c r="J92" s="9" t="inlineStr">
        <is>
          <t>$30,800</t>
        </is>
      </c>
      <c r="K92" s="18" t="inlineStr">
        <is>
          <t>$55–60k</t>
        </is>
      </c>
      <c r="L92" s="9" t="inlineStr">
        <is>
          <t>کارشناسی CS/ریاضی</t>
        </is>
      </c>
      <c r="M92" s="9" t="inlineStr">
        <is>
          <t>6.5</t>
        </is>
      </c>
      <c r="N92" s="9" t="inlineStr">
        <is>
          <t>438</t>
        </is>
      </c>
      <c r="O92" s="10" t="inlineStr">
        <is>
          <t>Target</t>
        </is>
      </c>
      <c r="P92" s="9" t="inlineStr">
        <is>
          <t>5/5 — داغ‌ترین بازار؛ «AI Engineer» سریع‌ترین‌رشد (LinkedIn 2026)؛ ولی برنامه‌های ریاضی‌محور (Tübingen، UvA، KTH) بسیار رقابتی‌اند</t>
        </is>
      </c>
      <c r="Q92" s="9" t="inlineStr">
        <is>
          <t>شمال سوئد، شهر دانشجویی ارزان؛ کل دوره $30,800</t>
        </is>
      </c>
      <c r="R92" s="19" t="inlineStr">
        <is>
          <t>https://www.umu.se/en/education/master/masters-programme-in-artificial-intelligence/</t>
        </is>
      </c>
    </row>
    <row r="93">
      <c r="A93" s="6" t="n">
        <v>92</v>
      </c>
      <c r="B93" s="6" t="inlineStr">
        <is>
          <t>سوئد</t>
        </is>
      </c>
      <c r="C93" s="9" t="inlineStr">
        <is>
          <t>University of Skövde</t>
        </is>
      </c>
      <c r="D93" s="9" t="inlineStr">
        <is>
          <t>Skövde (شوده) — Sweden Game Arena</t>
        </is>
      </c>
      <c r="E93" s="9" t="inlineStr">
        <is>
          <t>ارزان — $960–1,160</t>
        </is>
      </c>
      <c r="F93" s="9" t="inlineStr">
        <is>
          <t>MSc Data Science (120 cr)</t>
        </is>
      </c>
      <c r="G93" s="9" t="inlineStr">
        <is>
          <t>علم داده / تحلیل داده</t>
        </is>
      </c>
      <c r="H93" s="9" t="inlineStr">
        <is>
          <t>۲ سال</t>
        </is>
      </c>
      <c r="I93" s="9" t="inlineStr">
        <is>
          <t>$13,600</t>
        </is>
      </c>
      <c r="J93" s="9" t="inlineStr">
        <is>
          <t>$27,300</t>
        </is>
      </c>
      <c r="K93" s="18" t="inlineStr">
        <is>
          <t>$50–55k</t>
        </is>
      </c>
      <c r="L93" s="9" t="inlineStr">
        <is>
          <t>کارشناسی CS/مرتبط</t>
        </is>
      </c>
      <c r="M93" s="9" t="inlineStr">
        <is>
          <t>6.5</t>
        </is>
      </c>
      <c r="N93" s="9" t="inlineStr">
        <is>
          <t>—</t>
        </is>
      </c>
      <c r="O93" s="12" t="inlineStr">
        <is>
          <t>Safe</t>
        </is>
      </c>
      <c r="P93" s="9" t="inlineStr">
        <is>
          <t>3/5 — بازار ارشد/سینیور خوب، ولی سطح جونیور اشباع (ده‌ها هزار فارغ‌التحصیل مشابه)؛ Data Engineer کم‌رقابت‌تر از Data Scientist</t>
        </is>
      </c>
      <c r="Q93" s="9" t="inlineStr">
        <is>
          <t>ارزان؛ Skövde قطب بازی سوئد (Sweden Game Arena)</t>
        </is>
      </c>
      <c r="R93" s="19" t="inlineStr">
        <is>
          <t>https://www.his.se/en/education/</t>
        </is>
      </c>
    </row>
    <row r="94">
      <c r="A94" s="6" t="n">
        <v>93</v>
      </c>
      <c r="B94" s="6" t="inlineStr">
        <is>
          <t>سوئد</t>
        </is>
      </c>
      <c r="C94" s="9" t="inlineStr">
        <is>
          <t>Mälardalen University (MDU)</t>
        </is>
      </c>
      <c r="D94" s="9" t="inlineStr">
        <is>
          <t>Västerås (وسترئوس) — ABB، Westinghouse؛ ۱ ساعت تا استکهلم</t>
        </is>
      </c>
      <c r="E94" s="9" t="inlineStr">
        <is>
          <t>متوسط — $1,010–1,210</t>
        </is>
      </c>
      <c r="F94" s="9" t="inlineStr">
        <is>
          <t>MSc Intelligent Embedded Systems</t>
        </is>
      </c>
      <c r="G94" s="9" t="inlineStr">
        <is>
          <t>سیستم‌های نهفته / رباتیک / خودران</t>
        </is>
      </c>
      <c r="H94" s="9" t="inlineStr">
        <is>
          <t>۲ سال</t>
        </is>
      </c>
      <c r="I94" s="9" t="inlineStr">
        <is>
          <t>≈ $13,600</t>
        </is>
      </c>
      <c r="J94" s="9" t="inlineStr">
        <is>
          <t>$27,300</t>
        </is>
      </c>
      <c r="K94" s="18" t="inlineStr">
        <is>
          <t>$52–56k</t>
        </is>
      </c>
      <c r="L94" s="9" t="inlineStr">
        <is>
          <t>کارشناسی CS/EE</t>
        </is>
      </c>
      <c r="M94" s="9" t="inlineStr">
        <is>
          <t>6.5</t>
        </is>
      </c>
      <c r="N94" s="9" t="inlineStr">
        <is>
          <t>—</t>
        </is>
      </c>
      <c r="O94" s="12" t="inlineStr">
        <is>
          <t>Safe</t>
        </is>
      </c>
      <c r="P94" s="9" t="inlineStr">
        <is>
          <t>4/5 — در آلمان و سوئد قوی (خودرو، Bosch، ABB، Ericsson)؛ ولی کارفرمایان صنعتی خارج از شهرهای بزرگ اغلب آلمانی/سوئدی می‌خواهند</t>
        </is>
      </c>
      <c r="Q94" s="9" t="inlineStr">
        <is>
          <t>ABB و Westinghouse در Västerås؛ رقم 2024/25</t>
        </is>
      </c>
      <c r="R94" s="19" t="inlineStr">
        <is>
          <t>https://www.mdu.se/en/malardalen-university/education</t>
        </is>
      </c>
    </row>
    <row r="95">
      <c r="A95" s="6" t="n">
        <v>94</v>
      </c>
      <c r="B95" s="6" t="inlineStr">
        <is>
          <t>سوئد</t>
        </is>
      </c>
      <c r="C95" s="9" t="inlineStr">
        <is>
          <t>Mälardalen University (MDU)</t>
        </is>
      </c>
      <c r="D95" s="9" t="inlineStr">
        <is>
          <t>Västerås (وسترئوس) — ABB، Westinghouse؛ ۱ ساعت تا استکهلم</t>
        </is>
      </c>
      <c r="E95" s="9" t="inlineStr">
        <is>
          <t>متوسط — $1,010–1,210</t>
        </is>
      </c>
      <c r="F95" s="9" t="inlineStr">
        <is>
          <t>MSc Software Engineering</t>
        </is>
      </c>
      <c r="G95" s="9" t="inlineStr">
        <is>
          <t>مهندسی نرم‌افزار / علوم کامپیوتر</t>
        </is>
      </c>
      <c r="H95" s="9" t="inlineStr">
        <is>
          <t>۲ سال</t>
        </is>
      </c>
      <c r="I95" s="9" t="inlineStr">
        <is>
          <t>≈ $13,600</t>
        </is>
      </c>
      <c r="J95" s="9" t="inlineStr">
        <is>
          <t>$27,300</t>
        </is>
      </c>
      <c r="K95" s="18" t="inlineStr">
        <is>
          <t>$52–56k</t>
        </is>
      </c>
      <c r="L95" s="9" t="inlineStr">
        <is>
          <t>کارشناسی CS/SE</t>
        </is>
      </c>
      <c r="M95" s="9" t="inlineStr">
        <is>
          <t>6.5</t>
        </is>
      </c>
      <c r="N95" s="9" t="inlineStr">
        <is>
          <t>—</t>
        </is>
      </c>
      <c r="O95" s="12" t="inlineStr">
        <is>
          <t>Safe</t>
        </is>
      </c>
      <c r="P95" s="9" t="inlineStr">
        <is>
          <t>4/5 — بیشترین حجم آگهی در هر ۶ کشور؛ ورود جونیور از ۲۰۲۳ سخت‌تر شده — سابقهٔ کار شما مزیت است</t>
        </is>
      </c>
      <c r="Q95" s="9" t="inlineStr"/>
      <c r="R95" s="19" t="inlineStr">
        <is>
          <t>https://www.mdu.se/en/malardalen-university/education</t>
        </is>
      </c>
    </row>
    <row r="96">
      <c r="A96" s="6" t="n">
        <v>95</v>
      </c>
      <c r="B96" s="6" t="inlineStr">
        <is>
          <t>دانمارک</t>
        </is>
      </c>
      <c r="C96" s="9" t="inlineStr">
        <is>
          <t>Aalborg University (AAU)</t>
        </is>
      </c>
      <c r="D96" s="9" t="inlineStr">
        <is>
          <t>Aalborg (آلبورگ) — شمال یوتلند</t>
        </is>
      </c>
      <c r="E96" s="9" t="inlineStr">
        <is>
          <t>متوسط — $1,220–1,450</t>
        </is>
      </c>
      <c r="F96" s="9" t="inlineStr">
        <is>
          <t>MSc Computer Science (IT)</t>
        </is>
      </c>
      <c r="G96" s="9" t="inlineStr">
        <is>
          <t>مهندسی نرم‌افزار / علوم کامپیوتر</t>
        </is>
      </c>
      <c r="H96" s="9" t="inlineStr">
        <is>
          <t>۲ سال</t>
        </is>
      </c>
      <c r="I96" s="9" t="inlineStr">
        <is>
          <t>≈ $17,000 (2025/26: $8,500 در ترم؛ نرخ ۲۰۲۶ روی سایت AAU منتشر نشده — mastersportal: $17,500)</t>
        </is>
      </c>
      <c r="J96" s="9" t="inlineStr">
        <is>
          <t>$34,000–35,000</t>
        </is>
      </c>
      <c r="K96" s="18" t="inlineStr">
        <is>
          <t>$63–70k</t>
        </is>
      </c>
      <c r="L96" s="9"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9" t="inlineStr">
        <is>
          <t>6.5 (هر بخش ≥ 6.0)</t>
        </is>
      </c>
      <c r="N96" s="9">
        <f>329</f>
        <v/>
      </c>
      <c r="O96" s="10" t="inlineStr">
        <is>
          <t>Target</t>
        </is>
      </c>
      <c r="P96" s="9" t="inlineStr">
        <is>
          <t>4/5 — بیشترین حجم آگهی در هر ۶ کشور؛ ورود جونیور از ۲۰۲۳ سخت‌تر شده — سابقهٔ کار شما مزیت است</t>
        </is>
      </c>
      <c r="Q96" s="9" t="inlineStr">
        <is>
          <t>گزینهٔ Target جدول اصلی؛ PBL (پروژه‌محور)؛ ظرفیت محدود</t>
        </is>
      </c>
      <c r="R96" s="19" t="inlineStr">
        <is>
          <t>https://www.en.aau.dk/education/master/computer-science-it</t>
        </is>
      </c>
    </row>
    <row r="97">
      <c r="A97" s="6" t="n">
        <v>96</v>
      </c>
      <c r="B97" s="6" t="inlineStr">
        <is>
          <t>دانمارک</t>
        </is>
      </c>
      <c r="C97" s="9" t="inlineStr">
        <is>
          <t>Aalborg University (AAU)</t>
        </is>
      </c>
      <c r="D97" s="9" t="inlineStr">
        <is>
          <t>Aalborg (آلبورگ) — شمال یوتلند</t>
        </is>
      </c>
      <c r="E97" s="9" t="inlineStr">
        <is>
          <t>متوسط — $1,220–1,450</t>
        </is>
      </c>
      <c r="F97" s="9" t="inlineStr">
        <is>
          <t>MSc Software</t>
        </is>
      </c>
      <c r="G97" s="9" t="inlineStr">
        <is>
          <t>مهندسی نرم‌افزار / علوم کامپیوتر</t>
        </is>
      </c>
      <c r="H97" s="9" t="inlineStr">
        <is>
          <t>۲ سال</t>
        </is>
      </c>
      <c r="I97" s="9" t="inlineStr">
        <is>
          <t>≈ $17,000–17,500</t>
        </is>
      </c>
      <c r="J97" s="9" t="inlineStr">
        <is>
          <t>$34,000–35,000</t>
        </is>
      </c>
      <c r="K97" s="18" t="inlineStr">
        <is>
          <t>$63–70k</t>
        </is>
      </c>
      <c r="L97" s="9" t="inlineStr">
        <is>
          <t>کارشناسی SE/CS</t>
        </is>
      </c>
      <c r="M97" s="9" t="inlineStr">
        <is>
          <t>6.5</t>
        </is>
      </c>
      <c r="N97" s="9">
        <f>329</f>
        <v/>
      </c>
      <c r="O97" s="10" t="inlineStr">
        <is>
          <t>Target</t>
        </is>
      </c>
      <c r="P97" s="9" t="inlineStr">
        <is>
          <t>4/5 — بیشترین حجم آگهی در هر ۶ کشور؛ ورود جونیور از ۲۰۲۳ سخت‌تر شده — سابقهٔ کار شما مزیت است</t>
        </is>
      </c>
      <c r="Q97" s="9" t="inlineStr"/>
      <c r="R97" s="19" t="inlineStr">
        <is>
          <t>https://www.en.aau.dk/education/master/software</t>
        </is>
      </c>
    </row>
    <row r="98">
      <c r="A98" s="6" t="n">
        <v>97</v>
      </c>
      <c r="B98" s="6" t="inlineStr">
        <is>
          <t>دانمارک</t>
        </is>
      </c>
      <c r="C98" s="9" t="inlineStr">
        <is>
          <t>Aalborg University (AAU)</t>
        </is>
      </c>
      <c r="D98" s="9" t="inlineStr">
        <is>
          <t>Copenhagen – Sydhavn (کپنهاگ؛ کمپوس AAU)</t>
        </is>
      </c>
      <c r="E98" s="9" t="inlineStr">
        <is>
          <t>خیلی گران — $1,530–1,910</t>
        </is>
      </c>
      <c r="F98" s="9" t="inlineStr">
        <is>
          <t>MSc Eng Cyber Security</t>
        </is>
      </c>
      <c r="G98" s="9" t="inlineStr">
        <is>
          <t>امنیت سایبری</t>
        </is>
      </c>
      <c r="H98" s="9" t="inlineStr">
        <is>
          <t>۲ سال</t>
        </is>
      </c>
      <c r="I98" s="9" t="inlineStr">
        <is>
          <t>≈ $17,000–17,500</t>
        </is>
      </c>
      <c r="J98" s="9" t="inlineStr">
        <is>
          <t>$34,000–35,000</t>
        </is>
      </c>
      <c r="K98" s="18" t="inlineStr">
        <is>
          <t>$71–81k</t>
        </is>
      </c>
      <c r="L98" s="9" t="inlineStr">
        <is>
          <t>کارشناسی CS/EE مرتبط؛ مهلت ۱ مارس</t>
        </is>
      </c>
      <c r="M98" s="9" t="inlineStr">
        <is>
          <t>6.5</t>
        </is>
      </c>
      <c r="N98" s="9">
        <f>329</f>
        <v/>
      </c>
      <c r="O98" s="10" t="inlineStr">
        <is>
          <t>Target</t>
        </is>
      </c>
      <c r="P98" s="9" t="inlineStr">
        <is>
          <t>4/5 — کمبود ساختاری (Bitkom: جزو ۳ کمبود اصلی آلمان)؛ اما ۳۱٪ تیم‌ها هیچ نیروی جونیور ندارند → کارآموزی/گواهی لازم است</t>
        </is>
      </c>
      <c r="Q98" s="9" t="inlineStr">
        <is>
          <t>کمپوس کپنهاگ: اجاره بالاتر ولی بازار کار بزرگ</t>
        </is>
      </c>
      <c r="R98" s="19" t="inlineStr">
        <is>
          <t>https://www.en.aau.dk/education/master/cyber-security/</t>
        </is>
      </c>
    </row>
    <row r="99">
      <c r="A99" s="6" t="n">
        <v>98</v>
      </c>
      <c r="B99" s="6" t="inlineStr">
        <is>
          <t>دانمارک</t>
        </is>
      </c>
      <c r="C99" s="9" t="inlineStr">
        <is>
          <t>Aalborg University (AAU)</t>
        </is>
      </c>
      <c r="D99" s="9" t="inlineStr">
        <is>
          <t>Aalborg یا Copenhagen (هر دو کمپوس)</t>
        </is>
      </c>
      <c r="E99" s="9" t="inlineStr">
        <is>
          <t>متوسط (Aalborg) تا خیلی گران (Copenhagen)</t>
        </is>
      </c>
      <c r="F99" s="9" t="inlineStr">
        <is>
          <t>MSc Medialogy</t>
        </is>
      </c>
      <c r="G99" s="9" t="inlineStr">
        <is>
          <t>HCI / طراحی تعامل / UX</t>
        </is>
      </c>
      <c r="H99" s="9" t="inlineStr">
        <is>
          <t>۲ سال</t>
        </is>
      </c>
      <c r="I99" s="9" t="inlineStr">
        <is>
          <t>≈ $17,000–17,500</t>
        </is>
      </c>
      <c r="J99" s="9" t="inlineStr">
        <is>
          <t>$34,000–35,000</t>
        </is>
      </c>
      <c r="K99" s="18" t="inlineStr">
        <is>
          <t>$34–35k</t>
        </is>
      </c>
      <c r="L99" s="9" t="inlineStr">
        <is>
          <t>کارشناسی مرتبط (Medialogy، CS، Media Tech)</t>
        </is>
      </c>
      <c r="M99" s="9" t="inlineStr">
        <is>
          <t>6.5</t>
        </is>
      </c>
      <c r="N99" s="9">
        <f>329</f>
        <v/>
      </c>
      <c r="O99" s="10" t="inlineStr">
        <is>
          <t>Target</t>
        </is>
      </c>
      <c r="P99" s="9" t="inlineStr">
        <is>
          <t>2/5 — آگهی‌های UX/UXR از ۲۰۲۲ حدود ۷۰٪ کم شده و از ۲۰۲۳ ثابت مانده؛ رقابت شدید، حقوق شروع کمتر از توسعه‌دهنده</t>
        </is>
      </c>
      <c r="Q99" s="9" t="inlineStr">
        <is>
          <t>تعامل، AR/VR، بازی؛ بین HCI و Game</t>
        </is>
      </c>
      <c r="R99" s="19" t="inlineStr">
        <is>
          <t>https://www.en.aau.dk/education/master/medialogy-aal</t>
        </is>
      </c>
    </row>
    <row r="100">
      <c r="A100" s="6" t="n">
        <v>99</v>
      </c>
      <c r="B100" s="6" t="inlineStr">
        <is>
          <t>دانمارک</t>
        </is>
      </c>
      <c r="C100" s="9" t="inlineStr">
        <is>
          <t>University of Southern Denmark (SDU)</t>
        </is>
      </c>
      <c r="D100" s="9" t="inlineStr">
        <is>
          <t>Odense (اودنسه) — سومین شهر؛ خوشهٔ رباتیک</t>
        </is>
      </c>
      <c r="E100" s="9" t="inlineStr">
        <is>
          <t>متوسط — $1,220–1,530</t>
        </is>
      </c>
      <c r="F100" s="9" t="inlineStr">
        <is>
          <t>MSc Computer Science</t>
        </is>
      </c>
      <c r="G100" s="9" t="inlineStr">
        <is>
          <t>مهندسی نرم‌افزار / علوم کامپیوتر</t>
        </is>
      </c>
      <c r="H100" s="9" t="inlineStr">
        <is>
          <t>۲ سال</t>
        </is>
      </c>
      <c r="I100" s="9" t="inlineStr">
        <is>
          <t>$19,700 (از ورودی سپتامبر ۲۰۲۶؛ قبلاً $15,800)</t>
        </is>
      </c>
      <c r="J100" s="9" t="inlineStr">
        <is>
          <t>$39,400</t>
        </is>
      </c>
      <c r="K100" s="18" t="inlineStr">
        <is>
          <t>$69–76k</t>
        </is>
      </c>
      <c r="L100" s="9" t="inlineStr">
        <is>
          <t>≥ ۱۰۰ ECTS دروس CS؛ ظرفیت محدود + آزمون</t>
        </is>
      </c>
      <c r="M100" s="9" t="inlineStr">
        <is>
          <t>6.5</t>
        </is>
      </c>
      <c r="N100" s="9">
        <f>283</f>
        <v/>
      </c>
      <c r="O100" s="10" t="inlineStr">
        <is>
          <t>Target</t>
        </is>
      </c>
      <c r="P100" s="9" t="inlineStr">
        <is>
          <t>4/5 — بیشترین حجم آگهی در هر ۶ کشور؛ ورود جونیور از ۲۰۲۳ سخت‌تر شده — سابقهٔ کار شما مزیت است</t>
        </is>
      </c>
      <c r="Q100" s="9" t="inlineStr">
        <is>
          <t>⚠️ افزایش شهریهٔ ۲۰۲۶ — جدول اصلی اصلاح شد</t>
        </is>
      </c>
      <c r="R100" s="19" t="inlineStr">
        <is>
          <t>https://www.sdu.dk/en/uddannelse/fees_and_funding/tuition</t>
        </is>
      </c>
    </row>
    <row r="101">
      <c r="A101" s="6" t="n">
        <v>100</v>
      </c>
      <c r="B101" s="6" t="inlineStr">
        <is>
          <t>دانمارک</t>
        </is>
      </c>
      <c r="C101" s="9" t="inlineStr">
        <is>
          <t>University of Southern Denmark (SDU)</t>
        </is>
      </c>
      <c r="D101" s="9" t="inlineStr">
        <is>
          <t>Odense (اودنسه) — سومین شهر؛ خوشهٔ رباتیک</t>
        </is>
      </c>
      <c r="E101" s="9" t="inlineStr">
        <is>
          <t>متوسط — $1,220–1,530</t>
        </is>
      </c>
      <c r="F101" s="9" t="inlineStr">
        <is>
          <t>MSc Eng Software Engineering</t>
        </is>
      </c>
      <c r="G101" s="9" t="inlineStr">
        <is>
          <t>مهندسی نرم‌افزار / علوم کامپیوتر</t>
        </is>
      </c>
      <c r="H101" s="9" t="inlineStr">
        <is>
          <t>۲ سال</t>
        </is>
      </c>
      <c r="I101" s="9" t="inlineStr">
        <is>
          <t>$19,700</t>
        </is>
      </c>
      <c r="J101" s="9" t="inlineStr">
        <is>
          <t>$39,400</t>
        </is>
      </c>
      <c r="K101" s="18" t="inlineStr">
        <is>
          <t>$69–76k</t>
        </is>
      </c>
      <c r="L101" s="9" t="inlineStr">
        <is>
          <t>کارشناسی SE/CS</t>
        </is>
      </c>
      <c r="M101" s="9" t="inlineStr">
        <is>
          <t>6.5</t>
        </is>
      </c>
      <c r="N101" s="9">
        <f>283</f>
        <v/>
      </c>
      <c r="O101" s="10" t="inlineStr">
        <is>
          <t>Target</t>
        </is>
      </c>
      <c r="P101" s="9" t="inlineStr">
        <is>
          <t>4/5 — بیشترین حجم آگهی در هر ۶ کشور؛ ورود جونیور از ۲۰۲۳ سخت‌تر شده — سابقهٔ کار شما مزیت است</t>
        </is>
      </c>
      <c r="Q101" s="9" t="inlineStr">
        <is>
          <t>گرایش‌های Interactive Tech &amp; Games، Cyber-security &amp; Data Intelligence</t>
        </is>
      </c>
      <c r="R101" s="19" t="inlineStr">
        <is>
          <t>https://www.sdu.dk/en/uddannelse/kandidat/softwareengineering</t>
        </is>
      </c>
    </row>
    <row r="102">
      <c r="A102" s="6" t="n">
        <v>101</v>
      </c>
      <c r="B102" s="6" t="inlineStr">
        <is>
          <t>دانمارک</t>
        </is>
      </c>
      <c r="C102" s="9" t="inlineStr">
        <is>
          <t>University of Southern Denmark (SDU)</t>
        </is>
      </c>
      <c r="D102" s="9" t="inlineStr">
        <is>
          <t>Odense (اودنسه) — سومین شهر؛ خوشهٔ رباتیک</t>
        </is>
      </c>
      <c r="E102" s="9" t="inlineStr">
        <is>
          <t>متوسط — $1,220–1,530</t>
        </is>
      </c>
      <c r="F102" s="9" t="inlineStr">
        <is>
          <t>MSc Artificial Intelligence</t>
        </is>
      </c>
      <c r="G102" s="9" t="inlineStr">
        <is>
          <t>هوش مصنوعی / یادگیری ماشین</t>
        </is>
      </c>
      <c r="H102" s="9" t="inlineStr">
        <is>
          <t>۲ سال</t>
        </is>
      </c>
      <c r="I102" s="9" t="inlineStr">
        <is>
          <t>$19,700</t>
        </is>
      </c>
      <c r="J102" s="9" t="inlineStr">
        <is>
          <t>$39,400</t>
        </is>
      </c>
      <c r="K102" s="18" t="inlineStr">
        <is>
          <t>$69–76k</t>
        </is>
      </c>
      <c r="L102" s="9" t="inlineStr">
        <is>
          <t>کارشناسی CS/AI</t>
        </is>
      </c>
      <c r="M102" s="9" t="inlineStr">
        <is>
          <t>6.5</t>
        </is>
      </c>
      <c r="N102" s="9">
        <f>283</f>
        <v/>
      </c>
      <c r="O102" s="10" t="inlineStr">
        <is>
          <t>Target</t>
        </is>
      </c>
      <c r="P102" s="9" t="inlineStr">
        <is>
          <t>5/5 — داغ‌ترین بازار؛ «AI Engineer» سریع‌ترین‌رشد (LinkedIn 2026)؛ ولی برنامه‌های ریاضی‌محور (Tübingen، UvA، KTH) بسیار رقابتی‌اند</t>
        </is>
      </c>
      <c r="Q102" s="9" t="inlineStr">
        <is>
          <t>شروع سپتامبر و فوریه</t>
        </is>
      </c>
      <c r="R102" s="19" t="inlineStr">
        <is>
          <t>https://www.sdu.dk/en/studyscience</t>
        </is>
      </c>
    </row>
    <row r="103">
      <c r="A103" s="6" t="n">
        <v>102</v>
      </c>
      <c r="B103" s="6" t="inlineStr">
        <is>
          <t>دانمارک</t>
        </is>
      </c>
      <c r="C103" s="9" t="inlineStr">
        <is>
          <t>University of Southern Denmark (SDU)</t>
        </is>
      </c>
      <c r="D103" s="9" t="inlineStr">
        <is>
          <t>Odense (اودنسه) — سومین شهر؛ خوشهٔ رباتیک</t>
        </is>
      </c>
      <c r="E103" s="9" t="inlineStr">
        <is>
          <t>متوسط — $1,220–1,530</t>
        </is>
      </c>
      <c r="F103" s="9" t="inlineStr">
        <is>
          <t>MSc Eng Robot Systems</t>
        </is>
      </c>
      <c r="G103" s="9" t="inlineStr">
        <is>
          <t>سیستم‌های نهفته / رباتیک / خودران</t>
        </is>
      </c>
      <c r="H103" s="9" t="inlineStr">
        <is>
          <t>۲ سال</t>
        </is>
      </c>
      <c r="I103" s="9" t="inlineStr">
        <is>
          <t>$19,700</t>
        </is>
      </c>
      <c r="J103" s="9" t="inlineStr">
        <is>
          <t>$39,400</t>
        </is>
      </c>
      <c r="K103" s="18" t="inlineStr">
        <is>
          <t>$69–76k</t>
        </is>
      </c>
      <c r="L103" s="9" t="inlineStr">
        <is>
          <t>کارشناسی مرتبط (CS/EE/Mechatronics)</t>
        </is>
      </c>
      <c r="M103" s="9" t="inlineStr">
        <is>
          <t>6.5</t>
        </is>
      </c>
      <c r="N103" s="9">
        <f>283</f>
        <v/>
      </c>
      <c r="O103" s="10" t="inlineStr">
        <is>
          <t>Target</t>
        </is>
      </c>
      <c r="P103" s="9" t="inlineStr">
        <is>
          <t>4/5 — در آلمان و سوئد قوی (خودرو، Bosch، ABB، Ericsson)؛ ولی کارفرمایان صنعتی خارج از شهرهای بزرگ اغلب آلمانی/سوئدی می‌خواهند</t>
        </is>
      </c>
      <c r="Q103" s="9" t="inlineStr">
        <is>
          <t>Odense Robotics cluster (Universal Robots، MiR)</t>
        </is>
      </c>
      <c r="R103" s="19" t="inlineStr">
        <is>
          <t>https://www.sdu.dk/en/uddannelse/kandidat/alle-kandidatuddannelser</t>
        </is>
      </c>
    </row>
    <row r="104">
      <c r="A104" s="6" t="n">
        <v>103</v>
      </c>
      <c r="B104" s="6" t="inlineStr">
        <is>
          <t>دانمارک</t>
        </is>
      </c>
      <c r="C104" s="9" t="inlineStr">
        <is>
          <t>University of Southern Denmark (SDU)</t>
        </is>
      </c>
      <c r="D104" s="9" t="inlineStr">
        <is>
          <t>Kolding (کولدینگ) — جنوب یوتلند</t>
        </is>
      </c>
      <c r="E104" s="9" t="inlineStr">
        <is>
          <t>ارزان تا متوسط — $1,150–1,370</t>
        </is>
      </c>
      <c r="F104" s="9" t="inlineStr">
        <is>
          <t>MSc Data Science</t>
        </is>
      </c>
      <c r="G104" s="9" t="inlineStr">
        <is>
          <t>علم داده / تحلیل داده</t>
        </is>
      </c>
      <c r="H104" s="9" t="inlineStr">
        <is>
          <t>۲ سال</t>
        </is>
      </c>
      <c r="I104" s="9" t="inlineStr">
        <is>
          <t>$19,700</t>
        </is>
      </c>
      <c r="J104" s="9" t="inlineStr">
        <is>
          <t>$39,400</t>
        </is>
      </c>
      <c r="K104" s="18" t="inlineStr">
        <is>
          <t>$67–72k</t>
        </is>
      </c>
      <c r="L104" s="9" t="inlineStr">
        <is>
          <t>کارشناسی با محتوای کمی/برنامه‌نویسی</t>
        </is>
      </c>
      <c r="M104" s="9" t="inlineStr">
        <is>
          <t>6.5</t>
        </is>
      </c>
      <c r="N104" s="9">
        <f>283</f>
        <v/>
      </c>
      <c r="O104" s="10" t="inlineStr">
        <is>
          <t>Target</t>
        </is>
      </c>
      <c r="P104" s="9" t="inlineStr">
        <is>
          <t>3/5 — بازار ارشد/سینیور خوب، ولی سطح جونیور اشباع (ده‌ها هزار فارغ‌التحصیل مشابه)؛ Data Engineer کم‌رقابت‌تر از Data Scientist</t>
        </is>
      </c>
      <c r="Q104" s="9" t="inlineStr"/>
      <c r="R104" s="19" t="inlineStr">
        <is>
          <t>https://www.sdu.dk/en/uddannelse/kandidat/alle-kandidatuddannelser</t>
        </is>
      </c>
    </row>
    <row r="105">
      <c r="A105" s="6" t="n">
        <v>104</v>
      </c>
      <c r="B105" s="6" t="inlineStr">
        <is>
          <t>دانمارک</t>
        </is>
      </c>
      <c r="C105" s="9" t="inlineStr">
        <is>
          <t>IT University of Copenhagen (ITU)</t>
        </is>
      </c>
      <c r="D105" s="9" t="inlineStr">
        <is>
          <t>Copenhagen (کپنهاگ)</t>
        </is>
      </c>
      <c r="E105" s="9" t="inlineStr">
        <is>
          <t>خیلی گران — $1,530–1,910</t>
        </is>
      </c>
      <c r="F105" s="9" t="inlineStr">
        <is>
          <t>MSc Games — track Game Technology</t>
        </is>
      </c>
      <c r="G105" s="9" t="inlineStr">
        <is>
          <t>توسعه بازی</t>
        </is>
      </c>
      <c r="H105" s="9" t="inlineStr">
        <is>
          <t>۲ سال</t>
        </is>
      </c>
      <c r="I105" s="9" t="inlineStr">
        <is>
          <t>$18,800 ($9,410 در ترم؛ ورودی ۲۰۲۶ — رسمی)</t>
        </is>
      </c>
      <c r="J105" s="9" t="inlineStr">
        <is>
          <t>$37,600</t>
        </is>
      </c>
      <c r="K105" s="18" t="inlineStr">
        <is>
          <t>$74–83k</t>
        </is>
      </c>
      <c r="L105" s="9" t="inlineStr">
        <is>
          <t>برای track فنی: کارشناسی CS</t>
        </is>
      </c>
      <c r="M105" s="9" t="inlineStr">
        <is>
          <t>6.5</t>
        </is>
      </c>
      <c r="N105" s="9" t="inlineStr">
        <is>
          <t>— (تخصصی)</t>
        </is>
      </c>
      <c r="O105" s="10" t="inlineStr">
        <is>
          <t>Target</t>
        </is>
      </c>
      <c r="P105" s="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9" t="inlineStr">
        <is>
          <t>شناخته‌شده‌ترین ارشد بازی اسکاندیناوی؛ Copenhagen (IO Interactive، Unity Copenhagen)</t>
        </is>
      </c>
      <c r="R105" s="19" t="inlineStr">
        <is>
          <t>https://en.itu.dk/Programmes/MSc-Programmes/Applying-to-a-MSc-programme/Non-EU-EOES</t>
        </is>
      </c>
    </row>
    <row r="106">
      <c r="A106" s="6" t="n">
        <v>105</v>
      </c>
      <c r="B106" s="6" t="inlineStr">
        <is>
          <t>دانمارک</t>
        </is>
      </c>
      <c r="C106" s="9" t="inlineStr">
        <is>
          <t>IT University of Copenhagen (ITU)</t>
        </is>
      </c>
      <c r="D106" s="9" t="inlineStr">
        <is>
          <t>Copenhagen (کپنهاگ)</t>
        </is>
      </c>
      <c r="E106" s="9" t="inlineStr">
        <is>
          <t>خیلی گران — $1,530–1,910</t>
        </is>
      </c>
      <c r="F106" s="9" t="inlineStr">
        <is>
          <t>MSc Computer Science</t>
        </is>
      </c>
      <c r="G106" s="9" t="inlineStr">
        <is>
          <t>مهندسی نرم‌افزار / علوم کامپیوتر</t>
        </is>
      </c>
      <c r="H106" s="9" t="inlineStr">
        <is>
          <t>۲ سال</t>
        </is>
      </c>
      <c r="I106" s="9" t="inlineStr">
        <is>
          <t>$18,800 ($9,410 در ترم)</t>
        </is>
      </c>
      <c r="J106" s="9" t="inlineStr">
        <is>
          <t>$37,600</t>
        </is>
      </c>
      <c r="K106" s="18" t="inlineStr">
        <is>
          <t>$74–83k</t>
        </is>
      </c>
      <c r="L106" s="9" t="inlineStr">
        <is>
          <t>کارشناسی CS/SE با برنامه‌نویسی قابل توجه</t>
        </is>
      </c>
      <c r="M106" s="9" t="inlineStr">
        <is>
          <t>6.5</t>
        </is>
      </c>
      <c r="N106" s="9" t="inlineStr">
        <is>
          <t>— (تخصصی)</t>
        </is>
      </c>
      <c r="O106" s="10" t="inlineStr">
        <is>
          <t>Target</t>
        </is>
      </c>
      <c r="P106" s="9" t="inlineStr">
        <is>
          <t>4/5 — بیشترین حجم آگهی در هر ۶ کشور؛ ورود جونیور از ۲۰۲۳ سخت‌تر شده — سابقهٔ کار شما مزیت است</t>
        </is>
      </c>
      <c r="Q106" s="9" t="inlineStr">
        <is>
          <t>ارزان‌تر از DTU/KU در کپنهاگ؛ رقم قدیمی $15,300 (پورتال studyindenmark) منسوخ است</t>
        </is>
      </c>
      <c r="R106" s="19" t="inlineStr">
        <is>
          <t>https://en.itu.dk/Programmes/MSc-Programmes/Applying-to-a-MSc-programme/Non-EU-EOES</t>
        </is>
      </c>
    </row>
    <row r="107">
      <c r="A107" s="6" t="n">
        <v>106</v>
      </c>
      <c r="B107" s="6" t="inlineStr">
        <is>
          <t>دانمارک</t>
        </is>
      </c>
      <c r="C107" s="9" t="inlineStr">
        <is>
          <t>IT University of Copenhagen (ITU)</t>
        </is>
      </c>
      <c r="D107" s="9" t="inlineStr">
        <is>
          <t>Copenhagen (کپنهاگ)</t>
        </is>
      </c>
      <c r="E107" s="9" t="inlineStr">
        <is>
          <t>خیلی گران — $1,530–1,910</t>
        </is>
      </c>
      <c r="F107" s="9" t="inlineStr">
        <is>
          <t>MSc Data Science</t>
        </is>
      </c>
      <c r="G107" s="9" t="inlineStr">
        <is>
          <t>علم داده / تحلیل داده</t>
        </is>
      </c>
      <c r="H107" s="9" t="inlineStr">
        <is>
          <t>۲ سال</t>
        </is>
      </c>
      <c r="I107" s="9" t="inlineStr">
        <is>
          <t>$18,800 ($9,410 در ترم)</t>
        </is>
      </c>
      <c r="J107" s="9" t="inlineStr">
        <is>
          <t>$37,600</t>
        </is>
      </c>
      <c r="K107" s="18" t="inlineStr">
        <is>
          <t>$74–83k</t>
        </is>
      </c>
      <c r="L107" s="9" t="inlineStr">
        <is>
          <t>کارشناسی مرتبط با داده/CS</t>
        </is>
      </c>
      <c r="M107" s="9" t="inlineStr">
        <is>
          <t>6.5</t>
        </is>
      </c>
      <c r="N107" s="9" t="inlineStr">
        <is>
          <t>— (تخصصی)</t>
        </is>
      </c>
      <c r="O107" s="10" t="inlineStr">
        <is>
          <t>Target</t>
        </is>
      </c>
      <c r="P107" s="9" t="inlineStr">
        <is>
          <t>3/5 — بازار ارشد/سینیور خوب، ولی سطح جونیور اشباع (ده‌ها هزار فارغ‌التحصیل مشابه)؛ Data Engineer کم‌رقابت‌تر از Data Scientist</t>
        </is>
      </c>
      <c r="Q107" s="9" t="inlineStr"/>
      <c r="R107" s="19" t="inlineStr">
        <is>
          <t>https://en.itu.dk/Programmes/MSc-Programmes/Applying-to-a-MSc-programme/Non-EU-EOES</t>
        </is>
      </c>
    </row>
    <row r="108">
      <c r="A108" s="6" t="n">
        <v>107</v>
      </c>
      <c r="B108" s="6" t="inlineStr">
        <is>
          <t>دانمارک</t>
        </is>
      </c>
      <c r="C108" s="9" t="inlineStr">
        <is>
          <t>Technical University of Denmark (DTU)</t>
        </is>
      </c>
      <c r="D108" s="9" t="inlineStr">
        <is>
          <t>Kgs. Lyngby (لینگبی) — ۱۵ کیلومتری کپنهاگ</t>
        </is>
      </c>
      <c r="E108" s="9" t="inlineStr">
        <is>
          <t>خیلی گران — $1,450–1,830</t>
        </is>
      </c>
      <c r="F108" s="9" t="inlineStr">
        <is>
          <t>MSc Eng Human-Centered Artificial Intelligence</t>
        </is>
      </c>
      <c r="G108" s="9" t="inlineStr">
        <is>
          <t>هوش مصنوعی / یادگیری ماشین</t>
        </is>
      </c>
      <c r="H108" s="9" t="inlineStr">
        <is>
          <t>۲ سال</t>
        </is>
      </c>
      <c r="I108" s="9" t="inlineStr">
        <is>
          <t>$17,100</t>
        </is>
      </c>
      <c r="J108" s="9" t="inlineStr">
        <is>
          <t>$34,200</t>
        </is>
      </c>
      <c r="K108" s="18" t="inlineStr">
        <is>
          <t>$69–78k</t>
        </is>
      </c>
      <c r="L108" s="9" t="inlineStr">
        <is>
          <t>ظرفیت محدود؛ امتیازدهی: معدل ۶۰٪ + سابقهٔ کار ۱۰٪</t>
        </is>
      </c>
      <c r="M108" s="9" t="inlineStr">
        <is>
          <t>6.5</t>
        </is>
      </c>
      <c r="N108" s="9" t="inlineStr">
        <is>
          <t>105</t>
        </is>
      </c>
      <c r="O108" s="20" t="inlineStr">
        <is>
          <t>Reach</t>
        </is>
      </c>
      <c r="P108" s="9" t="inlineStr">
        <is>
          <t>5/5 — داغ‌ترین بازار؛ «AI Engineer» سریع‌ترین‌رشد (LinkedIn 2026)؛ ولی برنامه‌های ریاضی‌محور (Tübingen، UvA، KTH) بسیار رقابتی‌اند</t>
        </is>
      </c>
      <c r="Q108" s="9" t="inlineStr">
        <is>
          <t>معدل ۱۵.۷۷ در رقابت DTU ضعیف است</t>
        </is>
      </c>
      <c r="R108" s="19" t="inlineStr">
        <is>
          <t>https://www.dtu.dk/english/education/graduate/msc-programmes/human-centered-artificial-intelligence</t>
        </is>
      </c>
    </row>
    <row r="109">
      <c r="A109" s="6" t="n">
        <v>108</v>
      </c>
      <c r="B109" s="6" t="inlineStr">
        <is>
          <t>دانمارک</t>
        </is>
      </c>
      <c r="C109" s="9" t="inlineStr">
        <is>
          <t>Technical University of Denmark (DTU)</t>
        </is>
      </c>
      <c r="D109" s="9" t="inlineStr">
        <is>
          <t>Kgs. Lyngby (لینگبی) — ۱۵ کیلومتری کپنهاگ</t>
        </is>
      </c>
      <c r="E109" s="9" t="inlineStr">
        <is>
          <t>خیلی گران — $1,450–1,830</t>
        </is>
      </c>
      <c r="F109" s="9" t="inlineStr">
        <is>
          <t>MSc Eng Autonomous Systems</t>
        </is>
      </c>
      <c r="G109" s="9" t="inlineStr">
        <is>
          <t>سیستم‌های نهفته / رباتیک / خودران</t>
        </is>
      </c>
      <c r="H109" s="9" t="inlineStr">
        <is>
          <t>۲ سال</t>
        </is>
      </c>
      <c r="I109" s="9" t="inlineStr">
        <is>
          <t>$17,100</t>
        </is>
      </c>
      <c r="J109" s="9" t="inlineStr">
        <is>
          <t>$34,200</t>
        </is>
      </c>
      <c r="K109" s="18" t="inlineStr">
        <is>
          <t>$69–78k</t>
        </is>
      </c>
      <c r="L109" s="9" t="inlineStr">
        <is>
          <t>۸۰–۹۰ ECTS دروس مرتبط؛ ظرفیت محدود</t>
        </is>
      </c>
      <c r="M109" s="9" t="inlineStr">
        <is>
          <t>6.5</t>
        </is>
      </c>
      <c r="N109" s="9" t="inlineStr">
        <is>
          <t>105</t>
        </is>
      </c>
      <c r="O109" s="20" t="inlineStr">
        <is>
          <t>Reach</t>
        </is>
      </c>
      <c r="P109" s="9" t="inlineStr">
        <is>
          <t>4/5 — در آلمان و سوئد قوی (خودرو، Bosch، ABB، Ericsson)؛ ولی کارفرمایان صنعتی خارج از شهرهای بزرگ اغلب آلمانی/سوئدی می‌خواهند</t>
        </is>
      </c>
      <c r="Q109" s="9" t="inlineStr"/>
      <c r="R109" s="19" t="inlineStr">
        <is>
          <t>https://www.dtu.dk/english/education/graduate/msc-programmes/autonomous-systems/prerequisites</t>
        </is>
      </c>
    </row>
    <row r="110">
      <c r="A110" s="6" t="n">
        <v>109</v>
      </c>
      <c r="B110" s="6" t="inlineStr">
        <is>
          <t>دانمارک</t>
        </is>
      </c>
      <c r="C110" s="9" t="inlineStr">
        <is>
          <t>Technical University of Denmark (DTU)</t>
        </is>
      </c>
      <c r="D110" s="9" t="inlineStr">
        <is>
          <t>Kgs. Lyngby (لینگبی) — ۱۵ کیلومتری کپنهاگ</t>
        </is>
      </c>
      <c r="E110" s="9" t="inlineStr">
        <is>
          <t>خیلی گران — $1,450–1,830</t>
        </is>
      </c>
      <c r="F110" s="9" t="inlineStr">
        <is>
          <t>MSc Eng Computer Science and Engineering</t>
        </is>
      </c>
      <c r="G110" s="9" t="inlineStr">
        <is>
          <t>مهندسی نرم‌افزار / علوم کامپیوتر</t>
        </is>
      </c>
      <c r="H110" s="9" t="inlineStr">
        <is>
          <t>۲ سال</t>
        </is>
      </c>
      <c r="I110" s="9" t="inlineStr">
        <is>
          <t>$17,100</t>
        </is>
      </c>
      <c r="J110" s="9" t="inlineStr">
        <is>
          <t>$34,200</t>
        </is>
      </c>
      <c r="K110" s="18" t="inlineStr">
        <is>
          <t>$69–78k</t>
        </is>
      </c>
      <c r="L110" s="9" t="inlineStr">
        <is>
          <t>ظرفیت محدود؛ گزینش با معدل</t>
        </is>
      </c>
      <c r="M110" s="9" t="inlineStr">
        <is>
          <t>6.5</t>
        </is>
      </c>
      <c r="N110" s="9" t="inlineStr">
        <is>
          <t>105</t>
        </is>
      </c>
      <c r="O110" s="20" t="inlineStr">
        <is>
          <t>Reach</t>
        </is>
      </c>
      <c r="P110" s="9" t="inlineStr">
        <is>
          <t>4/5 — بیشترین حجم آگهی در هر ۶ کشور؛ ورود جونیور از ۲۰۲۳ سخت‌تر شده — سابقهٔ کار شما مزیت است</t>
        </is>
      </c>
      <c r="Q110" s="9" t="inlineStr"/>
      <c r="R110" s="19" t="inlineStr">
        <is>
          <t>https://www.dtu.dk/english/education/graduate/msc-programmes/computer-science-and-engineering</t>
        </is>
      </c>
    </row>
    <row r="111">
      <c r="A111" s="6" t="n">
        <v>110</v>
      </c>
      <c r="B111" s="6" t="inlineStr">
        <is>
          <t>دانمارک</t>
        </is>
      </c>
      <c r="C111" s="9" t="inlineStr">
        <is>
          <t>Aarhus University (AU)</t>
        </is>
      </c>
      <c r="D111" s="9" t="inlineStr">
        <is>
          <t>Aarhus (آرهوس) — دومین شهر دانمارک</t>
        </is>
      </c>
      <c r="E111" s="9" t="inlineStr">
        <is>
          <t>گران — $1,370–1,680</t>
        </is>
      </c>
      <c r="F111" s="9" t="inlineStr">
        <is>
          <t>MSc Computer Science</t>
        </is>
      </c>
      <c r="G111" s="9" t="inlineStr">
        <is>
          <t>مهندسی نرم‌افزار / علوم کامپیوتر</t>
        </is>
      </c>
      <c r="H111" s="9" t="inlineStr">
        <is>
          <t>۲ سال</t>
        </is>
      </c>
      <c r="I111" s="9" t="inlineStr">
        <is>
          <t>$19,700</t>
        </is>
      </c>
      <c r="J111" s="9" t="inlineStr">
        <is>
          <t>$39,400</t>
        </is>
      </c>
      <c r="K111" s="18" t="inlineStr">
        <is>
          <t>$72–80k</t>
        </is>
      </c>
      <c r="L111" s="9" t="inlineStr">
        <is>
          <t>کارشناسی CS با واحدهای مشخص</t>
        </is>
      </c>
      <c r="M111" s="9" t="inlineStr">
        <is>
          <t>6.5</t>
        </is>
      </c>
      <c r="N111" s="9" t="inlineStr">
        <is>
          <t>128</t>
        </is>
      </c>
      <c r="O111" s="11" t="inlineStr">
        <is>
          <t>Target/Reach</t>
        </is>
      </c>
      <c r="P111" s="9" t="inlineStr">
        <is>
          <t>4/5 — بیشترین حجم آگهی در هر ۶ کشور؛ ورود جونیور از ۲۰۲۳ سخت‌تر شده — سابقهٔ کار شما مزیت است</t>
        </is>
      </c>
      <c r="Q111" s="9" t="inlineStr">
        <is>
          <t>Aarhus: دومین شهر، ارزان‌تر از کپنهاگ</t>
        </is>
      </c>
      <c r="R111" s="19" t="inlineStr">
        <is>
          <t>https://masters.au.dk/computerscience</t>
        </is>
      </c>
    </row>
    <row r="112"/>
    <row r="113" ht="34" customHeight="1">
      <c r="B113" s="21"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1"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1"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1"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1"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1"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9" t="inlineStr">
        <is>
          <t>بالاتر (+۱۰ تا +۲۵٪؛ آلمان $59–68k، انگلستان $46–60k خارج لندن، سوئیس ≈ $115–145k در زوریخ)</t>
        </is>
      </c>
      <c r="D2" s="9" t="inlineStr">
        <is>
          <t>بسیار خوب — تیم‌های AI/ML در همهٔ ۶ کشور انگلیسی‌زبان‌اند؛ زوریخ (Google، ETH AI Center، آزمایشگاه‌های AI) یکی از قطب‌های اروپاست و کاملاً انگلیسی</t>
        </is>
      </c>
      <c r="E2" s="9"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9" t="inlineStr">
        <is>
          <t>رقابت ورودی شدید؛ بخشی از آگهی‌ها «AI» در عنوان دارند ولی کار مهندسی نرم‌افزار معمولی است؛ مدرک به‌تنهایی بدون پورتفولیو/پروژه کافی نیست</t>
        </is>
      </c>
      <c r="G2" s="16"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9" t="inlineStr">
        <is>
          <t>مرجع (آلمان $55–63k · هلند $46–57k · سوئد $42–55k · دانمارک $76–82k · سوئیس $103–127k (بالاترین) · انگلستان $37–46k)</t>
        </is>
      </c>
      <c r="D3" s="9" t="inlineStr">
        <is>
          <t>بسیار خوب</t>
        </is>
      </c>
      <c r="E3" s="9" t="inlineStr">
        <is>
          <t>بهترین تناسب با سابقهٔ شما (۲ سال IT + Unity/C#)؛ پذیرش ساده‌تر (2:2)؛ در همهٔ کشورها گزینهٔ Safe دارد</t>
        </is>
      </c>
      <c r="F3" s="9" t="inlineStr">
        <is>
          <t>آگهی‌های جونیور از ۲۰۲۳ کم شده (اثر GenAI)؛ در بریتانیا ۶–۷٪ بیکاری فارغ‌التحصیلان CS — سابقهٔ کار واقعی شما را از این گروه جدا می‌کند</t>
        </is>
      </c>
      <c r="G3" s="16"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9" t="inlineStr">
        <is>
          <t>مساوی تا کمی بالاتر؛ در انگلستان (NCSC-certified) و سوئیس (بانک‌ها، بیمه‌ها، ETH/EPFL Cyber؛ حقوق بالا) خوب</t>
        </is>
      </c>
      <c r="D4" s="9" t="inlineStr">
        <is>
          <t>خوب — ولی مشاغل دولتی/دفاعی معمولاً به تابعیت یا اقامت بلندمدت نیاز دارند</t>
        </is>
      </c>
      <c r="E4" s="9" t="inlineStr">
        <is>
          <t>خوب: MSc Cyber با 2:2 در Teesside/Northumbria/MMU/Kent/Royal Holloway؛ Saarland (رایگان ولی IELTS 7)؛ AAU کپنهاگ؛ ZHAW MSE Information &amp; Cyber Security (سوئیس، نیاز به معدل A/B)</t>
        </is>
      </c>
      <c r="F4" s="9"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16" t="inlineStr">
        <is>
          <t>ISC2 Workforce Study 2024/2025؛ Kent/Surrey NCSC certification</t>
        </is>
      </c>
    </row>
    <row r="5">
      <c r="A5" s="5" t="inlineStr">
        <is>
          <t>ابری / سیستم‌های توزیع‌شده / DevOps</t>
        </is>
      </c>
      <c r="B5" s="6" t="inlineStr">
        <is>
          <t>۴ — پایدار</t>
        </is>
      </c>
      <c r="C5" s="9" t="inlineStr">
        <is>
          <t>بالاتر از توسعه‌دهندهٔ عمومی (+۵ تا +۱۵٪)؛ DevOps/SRE در دانمارک و سوئد پرتقاضا؛ سوئیس: بانک‌ها/بیمه‌ها و Google زوریخ (≈ $109–133k)</t>
        </is>
      </c>
      <c r="D5" s="9" t="inlineStr">
        <is>
          <t>بسیار خوب</t>
        </is>
      </c>
      <c r="E5" s="9" t="inlineStr">
        <is>
          <t>خوب: Leicester Cloud Computing، TU Darmstadt DSS، KTH SEDS، USI Software &amp; Data Engineering؛ گواهی AWS/Azure کنار مدرک</t>
        </is>
      </c>
      <c r="F5" s="9" t="inlineStr">
        <is>
          <t>کمتر «مدرک‌محور» است؛ برنامه‌های خالص Cloud کم‌اند — معمولاً گرایشِ CS/SE است</t>
        </is>
      </c>
      <c r="G5" s="16" t="inlineStr">
        <is>
          <t>tribexyz 2026 (Data/Cloud Engineer پرجست‌وجوترین در UK/DE)؛ آگهی‌های شرکت‌ها</t>
        </is>
      </c>
    </row>
    <row r="6">
      <c r="A6" s="5" t="inlineStr">
        <is>
          <t>علم داده / تحلیل داده</t>
        </is>
      </c>
      <c r="B6" s="6" t="inlineStr">
        <is>
          <t>۳ — جونیور اشباع</t>
        </is>
      </c>
      <c r="C6" s="9" t="inlineStr">
        <is>
          <t>مساوی CS در سطح جونیور؛ بالاتر بعد از ۲–۳ سال</t>
        </is>
      </c>
      <c r="D6" s="9" t="inlineStr">
        <is>
          <t>بسیار خوب</t>
        </is>
      </c>
      <c r="E6" s="9"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9" t="inlineStr">
        <is>
          <t>تعداد فارغ‌التحصیل خیلی بیشتر از جای خالی جونیور؛ آگهی جونیور Data Engineering هم ↓۶۷٪؛ مسیر رایج: تحلیلگر/بک‌اند → مهندس داده</t>
        </is>
      </c>
      <c r="G6" s="16" t="inlineStr">
        <is>
          <t>research.com 2026؛ careery.pro 2026؛ datadriven.io 2026</t>
        </is>
      </c>
    </row>
    <row r="7">
      <c r="A7" s="5" t="inlineStr">
        <is>
          <t>سیستم‌های نهفته / رباتیک / خودران</t>
        </is>
      </c>
      <c r="B7" s="6" t="inlineStr">
        <is>
          <t>۴ در آلمان/سوئد؛ ۳ در بقیه</t>
        </is>
      </c>
      <c r="C7" s="9" t="inlineStr">
        <is>
          <t>مساوی تا کمی بالاتر در صنعت (Bosch، Continental، ABB، Volvo)؛ پایین‌تر در بریتانیا؛ در سوئیس (ABB، رباتیک ETH) بالا ولی آلمانی‌محور</t>
        </is>
      </c>
      <c r="D7" s="9" t="inlineStr">
        <is>
          <t>متوسط ⚠️ — تیم‌های R&amp;D انگلیسی‌اند ولی شرکت‌های صنعتی متوسط آلمان/سوئد در عمل زبان محلی می‌خواهند</t>
        </is>
      </c>
      <c r="E7" s="9"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9" t="inlineStr">
        <is>
          <t>با معیار «فقط انگلیسی» شما ضعیف‌تر از AI/SE/Cyber؛ وابسته به صنعت خودرو که در ۲۰۲۴–۲۵ آگهی‌هایش کم شد</t>
        </is>
      </c>
      <c r="G7" s="16" t="inlineStr">
        <is>
          <t>Bitkom/IW 2024–25؛ Twente/H-BRS/FAU program pages</t>
        </is>
      </c>
    </row>
    <row r="8">
      <c r="A8" s="5" t="inlineStr">
        <is>
          <t>HCI / طراحی تعامل / UX</t>
        </is>
      </c>
      <c r="B8" s="6" t="inlineStr">
        <is>
          <t>۲ — رو به کاهش</t>
        </is>
      </c>
      <c r="C8" s="9" t="inlineStr">
        <is>
          <t>پایین‌تر از توسعه‌دهنده (−۱۰ تا −۲۵٪)</t>
        </is>
      </c>
      <c r="D8" s="9" t="inlineStr">
        <is>
          <t>خوب</t>
        </is>
      </c>
      <c r="E8" s="9"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9" t="inlineStr">
        <is>
          <t>آگهی UX ↓۷۱٪ و UXR ↓۷۳٪ نسبت به ۲۰۲۲ و از ۲۰۲۳ ثابت؛ متقاضی به ازای هر آگهی دو برابر شده</t>
        </is>
      </c>
      <c r="G8" s="16" t="inlineStr">
        <is>
          <t>Indeed Hiring Lab تا Q4 2025 (thevoiceofuser, 2026)؛ uxdesigninstitute 2024؛ academyux Q1 2025</t>
        </is>
      </c>
    </row>
    <row r="9">
      <c r="A9" s="5" t="inlineStr">
        <is>
          <t>توسعه بازی</t>
        </is>
      </c>
      <c r="B9" s="6" t="inlineStr">
        <is>
          <t>۲ — کوچک و پرنوسان</t>
        </is>
      </c>
      <c r="C9" s="9" t="inlineStr">
        <is>
          <t>پایین‌تر از نرم‌افزار عمومی (−۲۰ تا −۴۰٪)؛ استودیوهای بزرگ استثنا</t>
        </is>
      </c>
      <c r="D9" s="9" t="inlineStr">
        <is>
          <t>خوب (استودیوهای بزرگ انگلیسی‌زبان: لندن، Guildford، Stockholm، Malmö، Copenhagen، Cologne؛ سوئیس صنعت بازی کوچکی دارد — Zürich: Giants Software — و ارشد انگلیسی بازی ندارد)</t>
        </is>
      </c>
      <c r="E9" s="9"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9" t="inlineStr">
        <is>
          <t>≈۴۵ هزار اخراج ۲۰۲۲–ژوئیهٔ ۲۰۲۵؛ بیش از ۳۰ استودیو کاملاً بسته شد؛ حقوق برنامه‌نویس Unity ≈۵۰٪ افت؛ Unity Technologies شش دور اخراج</t>
        </is>
      </c>
      <c r="G9" s="16" t="inlineStr">
        <is>
          <t>Wikipedia «2022–2026 video game industry layoffs» (GDC State of the Industry 2026؛ 80.lv)</t>
        </is>
      </c>
    </row>
    <row r="10"/>
    <row r="11" ht="70" customHeight="1">
      <c r="A11" s="22"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9" t="inlineStr">
        <is>
          <t>تعیین تکلیف نظام‌وظیفه</t>
        </is>
      </c>
      <c r="C2" s="9" t="inlineStr">
        <is>
          <t>همه</t>
        </is>
      </c>
      <c r="D2" s="9"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16" t="inlineStr">
        <is>
          <t>sakha.epolice.ir؛ زومیت/فرارو تیر ۱۴۰۵</t>
        </is>
      </c>
    </row>
    <row r="3">
      <c r="A3" s="5" t="inlineStr">
        <is>
          <t>اکتبر ۲۰۲۶</t>
        </is>
      </c>
      <c r="B3" s="9" t="inlineStr">
        <is>
          <t>رزرو آزمون زبان — خارج از ایران</t>
        </is>
      </c>
      <c r="C3" s="9" t="inlineStr">
        <is>
          <t>همه</t>
        </is>
      </c>
      <c r="D3" s="9"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6" t="inlineStr">
        <is>
          <t>اعلام IDP (دسامبر ۲۰۲۵)؛ وضعیت ETS/سنجش شهریور ۱۴۰۵</t>
        </is>
      </c>
    </row>
    <row r="4">
      <c r="A4" s="5" t="inlineStr">
        <is>
          <t>اکتبر ۲۰۲۶</t>
        </is>
      </c>
      <c r="B4" s="9" t="inlineStr">
        <is>
          <t>مدارک پایه</t>
        </is>
      </c>
      <c r="C4" s="9" t="inlineStr">
        <is>
          <t>همه</t>
        </is>
      </c>
      <c r="D4" s="9"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16" t="inlineStr">
        <is>
          <t>—</t>
        </is>
      </c>
    </row>
    <row r="5">
      <c r="A5" s="5" t="inlineStr">
        <is>
          <t>۱۵–۱۶ اکتبر ۲۰۲۶</t>
        </is>
      </c>
      <c r="B5" s="9" t="inlineStr">
        <is>
          <t>باز شدن پورتال‌ها</t>
        </is>
      </c>
      <c r="C5" s="9" t="inlineStr">
        <is>
          <t>هلند، سوئد</t>
        </is>
      </c>
      <c r="D5" s="9"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16" t="inlineStr">
        <is>
          <t>utwente.nl؛ universityadmissions.se؛ سایت دانشگاه‌های سوئیس</t>
        </is>
      </c>
    </row>
    <row r="6">
      <c r="A6" s="5" t="inlineStr">
        <is>
          <t>۱ – ۳۰ نوامبر ۲۰۲۶</t>
        </is>
      </c>
      <c r="B6" s="23" t="inlineStr">
        <is>
          <t>⛔ پنجرهٔ ETH Zürich (تنها فرصت سال — Reach)</t>
        </is>
      </c>
      <c r="C6" s="9" t="inlineStr">
        <is>
          <t>سوئیس</t>
        </is>
      </c>
      <c r="D6" s="9"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16" t="inlineStr">
        <is>
          <t>ethz.ch/en/studies/master/application/dates.html</t>
        </is>
      </c>
    </row>
    <row r="7">
      <c r="A7" s="5" t="inlineStr">
        <is>
          <t>نوامبر ۲۰۲۶</t>
        </is>
      </c>
      <c r="B7" s="9" t="inlineStr">
        <is>
          <t>VPD از uni-assist</t>
        </is>
      </c>
      <c r="C7" s="9" t="inlineStr">
        <is>
          <t>آلمان</t>
        </is>
      </c>
      <c r="D7" s="9" t="inlineStr">
        <is>
          <t>برای TU Darmstadt، TU Dresden، Saarland، RPTU، Chemnitz، OVGU و Passau (uni-assist) ۴–۶ هفته زمان و $85 هزینه؛ Stuttgart مستقیم در C@MPUS اپلای می‌گیرد (۱۵ نوامبر – ۱۵ ژانویه).</t>
        </is>
      </c>
      <c r="E7" s="16" t="inlineStr">
        <is>
          <t>uni-assist.de؛ uni-stuttgart.de</t>
        </is>
      </c>
    </row>
    <row r="8">
      <c r="A8" s="5" t="inlineStr">
        <is>
          <t>نوامبر – اوایل دسامبر ۲۰۲۶</t>
        </is>
      </c>
      <c r="B8" s="9" t="inlineStr">
        <is>
          <t>آزمون IELTS</t>
        </is>
      </c>
      <c r="C8" s="9" t="inlineStr">
        <is>
          <t>همه</t>
        </is>
      </c>
      <c r="D8" s="9" t="inlineStr">
        <is>
          <t>نتیجه باید تا اوایل ژانویه ۲۰۲۷ در دست باشد (سوئد، دانمارک، Stuttgart). یک تاریخ ذخیره در دسامبر رزرو کنید.</t>
        </is>
      </c>
      <c r="E8" s="16" t="inlineStr">
        <is>
          <t>—</t>
        </is>
      </c>
    </row>
    <row r="9">
      <c r="A9" s="5" t="inlineStr">
        <is>
          <t>۱۵ دسامبر ۲۰۲۶</t>
        </is>
      </c>
      <c r="B9" s="9" t="inlineStr">
        <is>
          <t>دور اول EPFL (توصیه برای ویزایی‌ها — Reach)</t>
        </is>
      </c>
      <c r="C9" s="9" t="inlineStr">
        <is>
          <t>سوئیس</t>
        </is>
      </c>
      <c r="D9" s="9"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16" t="inlineStr">
        <is>
          <t>epfl.ch (online application)</t>
        </is>
      </c>
    </row>
    <row r="10">
      <c r="A10" s="5" t="inlineStr">
        <is>
          <t>اواسط دسامبر ۲۰۲۶</t>
        </is>
      </c>
      <c r="B10" s="9" t="inlineStr">
        <is>
          <t>پورتال AAU باز می‌شود</t>
        </is>
      </c>
      <c r="C10" s="9" t="inlineStr">
        <is>
          <t>دانمارک</t>
        </is>
      </c>
      <c r="D10" s="9" t="inlineStr">
        <is>
          <t>برای شهریه‌پردازها مهلت ۱۵ ژانویه است (۱ مارس فقط برای EU).</t>
        </is>
      </c>
      <c r="E10" s="16" t="inlineStr">
        <is>
          <t>en.aau.dk/how-and-when-to-apply</t>
        </is>
      </c>
    </row>
    <row r="11">
      <c r="A11" s="5" t="inlineStr">
        <is>
          <t>۱۵ ژانویه ۲۰۲۷</t>
        </is>
      </c>
      <c r="B11" s="23" t="inlineStr">
        <is>
          <t>⛔ مهلت اصلی ۱: سوئد + دانمارک + Stuttgart</t>
        </is>
      </c>
      <c r="C11" s="9" t="inlineStr">
        <is>
          <t>سوئد، دانمارک، آلمان</t>
        </is>
      </c>
      <c r="D11" s="9" t="inlineStr">
        <is>
          <t>سوئد (همهٔ دانشگاه‌ها: Linköping، Halmstad، BTH، Chalmers، KTH، Uppsala، Umeå، Skövde)؛ AAU (fee-paying)، Aarhus، DTU (الگوی ۱۵ ژانویه برای غیر-EU)؛ Stuttgart MSc Computer Science / INFOTECH.</t>
        </is>
      </c>
      <c r="E11" s="16" t="inlineStr">
        <is>
          <t>umu.se و uu.se key dates؛ en.aau.dk؛ uni-stuttgart.de</t>
        </is>
      </c>
    </row>
    <row r="12">
      <c r="A12" s="5" t="inlineStr">
        <is>
          <t>۳۱ ژانویه ۲۰۲۷</t>
        </is>
      </c>
      <c r="B12" s="9" t="inlineStr">
        <is>
          <t>مهلت بورس Radboud</t>
        </is>
      </c>
      <c r="C12" s="9" t="inlineStr">
        <is>
          <t>هلند</t>
        </is>
      </c>
      <c r="D12" s="9" t="inlineStr">
        <is>
          <t>Radboud Scholarship Programme (≈۳۳ نفر؛ شهریه به $3,070 می‌رسد) — اپلای اصلی هم باید تا این تاریخ کامل باشد.</t>
        </is>
      </c>
      <c r="E12" s="16" t="inlineStr">
        <is>
          <t>ru.nl deadlines</t>
        </is>
      </c>
    </row>
    <row r="13">
      <c r="A13" s="5" t="inlineStr">
        <is>
          <t>۱ فوریه ۲۰۲۷</t>
        </is>
      </c>
      <c r="B13" s="23" t="inlineStr">
        <is>
          <t>⛔ مهلت اصلی ۲</t>
        </is>
      </c>
      <c r="C13" s="9" t="inlineStr">
        <is>
          <t>سوئد، دانمارک، هلند</t>
        </is>
      </c>
      <c r="D13" s="9" t="inlineStr">
        <is>
          <t>سوئد: مدارک + $91 روی universityadmissions.se؛ SDU (غیر-EU)؛ Twente: برای بورس UTS (۱ آوریل) اپلای را تا اوایل فوریه بفرستید.</t>
        </is>
      </c>
      <c r="E13" s="16" t="inlineStr">
        <is>
          <t>universityadmissions.se؛ sdu.dk/datalogi؛ utwente.nl</t>
        </is>
      </c>
    </row>
    <row r="14">
      <c r="A14" s="5" t="inlineStr">
        <is>
          <t>۲۸ فوریه ۲۰۲۷</t>
        </is>
      </c>
      <c r="B14" s="23" t="inlineStr">
        <is>
          <t>⛔ مهلت ویزایی‌ها: UZH و Fribourg</t>
        </is>
      </c>
      <c r="C14" s="9" t="inlineStr">
        <is>
          <t>سوئیس</t>
        </is>
      </c>
      <c r="D14" s="9" t="inlineStr">
        <is>
          <t>UZH (MSc Informatics — Reach) و Fribourg (Joint MSc CS — Target) برای متقاضیانی که ویزا لازم دارند ۲۸ فوریه می‌بندند (بدون ویزا ۳۰ آوریل). UZH: $180، فقط یک برنامه در هر ترم.</t>
        </is>
      </c>
      <c r="E14" s="16" t="inlineStr">
        <is>
          <t>oec.uzh.ch (FAQ Master's Admission)؛ mastersportal/unifr.ch</t>
        </is>
      </c>
    </row>
    <row r="15">
      <c r="A15" s="5" t="inlineStr">
        <is>
          <t>فوریه – مارس ۲۰۲۷</t>
        </is>
      </c>
      <c r="B15" s="9" t="inlineStr">
        <is>
          <t>اپلای انگلستان + پرونده‌های سوئیس</t>
        </is>
      </c>
      <c r="C15" s="9" t="inlineStr">
        <is>
          <t>انگلستان، سوئیس</t>
        </is>
      </c>
      <c r="D15" s="9"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16" t="inlineStr">
        <is>
          <t>سایت دانشگاه‌ها</t>
        </is>
      </c>
    </row>
    <row r="16">
      <c r="A16" s="5" t="inlineStr">
        <is>
          <t>۳۰ مارس – ۱ آوریل ۲۰۲۷</t>
        </is>
      </c>
      <c r="B16" s="9" t="inlineStr">
        <is>
          <t>نتایج سوئد</t>
        </is>
      </c>
      <c r="C16" s="9" t="inlineStr">
        <is>
          <t>سوئد</t>
        </is>
      </c>
      <c r="D16" s="9" t="inlineStr">
        <is>
          <t>پاسخ به پیشنهاد در مهلت؛ قسط اول شهریه قبل از درخواست اقامت تحصیلی.</t>
        </is>
      </c>
      <c r="E16" s="16" t="inlineStr">
        <is>
          <t>universityadmissions.se</t>
        </is>
      </c>
    </row>
    <row r="17">
      <c r="A17" s="5" t="inlineStr">
        <is>
          <t>۱ آوریل ۲۰۲۷</t>
        </is>
      </c>
      <c r="B17" s="23" t="inlineStr">
        <is>
          <t>⛔ مهلت اصلی ۳</t>
        </is>
      </c>
      <c r="C17" s="9" t="inlineStr">
        <is>
          <t>هلند، آلمان، سوئیس</t>
        </is>
      </c>
      <c r="D17" s="9" t="inlineStr">
        <is>
          <t>Radboud غیر-EU (اپلای اصلی)؛ بورس UTS Twente؛ HSLU Applied Data Science &amp; AI — مهلت رسمی متقاضیان ویزا (Swiss/EU تا ۱ ژوئن)؛ پنجرهٔ Passau AI Engineering باز می‌شود (۱ آوریل – ۳۱ می).</t>
        </is>
      </c>
      <c r="E17" s="16" t="inlineStr">
        <is>
          <t>ru.nl؛ utwente.nl؛ uni-passau.de</t>
        </is>
      </c>
    </row>
    <row r="18">
      <c r="A18" s="5" t="inlineStr">
        <is>
          <t>۱۵ آوریل ۲۰۲۷</t>
        </is>
      </c>
      <c r="B18" s="9" t="inlineStr">
        <is>
          <t>دور دوم سوئد (فقط پشتیبان)</t>
        </is>
      </c>
      <c r="C18" s="9" t="inlineStr">
        <is>
          <t>سوئد</t>
        </is>
      </c>
      <c r="D18" s="9" t="inlineStr">
        <is>
          <t>۱۵ مارس – ۱۵ آوریل؛ مدارک تا ۲۱ ژوئن؛ نتیجه ۹ ژوئیه — برای اقامت و خوابگاه دیر است.</t>
        </is>
      </c>
      <c r="E18" s="16" t="inlineStr">
        <is>
          <t>umu.se key dates</t>
        </is>
      </c>
    </row>
    <row r="19">
      <c r="A19" s="5" t="inlineStr">
        <is>
          <t>۱ می ۲۰۲۷</t>
        </is>
      </c>
      <c r="B19" s="23" t="inlineStr">
        <is>
          <t>⛔ مهلت Twente (غیر-EEA)</t>
        </is>
      </c>
      <c r="C19" s="9" t="inlineStr">
        <is>
          <t>هلند</t>
        </is>
      </c>
      <c r="D19" s="9" t="inlineStr">
        <is>
          <t>MSc Computer Science / Embedded Systems / Interaction Technology.</t>
        </is>
      </c>
      <c r="E19" s="16" t="inlineStr">
        <is>
          <t>utwente.nl (به نقل از collegedunia، اوت ۲۰۲۶)</t>
        </is>
      </c>
    </row>
    <row r="20">
      <c r="A20" s="5" t="inlineStr">
        <is>
          <t>۳۰ آوریل ۲۰۲۷</t>
        </is>
      </c>
      <c r="B20" s="23" t="inlineStr">
        <is>
          <t>⛔ مهلت اصلی سوئیس (غیر-EU)</t>
        </is>
      </c>
      <c r="C20" s="9" t="inlineStr">
        <is>
          <t>سوئیس</t>
        </is>
      </c>
      <c r="D20" s="9"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16" t="inlineStr">
        <is>
          <t>usi.ch؛ unibe.ch؛ zhaw.ch؛ eda.admin.ch/tehran</t>
        </is>
      </c>
    </row>
    <row r="21">
      <c r="A21" s="5" t="inlineStr">
        <is>
          <t>۱۵ – ۳۱ می ۲۰۲۷</t>
        </is>
      </c>
      <c r="B21" s="9" t="inlineStr">
        <is>
          <t>مهلت‌های آلمان</t>
        </is>
      </c>
      <c r="C21" s="9" t="inlineStr">
        <is>
          <t>آلمان</t>
        </is>
      </c>
      <c r="D21" s="9" t="inlineStr">
        <is>
          <t>Passau AI Eng ۳۱ می؛ بقیهٔ آلمان (TU Darmstadt، TU Dresden، Saarland، RPTU، Chemnitz، OVGU، FAU) بیشتر بین ۱۵ می تا ۱۵ ژوئیه — هر کدام را جدا چک کنید.</t>
        </is>
      </c>
      <c r="E21" s="16" t="inlineStr">
        <is>
          <t>uni-passau.de؛ سایت دانشگاه‌ها</t>
        </is>
      </c>
    </row>
    <row r="22">
      <c r="A22" s="5" t="inlineStr">
        <is>
          <t>می – ژوئن ۲۰۲۷</t>
        </is>
      </c>
      <c r="B22" s="9" t="inlineStr">
        <is>
          <t>💰 پول باید نقد و قابل انتقال باشد</t>
        </is>
      </c>
      <c r="C22" s="9" t="inlineStr">
        <is>
          <t>همه</t>
        </is>
      </c>
      <c r="D22" s="9"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16" t="inlineStr">
        <is>
          <t>ردیف ۲۵ جدول اصلی</t>
        </is>
      </c>
    </row>
    <row r="23">
      <c r="A23" s="5" t="inlineStr">
        <is>
          <t>۱ ژوئن ۲۰۲۷</t>
        </is>
      </c>
      <c r="B23" s="9" t="inlineStr">
        <is>
          <t>مهلت ثبت‌نام/ویزای Radboud</t>
        </is>
      </c>
      <c r="C23" s="9" t="inlineStr">
        <is>
          <t>هلند</t>
        </is>
      </c>
      <c r="D23" s="9" t="inlineStr">
        <is>
          <t>برای شروع سپتامبر (غیر-EU)؛ درخواست MVV را دانشگاه از طرف شما به IND می‌دهد.</t>
        </is>
      </c>
      <c r="E23" s="16" t="inlineStr">
        <is>
          <t>ru.nl deadlines</t>
        </is>
      </c>
    </row>
    <row r="24">
      <c r="A24" s="5" t="inlineStr">
        <is>
          <t>ژوئن – ژوئیه ۲۰۲۷</t>
        </is>
      </c>
      <c r="B24" s="9" t="inlineStr">
        <is>
          <t>🛂 ویزا / برنامهٔ B</t>
        </is>
      </c>
      <c r="C24" s="9" t="inlineStr">
        <is>
          <t>همه</t>
        </is>
      </c>
      <c r="D24" s="9"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16" t="inlineStr">
        <is>
          <t>ردیف ۲۳ جدول اصلی</t>
        </is>
      </c>
    </row>
    <row r="25">
      <c r="A25" s="5" t="inlineStr">
        <is>
          <t>ژوئیه ۲۰۲۷</t>
        </is>
      </c>
      <c r="B25" s="9" t="inlineStr">
        <is>
          <t>خوابگاه</t>
        </is>
      </c>
      <c r="C25" s="9" t="inlineStr">
        <is>
          <t>همه</t>
        </is>
      </c>
      <c r="D25" s="9"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16" t="inlineStr">
        <is>
          <t>ردیف‌های ۹–۱۰ جدول اصلی</t>
        </is>
      </c>
    </row>
    <row r="26">
      <c r="A26" s="5" t="inlineStr">
        <is>
          <t>اوت – اکتبر ۲۰۲۷</t>
        </is>
      </c>
      <c r="B26" s="9" t="inlineStr">
        <is>
          <t>شروع</t>
        </is>
      </c>
      <c r="C26" s="9" t="inlineStr">
        <is>
          <t>همه</t>
        </is>
      </c>
      <c r="D26" s="9"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16" t="inlineStr">
        <is>
          <t>—</t>
        </is>
      </c>
    </row>
    <row r="27"/>
    <row r="28" ht="60" customHeight="1">
      <c r="A28" s="22"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9" t="inlineStr">
        <is>
          <t>Studierendenwerk (نهاد عمومی هر شهر)؛ خودِ دانشگاه خوابگاه ندارد. ۱,۷۰۰ خوابگاه / ≈ ۱۹۶ هزار جا در کل کشور</t>
        </is>
      </c>
      <c r="C2" s="9"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9" t="inlineStr">
        <is>
          <t>❌ جدا (شهریه‌ای هم نیست)</t>
        </is>
      </c>
      <c r="E2" s="9" t="inlineStr">
        <is>
          <t>میانگین ملی ≈ $350–375 با همهٔ قبوض (DSW) · Stuttgart میانگین $395 (بازهٔ $260–570) · شرق آلمان $250–375</t>
        </is>
      </c>
      <c r="F2" s="9" t="inlineStr">
        <is>
          <t>❌ بدون غذا؛ Mensa ناهار $3–6</t>
        </is>
      </c>
      <c r="G2" s="9" t="inlineStr">
        <is>
          <t>اتاق در WG: Stuttgart/Darmstadt/Aachen/Erlangen $515–800 · Dresden/Chemnitz/Magdeburg/Passau/Saarbrücken $320–515 · آپارتمان یک‌خوابه $685–1,140</t>
        </is>
      </c>
      <c r="H2" s="9"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16" t="inlineStr">
        <is>
          <t>studierendenwerke.de؛ studierendenwerk-stuttgart.de؛ hdm-stuttgart.de</t>
        </is>
      </c>
    </row>
    <row r="3">
      <c r="A3" s="5" t="inlineStr">
        <is>
          <t>هلند 🇳🇱</t>
        </is>
      </c>
      <c r="B3" s="9" t="inlineStr">
        <is>
          <t>دانشگاه‌ها خوابگاه ندارند؛ با شرکت‌های مسکن دانشجویی (SSH، Roomspot/De Veste، Vestide، Plaza) تعدادی اتاق «رزرو» می‌کنند</t>
        </is>
      </c>
      <c r="C3" s="9"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9" t="inlineStr">
        <is>
          <t>❌ جدا</t>
        </is>
      </c>
      <c r="E3" s="9" t="inlineStr">
        <is>
          <t>Enschede/Nijmegen $420–740 · Eindhoven/Utrecht $570–990 (Utrecht Plaza: $990 با قبوض) · Amsterdam/Delft/Leiden $800–1,250</t>
        </is>
      </c>
      <c r="F3" s="9" t="inlineStr">
        <is>
          <t>❌</t>
        </is>
      </c>
      <c r="G3" s="9" t="inlineStr">
        <is>
          <t>اتاق $570–1,030 · استودیو $1,030–1,600 · بحران ملی مسکن؛ بدون اتاق ثبت‌نام BSN و بانک هم گیر می‌کند</t>
        </is>
      </c>
      <c r="H3" s="9"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16" t="inlineStr">
        <is>
          <t>ru.nl؛ sshn.nl؛ uu.nl؛ utwente.nl (issuu)</t>
        </is>
      </c>
    </row>
    <row r="4">
      <c r="A4" s="5" t="inlineStr">
        <is>
          <t>سوئد 🇸🇪</t>
        </is>
      </c>
      <c r="B4" s="9" t="inlineStr">
        <is>
          <t>شرکت‌های مسکن دانشجویی/شهرداری (SGS گوتنبرگ، SSSB استکهلم، Studentbostäder لینشوپینگ…)؛ بعضی دانشگاه‌ها برای «شهریه‌پردازها» سهمیه دارند</t>
        </is>
      </c>
      <c r="C4" s="9"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9" t="inlineStr">
        <is>
          <t>❌ جدا</t>
        </is>
      </c>
      <c r="E4" s="9" t="inlineStr">
        <is>
          <t>اتاق کریدوری $355–655 (Stockholm $455–810؛ Linköping/Halmstad/Västerås/Karlskrona/Skövde ارزان‌تر)</t>
        </is>
      </c>
      <c r="F4" s="9" t="inlineStr">
        <is>
          <t>❌</t>
        </is>
      </c>
      <c r="G4" s="9" t="inlineStr">
        <is>
          <t>اتاق $505–810 · آپارتمان کوچک $810–1,310 · در استکهلم/گوتنبرگ بدون صف چندساله تقریباً غیرممکن</t>
        </is>
      </c>
      <c r="H4" s="9" t="inlineStr">
        <is>
          <t>بدون شمارهٔ ملی (personnummer) اجارهٔ خصوصی سخت است؛ اجارهٔ دست‌دوم (andrahand) رایج و پرکلاهبرداری · ودیعه معمولاً ۱ ماه</t>
        </is>
      </c>
      <c r="I4" s="16" t="inlineStr">
        <is>
          <t>uu.se؛ liu.se؛ hh.se؛ su.se</t>
        </is>
      </c>
    </row>
    <row r="5">
      <c r="A5" s="5" t="inlineStr">
        <is>
          <t>دانمارک 🇩🇰</t>
        </is>
      </c>
      <c r="B5" s="9" t="inlineStr">
        <is>
          <t>دفتر مسکن بین‌الملل دانشگاه (AAU، SDU، AU) + خوابگاه‌های kollegium و شرکت‌های عمومی (KKIK/CIU در کپنهاگ)</t>
        </is>
      </c>
      <c r="C5" s="9" t="inlineStr">
        <is>
          <t>AAU Aalborg: «تقریباً ۱۰۰٪» (دفتر مسکن بین‌الملل، ۲۲۰+ واحد مبله) · AAU Copenhagen: ❌ صریحاً «بدون تضمین» · SDU Odense: کمک، بدون تضمین · ITU/DTU/KU کپنهاگ: ❌</t>
        </is>
      </c>
      <c r="D5" s="9" t="inlineStr">
        <is>
          <t>❌ جدا</t>
        </is>
      </c>
      <c r="E5" s="9" t="inlineStr">
        <is>
          <t>Aalborg $490–720 (میانگین $605؛ اینترنت/آب/گرمایش/برق داخل) · Odense $535–840 · Copenhagen $535–915 (KKIK/CIU) تا $765–1,370 (خوابگاه خصوصی/co-living)</t>
        </is>
      </c>
      <c r="F5" s="9" t="inlineStr">
        <is>
          <t>❌</t>
        </is>
      </c>
      <c r="G5" s="9" t="inlineStr">
        <is>
          <t>Aalborg/Odense اتاق $535–765 · Copenhagen آپارتمان از $1,070+</t>
        </is>
      </c>
      <c r="H5" s="9" t="inlineStr">
        <is>
          <t>AAU اجاره را سه‌ماهه می‌گیرد · ودیعه تا ۳ ماه · کمک‌هزینهٔ مسکن دولتی برای دانشجوی بین‌المللی ممنوع (گرفتنش = لغو اقامت)</t>
        </is>
      </c>
      <c r="I5" s="16" t="inlineStr">
        <is>
          <t>en.aau.dk؛ sdu.dk</t>
        </is>
      </c>
    </row>
    <row r="6">
      <c r="A6" s="5" t="inlineStr">
        <is>
          <t>سوئیس 🇨🇭</t>
        </is>
      </c>
      <c r="B6" s="9" t="inlineStr">
        <is>
          <t>تعاونی‌های خوابگاه (WOKO/Juwo زوریخ، FMEL لوزان، خوابگاه‌های USI لوگانو، WoVe بازل، StuWo برن…)؛ دانشگاه فقط معرفی می‌کند</t>
        </is>
      </c>
      <c r="C6" s="9" t="inlineStr">
        <is>
          <t>❌ هیچ‌جا. زوریخ لیست انتظار ۳–۱۲ ماه — روز پذیرش ثبت‌نام کنید · لوزان FMEL زود پر می‌شود · لوگانو/فریبورگ/نوشاتل/برن/لوسرن آسان‌تر</t>
        </is>
      </c>
      <c r="D6" s="9" t="inlineStr">
        <is>
          <t>❌ جدا</t>
        </is>
      </c>
      <c r="E6" s="9" t="inlineStr">
        <is>
          <t>WOKO زوریخ $580–1,090 · FMEL ≈ $605–1,090 · USI/Bern/Fribourg/Neuchâtel/Luzern ≈ $545–970</t>
        </is>
      </c>
      <c r="F6" s="9" t="inlineStr">
        <is>
          <t>❌ (Mensa ناهار $8–15)</t>
        </is>
      </c>
      <c r="G6" s="9" t="inlineStr">
        <is>
          <t>اتاق در WG: زوریخ $845–1,450، بقیه $725–1,090 · استودیو $1,450–2,180</t>
        </is>
      </c>
      <c r="H6" s="9" t="inlineStr">
        <is>
          <t>ودیعهٔ ۲–۳ ماه · اجارهٔ خصوصی زوریخ اغلب گواهی عدم بدهی (Betreibungsauszug) + ضامن یا بیمهٔ ودیعه می‌خواهد · اجازهٔ اقامت به آدرس ثبت‌شده وابسته است</t>
        </is>
      </c>
      <c r="I6" s="16" t="inlineStr">
        <is>
          <t>woko.ch؛ fmel.ch؛ برآوردهای ردیف ۱۰ جدول اصلی</t>
        </is>
      </c>
    </row>
    <row r="7">
      <c r="A7" s="5" t="inlineStr">
        <is>
          <t>انگلستان 🇬🇧</t>
        </is>
      </c>
      <c r="B7" s="9" t="inlineStr">
        <is>
          <t>خودِ دانشگاه (halls) + خوابگاه‌های خصوصی PBSA (Unite، iQ، Student Roost…)</t>
        </is>
      </c>
      <c r="C7" s="9"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9" t="inlineStr">
        <is>
          <t>❌ همیشه جدا؛ قرارداد ۴۰–۵۱ هفته؛ قبوض و اینترنت داخل</t>
        </is>
      </c>
      <c r="E7" s="9"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9"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9" t="inlineStr">
        <is>
          <t>اتاق در خانهٔ مشترک: شمال $595–860/ماه · Colchester/Coventry/York $730–995 · لندن $1,190–1,860 · PBSA خصوصی $185–385/هفته شمال، $360–595 لندن</t>
        </is>
      </c>
      <c r="H7" s="9"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16"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9" t="inlineStr">
        <is>
          <t>آلمان</t>
        </is>
      </c>
      <c r="C10" s="9" t="inlineStr">
        <is>
          <t>Universität Stuttgart</t>
        </is>
      </c>
      <c r="D10" s="9" t="inlineStr">
        <is>
          <t>Studierendenwerk Stuttgart</t>
        </is>
      </c>
      <c r="E10" s="24" t="inlineStr">
        <is>
          <t>⭐⭐ کم — لیست انتظار معمول ۶–۸ ماه برای ترم زمستان؛ Esslingen/Göppingen/Ludwigsburg زودتر</t>
        </is>
      </c>
      <c r="F10" s="9" t="inlineStr">
        <is>
          <t>$260–570 با قبوض؛ میانگین DSW 2023: $395 (۲۰۲۶ ≈ +۵–۱۰٪)</t>
        </is>
      </c>
      <c r="G10" s="9" t="inlineStr">
        <is>
          <t>WG $675 (MLP 2025)</t>
        </is>
      </c>
      <c r="H10" s="9" t="inlineStr">
        <is>
          <t>رسمی (Studierendenwerk، MLP)</t>
        </is>
      </c>
      <c r="I10" s="9" t="n"/>
    </row>
    <row r="11">
      <c r="A11" s="5" t="inlineStr">
        <is>
          <t>Erlangen</t>
        </is>
      </c>
      <c r="B11" s="9" t="inlineStr">
        <is>
          <t>آلمان</t>
        </is>
      </c>
      <c r="C11" s="9" t="inlineStr">
        <is>
          <t>FAU</t>
        </is>
      </c>
      <c r="D11" s="9" t="inlineStr">
        <is>
          <t>Studierendenwerk Erlangen-Nürnberg</t>
        </is>
      </c>
      <c r="E11" s="25" t="inlineStr">
        <is>
          <t>⭐⭐⭐ متوسط — ۱–۲ ترم انتظار ممکن؛ Nürnberg هم گزینه</t>
        </is>
      </c>
      <c r="F11" s="9" t="inlineStr">
        <is>
          <t>میانگین DSW 2023: $320 (بازهٔ ≈ $275–435)</t>
        </is>
      </c>
      <c r="G11" s="9" t="inlineStr">
        <is>
          <t>≈ $515–595</t>
        </is>
      </c>
      <c r="H11" s="9" t="inlineStr">
        <is>
          <t>DSW/Statista 2023 رسمی؛ WG برآورد</t>
        </is>
      </c>
      <c r="I11" s="9" t="n"/>
    </row>
    <row r="12">
      <c r="A12" s="5" t="inlineStr">
        <is>
          <t>Darmstadt</t>
        </is>
      </c>
      <c r="B12" s="9" t="inlineStr">
        <is>
          <t>آلمان</t>
        </is>
      </c>
      <c r="C12" s="9" t="inlineStr">
        <is>
          <t>TU Darmstadt</t>
        </is>
      </c>
      <c r="D12" s="9" t="inlineStr">
        <is>
          <t>Studierendenwerk Darmstadt</t>
        </is>
      </c>
      <c r="E12" s="24" t="inlineStr">
        <is>
          <t>⭐⭐ کم — تقاضای بالا (فرانکفورت نزدیک)</t>
        </is>
      </c>
      <c r="F12" s="9" t="inlineStr">
        <is>
          <t>میانگین DSW 2023: $455 — گران‌ترین Studierendenwerk آلمان (بازهٔ ≈ $365–545)</t>
        </is>
      </c>
      <c r="G12" s="9" t="inlineStr">
        <is>
          <t>WG $550 (MLP 2025)</t>
        </is>
      </c>
      <c r="H12" s="9" t="inlineStr">
        <is>
          <t>MLP 2025 + DSW 2023 رسمی</t>
        </is>
      </c>
      <c r="I12" s="9" t="n"/>
    </row>
    <row r="13">
      <c r="A13" s="5" t="inlineStr">
        <is>
          <t>Dresden</t>
        </is>
      </c>
      <c r="B13" s="9" t="inlineStr">
        <is>
          <t>آلمان</t>
        </is>
      </c>
      <c r="C13" s="9" t="inlineStr">
        <is>
          <t>TU Dresden</t>
        </is>
      </c>
      <c r="D13" s="9" t="inlineStr">
        <is>
          <t>Studentenwerk Dresden (ذخیرهٔ بزرگ)</t>
        </is>
      </c>
      <c r="E13" s="26" t="inlineStr">
        <is>
          <t>⭐⭐⭐⭐ بالا — معمولاً ظرف چند هفته تا یک ترم</t>
        </is>
      </c>
      <c r="F13" s="9" t="inlineStr">
        <is>
          <t>میانگین DSW 2023: $315 (بازهٔ ≈ $260–435)</t>
        </is>
      </c>
      <c r="G13" s="9" t="inlineStr">
        <is>
          <t>WG $495 (MLP 2025)</t>
        </is>
      </c>
      <c r="H13" s="9" t="inlineStr">
        <is>
          <t>MLP 2025 + DSW 2023 رسمی</t>
        </is>
      </c>
      <c r="I13" s="9" t="n"/>
    </row>
    <row r="14">
      <c r="A14" s="5" t="inlineStr">
        <is>
          <t>Saarbrücken</t>
        </is>
      </c>
      <c r="B14" s="9" t="inlineStr">
        <is>
          <t>آلمان</t>
        </is>
      </c>
      <c r="C14" s="9" t="inlineStr">
        <is>
          <t>Saarland University</t>
        </is>
      </c>
      <c r="D14" s="9" t="inlineStr">
        <is>
          <t>Studentenwerk Saarland</t>
        </is>
      </c>
      <c r="E14" s="26" t="inlineStr">
        <is>
          <t>⭐⭐⭐⭐ بالا</t>
        </is>
      </c>
      <c r="F14" s="9" t="inlineStr">
        <is>
          <t>میانگین DSW 2023: $375 (بازهٔ ≈ $295–480)</t>
        </is>
      </c>
      <c r="G14" s="9" t="inlineStr">
        <is>
          <t>WG $545 (MLP 2025)</t>
        </is>
      </c>
      <c r="H14" s="9" t="inlineStr">
        <is>
          <t>MLP 2025 + DSW 2023 رسمی</t>
        </is>
      </c>
      <c r="I14" s="9" t="n"/>
    </row>
    <row r="15">
      <c r="A15" s="5" t="inlineStr">
        <is>
          <t>Chemnitz</t>
        </is>
      </c>
      <c r="B15" s="9" t="inlineStr">
        <is>
          <t>آلمان</t>
        </is>
      </c>
      <c r="C15" s="9" t="inlineStr">
        <is>
          <t>TU Chemnitz</t>
        </is>
      </c>
      <c r="D15" s="9" t="inlineStr">
        <is>
          <t>Studentenwerk Chemnitz-Zwickau</t>
        </is>
      </c>
      <c r="E15" s="26" t="inlineStr">
        <is>
          <t>⭐⭐⭐⭐⭐ تقریباً همیشه جا هست</t>
        </is>
      </c>
      <c r="F15" s="9" t="inlineStr">
        <is>
          <t>میانگین DSW 2023: $285 (بازهٔ ≈ $230–375)</t>
        </is>
      </c>
      <c r="G15" s="9" t="inlineStr">
        <is>
          <t>WG $310 (MLP 2025) — ارزان‌ترین آلمان</t>
        </is>
      </c>
      <c r="H15" s="9" t="inlineStr">
        <is>
          <t>MLP 2025 + DSW 2023 رسمی</t>
        </is>
      </c>
      <c r="I15" s="9" t="n"/>
    </row>
    <row r="16">
      <c r="A16" s="5" t="inlineStr">
        <is>
          <t>Passau</t>
        </is>
      </c>
      <c r="B16" s="9" t="inlineStr">
        <is>
          <t>آلمان</t>
        </is>
      </c>
      <c r="C16" s="9" t="inlineStr">
        <is>
          <t>Universität Passau</t>
        </is>
      </c>
      <c r="D16" s="9" t="inlineStr">
        <is>
          <t>Studierendenwerk Niederbayern/Oberpfalz</t>
        </is>
      </c>
      <c r="E16" s="26" t="inlineStr">
        <is>
          <t>⭐⭐⭐⭐ بالا — شهر کوچک، ظرفیت نسبتاً خوب</t>
        </is>
      </c>
      <c r="F16" s="9" t="inlineStr">
        <is>
          <t>میانگین DSW 2023 (Niederbayern/Oberpfalz): $325 (بازهٔ ≈ $275–435)</t>
        </is>
      </c>
      <c r="G16" s="9" t="inlineStr">
        <is>
          <t>≈ $435–515</t>
        </is>
      </c>
      <c r="H16" s="9" t="inlineStr">
        <is>
          <t>DSW/Statista 2023 رسمی؛ WG برآورد</t>
        </is>
      </c>
      <c r="I16" s="9" t="n"/>
    </row>
    <row r="17">
      <c r="A17" s="5" t="inlineStr">
        <is>
          <t>Magdeburg</t>
        </is>
      </c>
      <c r="B17" s="9" t="inlineStr">
        <is>
          <t>آلمان</t>
        </is>
      </c>
      <c r="C17" s="9" t="inlineStr">
        <is>
          <t>OVGU</t>
        </is>
      </c>
      <c r="D17" s="9" t="inlineStr">
        <is>
          <t>Studentenwerk Magdeburg</t>
        </is>
      </c>
      <c r="E17" s="26" t="inlineStr">
        <is>
          <t>⭐⭐⭐⭐⭐ تقریباً همیشه جا هست</t>
        </is>
      </c>
      <c r="F17" s="9" t="inlineStr">
        <is>
          <t>میانگین DSW 2023: $370 — خوابگاه‌های نوساز؛ WG ($385) تقریباً هم‌قیمت خوابگاه است (بازهٔ ≈ $295–455)</t>
        </is>
      </c>
      <c r="G17" s="9" t="inlineStr">
        <is>
          <t>WG $385 (MLP 2025)</t>
        </is>
      </c>
      <c r="H17" s="9" t="inlineStr">
        <is>
          <t>MLP 2025 + DSW 2023 رسمی</t>
        </is>
      </c>
      <c r="I17" s="9" t="n"/>
    </row>
    <row r="18">
      <c r="A18" s="5" t="inlineStr">
        <is>
          <t>Köln</t>
        </is>
      </c>
      <c r="B18" s="9" t="inlineStr">
        <is>
          <t>آلمان</t>
        </is>
      </c>
      <c r="C18" s="9" t="inlineStr">
        <is>
          <t>TH Köln</t>
        </is>
      </c>
      <c r="D18" s="9" t="inlineStr">
        <is>
          <t>Kölner Studierendenwerk</t>
        </is>
      </c>
      <c r="E18" s="24" t="inlineStr">
        <is>
          <t>⭐⭐ کم — شهر بزرگ، صف طولانی</t>
        </is>
      </c>
      <c r="F18" s="9" t="inlineStr">
        <is>
          <t>میانگین DSW 2023: $345 (بازهٔ ≈ $285–480)</t>
        </is>
      </c>
      <c r="G18" s="9" t="inlineStr">
        <is>
          <t>WG $730 (MLP 2025)</t>
        </is>
      </c>
      <c r="H18" s="9" t="inlineStr">
        <is>
          <t>MLP 2025 + DSW 2023 رسمی</t>
        </is>
      </c>
      <c r="I18" s="9" t="n"/>
    </row>
    <row r="19">
      <c r="A19" s="5" t="inlineStr">
        <is>
          <t>Siegen</t>
        </is>
      </c>
      <c r="B19" s="9" t="inlineStr">
        <is>
          <t>آلمان</t>
        </is>
      </c>
      <c r="C19" s="9" t="inlineStr">
        <is>
          <t>Universität Siegen</t>
        </is>
      </c>
      <c r="D19" s="9" t="inlineStr">
        <is>
          <t>Studierendenwerk Siegen</t>
        </is>
      </c>
      <c r="E19" s="26" t="inlineStr">
        <is>
          <t>⭐⭐⭐⭐ بالا</t>
        </is>
      </c>
      <c r="F19" s="9" t="inlineStr">
        <is>
          <t>میانگین DSW 2023: $280 — ارزان‌ترین Studierendenwerk آلمان (بازهٔ ≈ $230–365)</t>
        </is>
      </c>
      <c r="G19" s="9" t="inlineStr">
        <is>
          <t>≈ $375–455</t>
        </is>
      </c>
      <c r="H19" s="9" t="inlineStr">
        <is>
          <t>DSW/Statista 2023 رسمی؛ WG برآورد</t>
        </is>
      </c>
      <c r="I19" s="9" t="n"/>
    </row>
    <row r="20">
      <c r="A20" s="5" t="inlineStr">
        <is>
          <t>Sankt Augustin</t>
        </is>
      </c>
      <c r="B20" s="9" t="inlineStr">
        <is>
          <t>آلمان</t>
        </is>
      </c>
      <c r="C20" s="9" t="inlineStr">
        <is>
          <t>H-BRS</t>
        </is>
      </c>
      <c r="D20" s="9" t="inlineStr">
        <is>
          <t>Studierendenwerk Bonn</t>
        </is>
      </c>
      <c r="E20" s="25" t="inlineStr">
        <is>
          <t>⭐⭐⭐ متوسط (منطقهٔ بن)</t>
        </is>
      </c>
      <c r="F20" s="9" t="inlineStr">
        <is>
          <t>میانگین DSW 2023 (Bonn): $380 (بازهٔ ≈ $310–480)</t>
        </is>
      </c>
      <c r="G20" s="9" t="inlineStr">
        <is>
          <t>≈ $515–595</t>
        </is>
      </c>
      <c r="H20" s="9" t="inlineStr">
        <is>
          <t>DSW/Statista 2023 رسمی؛ WG برآورد</t>
        </is>
      </c>
      <c r="I20" s="9" t="n"/>
    </row>
    <row r="21">
      <c r="A21" s="5" t="inlineStr">
        <is>
          <t>Aachen</t>
        </is>
      </c>
      <c r="B21" s="9" t="inlineStr">
        <is>
          <t>آلمان</t>
        </is>
      </c>
      <c r="C21" s="9" t="inlineStr">
        <is>
          <t>RWTH</t>
        </is>
      </c>
      <c r="D21" s="9" t="inlineStr">
        <is>
          <t>Studierendenwerk Aachen</t>
        </is>
      </c>
      <c r="E21" s="25" t="inlineStr">
        <is>
          <t>⭐⭐⭐ متوسط — ۱–۲ ترم انتظار رایج</t>
        </is>
      </c>
      <c r="F21" s="9" t="inlineStr">
        <is>
          <t>میانگین DSW 2023: $290 (بازهٔ ≈ $250–410)</t>
        </is>
      </c>
      <c r="G21" s="9" t="inlineStr">
        <is>
          <t>WG $550 (MLP 2025)</t>
        </is>
      </c>
      <c r="H21" s="9" t="inlineStr">
        <is>
          <t>MLP 2025 + DSW 2023 رسمی</t>
        </is>
      </c>
      <c r="I21" s="9" t="n"/>
    </row>
    <row r="22">
      <c r="A22" s="5" t="inlineStr">
        <is>
          <t>Tübingen</t>
        </is>
      </c>
      <c r="B22" s="9" t="inlineStr">
        <is>
          <t>آلمان</t>
        </is>
      </c>
      <c r="C22" s="9" t="inlineStr">
        <is>
          <t>Universität Tübingen</t>
        </is>
      </c>
      <c r="D22" s="9" t="inlineStr">
        <is>
          <t>Studierendenwerk Tübingen-Hohenheim</t>
        </is>
      </c>
      <c r="E22" s="25" t="inlineStr">
        <is>
          <t>⭐⭐⭐ متوسط — شهر کوچک و پرتقاضا</t>
        </is>
      </c>
      <c r="F22" s="9" t="inlineStr">
        <is>
          <t>میانگین DSW 2023: $310 (بازهٔ ≈ $260–435)</t>
        </is>
      </c>
      <c r="G22" s="9" t="inlineStr">
        <is>
          <t>WG $530 (MLP 2025)</t>
        </is>
      </c>
      <c r="H22" s="9" t="inlineStr">
        <is>
          <t>MLP 2025 + DSW 2023 رسمی</t>
        </is>
      </c>
      <c r="I22" s="9" t="n"/>
    </row>
    <row r="23">
      <c r="A23" s="5" t="inlineStr">
        <is>
          <t>München</t>
        </is>
      </c>
      <c r="B23" s="9" t="inlineStr">
        <is>
          <t>آلمان</t>
        </is>
      </c>
      <c r="C23" s="9" t="inlineStr">
        <is>
          <t>TUM / LMU</t>
        </is>
      </c>
      <c r="D23" s="9" t="inlineStr">
        <is>
          <t>Studierendenwerk München</t>
        </is>
      </c>
      <c r="E23" s="24" t="inlineStr">
        <is>
          <t>⭐ خیلی کم — انتظار ۲–۴ ترم</t>
        </is>
      </c>
      <c r="F23" s="9" t="inlineStr">
        <is>
          <t>میانگین DSW 2023: $395 (بازهٔ ≈ $340–570)</t>
        </is>
      </c>
      <c r="G23" s="9" t="inlineStr">
        <is>
          <t>WG $900 (MLP 2025) — گران‌ترین آلمان</t>
        </is>
      </c>
      <c r="H23" s="9" t="inlineStr">
        <is>
          <t>MLP 2025 + DSW 2023 رسمی</t>
        </is>
      </c>
      <c r="I23" s="9" t="n"/>
    </row>
    <row r="24">
      <c r="A24" s="5" t="inlineStr">
        <is>
          <t>Enschede</t>
        </is>
      </c>
      <c r="B24" s="9" t="inlineStr">
        <is>
          <t>هلند</t>
        </is>
      </c>
      <c r="C24" s="9" t="inlineStr">
        <is>
          <t>University of Twente</t>
        </is>
      </c>
      <c r="D24" s="9" t="inlineStr">
        <is>
          <t>Roomspot / کمپوس UT</t>
        </is>
      </c>
      <c r="E24" s="26" t="inlineStr">
        <is>
          <t>⭐⭐⭐⭐ بالا — پیشنهاد برای دانشجویان ویزایی (اول‌آمده)؛ خارج از فهرست شهرهای پرفشار Kences</t>
        </is>
      </c>
      <c r="F24" s="9" t="inlineStr">
        <is>
          <t>$340–910 (UT)</t>
        </is>
      </c>
      <c r="G24" s="9" t="inlineStr">
        <is>
          <t>≈ $455 میانگین (Kamernet Q1 2025) — ارزان‌ترین هلند</t>
        </is>
      </c>
      <c r="H24" s="9" t="inlineStr">
        <is>
          <t>رسمی/ثانویه</t>
        </is>
      </c>
      <c r="I24" s="9" t="n"/>
    </row>
    <row r="25">
      <c r="A25" s="5" t="inlineStr">
        <is>
          <t>Nijmegen</t>
        </is>
      </c>
      <c r="B25" s="9" t="inlineStr">
        <is>
          <t>هلند</t>
        </is>
      </c>
      <c r="C25" s="9" t="inlineStr">
        <is>
          <t>Radboud</t>
        </is>
      </c>
      <c r="D25" s="9" t="inlineStr">
        <is>
          <t>میانجی‌گری Radboud + SSH&amp;</t>
        </is>
      </c>
      <c r="E25" s="25" t="inlineStr">
        <is>
          <t>⭐⭐⭐ متوسط — فرم PAS تا ۱ ژوئن، پیشنهاد می–ژوئیه، بدون تضمین؛ Kences: فشار بالا</t>
        </is>
      </c>
      <c r="F25" s="9" t="inlineStr">
        <is>
          <t>$420–740 مبله</t>
        </is>
      </c>
      <c r="G25" s="9" t="inlineStr">
        <is>
          <t>≈ $570–740</t>
        </is>
      </c>
      <c r="H25" s="9" t="inlineStr">
        <is>
          <t>رسمی (ru.nl)</t>
        </is>
      </c>
      <c r="I25" s="9" t="n"/>
    </row>
    <row r="26">
      <c r="A26" s="5" t="inlineStr">
        <is>
          <t>Leiden</t>
        </is>
      </c>
      <c r="B26" s="9" t="inlineStr">
        <is>
          <t>هلند</t>
        </is>
      </c>
      <c r="C26" s="9" t="inlineStr">
        <is>
          <t>Leiden University</t>
        </is>
      </c>
      <c r="D26" s="9" t="inlineStr">
        <is>
          <t>DUWO (اتاق‌های رزروشده، قرعه)</t>
        </is>
      </c>
      <c r="E26" s="24" t="inlineStr">
        <is>
          <t>⭐⭐ کم — فشار بالا (Kences)؛ اجاره ۱۸٪ در یک سال بالا رفت</t>
        </is>
      </c>
      <c r="F26" s="9" t="inlineStr">
        <is>
          <t>≈ $570–910</t>
        </is>
      </c>
      <c r="G26" s="9" t="inlineStr">
        <is>
          <t>≈ $685–1,030</t>
        </is>
      </c>
      <c r="H26" s="9" t="inlineStr">
        <is>
          <t>برآورد + Kences/Kamernet</t>
        </is>
      </c>
      <c r="I26" s="9" t="n"/>
    </row>
    <row r="27">
      <c r="A27" s="5" t="inlineStr">
        <is>
          <t>Groningen</t>
        </is>
      </c>
      <c r="B27" s="9" t="inlineStr">
        <is>
          <t>هلند</t>
        </is>
      </c>
      <c r="C27" s="9" t="inlineStr">
        <is>
          <t>University of Groningen</t>
        </is>
      </c>
      <c r="D27" s="9" t="inlineStr">
        <is>
          <t>SSH Short Stay (رزرو)</t>
        </is>
      </c>
      <c r="E27" s="25" t="inlineStr">
        <is>
          <t>⭐⭐⭐ متوسط — «میانهٔ جدول» Kences</t>
        </is>
      </c>
      <c r="F27" s="9" t="inlineStr">
        <is>
          <t>≈ $515–800</t>
        </is>
      </c>
      <c r="G27" s="9" t="inlineStr">
        <is>
          <t>$585 میانگین (Kences)</t>
        </is>
      </c>
      <c r="H27" s="9" t="inlineStr">
        <is>
          <t>Kences رسمی</t>
        </is>
      </c>
      <c r="I27" s="9" t="n"/>
    </row>
    <row r="28">
      <c r="A28" s="5" t="inlineStr">
        <is>
          <t>Utrecht</t>
        </is>
      </c>
      <c r="B28" s="9" t="inlineStr">
        <is>
          <t>هلند</t>
        </is>
      </c>
      <c r="C28" s="9" t="inlineStr">
        <is>
          <t>Utrecht University</t>
        </is>
      </c>
      <c r="D28" s="9" t="inlineStr">
        <is>
          <t>استودیوهای رزروشده (Plaza/SSH)</t>
        </is>
      </c>
      <c r="E28" s="24" t="inlineStr">
        <is>
          <t>⭐ خیلی کم — بیشترین فشار هلند (Kences نوامبر ۲۰۲۵)؛ رزروها ۲۸ می ۲۰۲۶ تمام شد</t>
        </is>
      </c>
      <c r="F28" s="9" t="inlineStr">
        <is>
          <t>$990 با قبوض (رزروشده)</t>
        </is>
      </c>
      <c r="G28" s="9" t="inlineStr">
        <is>
          <t>≈ $685–1,030</t>
        </is>
      </c>
      <c r="H28" s="9" t="inlineStr">
        <is>
          <t>رسمی (uu.nl)</t>
        </is>
      </c>
      <c r="I28" s="9" t="n"/>
    </row>
    <row r="29">
      <c r="A29" s="5" t="inlineStr">
        <is>
          <t>Amsterdam</t>
        </is>
      </c>
      <c r="B29" s="9" t="inlineStr">
        <is>
          <t>هلند</t>
        </is>
      </c>
      <c r="C29" s="9" t="inlineStr">
        <is>
          <t>UvA / VU</t>
        </is>
      </c>
      <c r="D29" s="9" t="inlineStr">
        <is>
          <t>اتاق‌های رزروشده (قرعه؛ فقط سال اول)</t>
        </is>
      </c>
      <c r="E29" s="24" t="inlineStr">
        <is>
          <t>⭐ خیلی کم — بدترین بازار هلند</t>
        </is>
      </c>
      <c r="F29" s="9" t="inlineStr">
        <is>
          <t>≈ $740–1,140</t>
        </is>
      </c>
      <c r="G29" s="9" t="inlineStr">
        <is>
          <t>≈ $740 (Kences) تا $1,120 (Kamernet)</t>
        </is>
      </c>
      <c r="H29" s="9" t="inlineStr">
        <is>
          <t>Kences/Kamernet</t>
        </is>
      </c>
      <c r="I29" s="9" t="n"/>
    </row>
    <row r="30">
      <c r="A30" s="5" t="inlineStr">
        <is>
          <t>Eindhoven</t>
        </is>
      </c>
      <c r="B30" s="9" t="inlineStr">
        <is>
          <t>هلند</t>
        </is>
      </c>
      <c r="C30" s="9" t="inlineStr">
        <is>
          <t>TU/e</t>
        </is>
      </c>
      <c r="D30" s="9" t="inlineStr">
        <is>
          <t>Vestide / Holland2Stay (محدود)</t>
        </is>
      </c>
      <c r="E30" s="24" t="inlineStr">
        <is>
          <t>⭐⭐ کم — فشار بالا (Kences)</t>
        </is>
      </c>
      <c r="F30" s="9" t="inlineStr">
        <is>
          <t>≈ $570–910</t>
        </is>
      </c>
      <c r="G30" s="9" t="inlineStr">
        <is>
          <t>≈ $625–910</t>
        </is>
      </c>
      <c r="H30" s="9" t="inlineStr">
        <is>
          <t>برآورد + Kences</t>
        </is>
      </c>
      <c r="I30" s="9" t="n"/>
    </row>
    <row r="31">
      <c r="A31" s="5" t="inlineStr">
        <is>
          <t>Delft</t>
        </is>
      </c>
      <c r="B31" s="9" t="inlineStr">
        <is>
          <t>هلند</t>
        </is>
      </c>
      <c r="C31" s="9" t="inlineStr">
        <is>
          <t>TU Delft</t>
        </is>
      </c>
      <c r="D31" s="9" t="inlineStr">
        <is>
          <t>DUWO (رزرو، قرعه)</t>
        </is>
      </c>
      <c r="E31" s="24" t="inlineStr">
        <is>
          <t>⭐⭐ کم — فشار بالا؛ برنامهٔ ۳,۵۰۰ اتاق شهر شکست خورد (۲۷۹ ساخته شد)</t>
        </is>
      </c>
      <c r="F31" s="9" t="inlineStr">
        <is>
          <t>≈ $570–910</t>
        </is>
      </c>
      <c r="G31" s="9" t="inlineStr">
        <is>
          <t>≈ $685–1,030</t>
        </is>
      </c>
      <c r="H31" s="9" t="inlineStr">
        <is>
          <t>Kences/Delta</t>
        </is>
      </c>
      <c r="I31" s="9" t="n"/>
    </row>
    <row r="32">
      <c r="A32" s="5" t="inlineStr">
        <is>
          <t>Breda</t>
        </is>
      </c>
      <c r="B32" s="9" t="inlineStr">
        <is>
          <t>هلند</t>
        </is>
      </c>
      <c r="C32" s="9" t="inlineStr">
        <is>
          <t>BUas</t>
        </is>
      </c>
      <c r="D32" s="9" t="inlineStr">
        <is>
          <t>معرفی BUas + بازار</t>
        </is>
      </c>
      <c r="E32" s="25" t="inlineStr">
        <is>
          <t>⭐⭐⭐ متوسط</t>
        </is>
      </c>
      <c r="F32" s="9" t="inlineStr">
        <is>
          <t>≈ $515–740</t>
        </is>
      </c>
      <c r="G32" s="9" t="inlineStr">
        <is>
          <t>≈ $570–740</t>
        </is>
      </c>
      <c r="H32" s="9" t="inlineStr">
        <is>
          <t>برآورد</t>
        </is>
      </c>
      <c r="I32" s="9" t="n"/>
    </row>
    <row r="33">
      <c r="A33" s="5" t="inlineStr">
        <is>
          <t>Linköping</t>
        </is>
      </c>
      <c r="B33" s="9" t="inlineStr">
        <is>
          <t>سوئد</t>
        </is>
      </c>
      <c r="C33" s="9" t="inlineStr">
        <is>
          <t>LiU</t>
        </is>
      </c>
      <c r="D33" s="9" t="inlineStr">
        <is>
          <t>Studentbostäder + یک پیشنهاد LiU برای شهریه‌پردازها</t>
        </is>
      </c>
      <c r="E33" s="26" t="inlineStr">
        <is>
          <t>⭐⭐⭐⭐⭐ — SFS «سبز» ۲۰۲۴ و ۲۰۲۵ + پیشنهاد دانشگاه</t>
        </is>
      </c>
      <c r="F33" s="9" t="inlineStr">
        <is>
          <t>$355–555</t>
        </is>
      </c>
      <c r="G33" s="9" t="inlineStr">
        <is>
          <t>$505–705</t>
        </is>
      </c>
      <c r="H33" s="9" t="inlineStr">
        <is>
          <t>SFS رسمی؛ liu.se</t>
        </is>
      </c>
      <c r="I33" s="9" t="n"/>
    </row>
    <row r="34">
      <c r="A34" s="5" t="inlineStr">
        <is>
          <t>Halmstad</t>
        </is>
      </c>
      <c r="B34" s="9" t="inlineStr">
        <is>
          <t>سوئد</t>
        </is>
      </c>
      <c r="C34" s="9" t="inlineStr">
        <is>
          <t>Halmstad University</t>
        </is>
      </c>
      <c r="D34" s="9" t="inlineStr">
        <is>
          <t>شرکت‌های شهری؛ دانشگاه «تضمین نمی‌کند»</t>
        </is>
      </c>
      <c r="E34" s="24" t="inlineStr">
        <is>
          <t>⭐⭐ کم — SFS «قرمز» ۲۰۲۳ و ۲۰۲۴</t>
        </is>
      </c>
      <c r="F34" s="9" t="inlineStr">
        <is>
          <t>$355–555</t>
        </is>
      </c>
      <c r="G34" s="9" t="inlineStr">
        <is>
          <t>$505–705</t>
        </is>
      </c>
      <c r="H34" s="9" t="inlineStr">
        <is>
          <t>SFS رسمی؛ hh.se</t>
        </is>
      </c>
      <c r="I34" s="9" t="n"/>
    </row>
    <row r="35">
      <c r="A35" s="5" t="inlineStr">
        <is>
          <t>Karlskrona</t>
        </is>
      </c>
      <c r="B35" s="9" t="inlineStr">
        <is>
          <t>سوئد</t>
        </is>
      </c>
      <c r="C35" s="9" t="inlineStr">
        <is>
          <t>BTH</t>
        </is>
      </c>
      <c r="D35" s="9" t="inlineStr">
        <is>
          <t>Karlskronahem + معرفی BTH</t>
        </is>
      </c>
      <c r="E35" s="26" t="inlineStr">
        <is>
          <t>⭐⭐⭐⭐ بالا — SFS «سبز» ۲۰۲۴ (زرد ۲۰۲۳)</t>
        </is>
      </c>
      <c r="F35" s="9" t="inlineStr">
        <is>
          <t>$355–505</t>
        </is>
      </c>
      <c r="G35" s="9" t="inlineStr">
        <is>
          <t>$455–655</t>
        </is>
      </c>
      <c r="H35" s="9" t="inlineStr">
        <is>
          <t>SFS رسمی</t>
        </is>
      </c>
      <c r="I35" s="9" t="n"/>
    </row>
    <row r="36">
      <c r="A36" s="5" t="inlineStr">
        <is>
          <t>Stockholm / Kista</t>
        </is>
      </c>
      <c r="B36" s="9" t="inlineStr">
        <is>
          <t>سوئد</t>
        </is>
      </c>
      <c r="C36" s="9" t="inlineStr">
        <is>
          <t>KTH</t>
        </is>
      </c>
      <c r="D36" s="9" t="inlineStr">
        <is>
          <t>SSSB (صف) + KTH Accommodation (محدود، بدون تضمین)</t>
        </is>
      </c>
      <c r="E36" s="24" t="inlineStr">
        <is>
          <t>⭐ خیلی کم — SFS «قرمز» هر سال؛ صف SSSB ۶–۱۸ ماه</t>
        </is>
      </c>
      <c r="F36" s="9" t="inlineStr">
        <is>
          <t>$455–810</t>
        </is>
      </c>
      <c r="G36" s="9" t="inlineStr">
        <is>
          <t>$705–1,110</t>
        </is>
      </c>
      <c r="H36" s="9" t="inlineStr">
        <is>
          <t>SFS رسمی؛ su.se</t>
        </is>
      </c>
      <c r="I36" s="9" t="n"/>
    </row>
    <row r="37">
      <c r="A37" s="5" t="inlineStr">
        <is>
          <t>Gothenburg</t>
        </is>
      </c>
      <c r="B37" s="9" t="inlineStr">
        <is>
          <t>سوئد</t>
        </is>
      </c>
      <c r="C37" s="9" t="inlineStr">
        <is>
          <t>Chalmers / GU</t>
        </is>
      </c>
      <c r="D37" s="9" t="inlineStr">
        <is>
          <t>SGS (اولویت شهریه‌پردازهای Chalmers — چک شود)</t>
        </is>
      </c>
      <c r="E37" s="24" t="inlineStr">
        <is>
          <t>⭐⭐ کم — SFS «قرمز» هر سال</t>
        </is>
      </c>
      <c r="F37" s="9" t="inlineStr">
        <is>
          <t>$405–655</t>
        </is>
      </c>
      <c r="G37" s="9" t="inlineStr">
        <is>
          <t>$605–910</t>
        </is>
      </c>
      <c r="H37" s="9" t="inlineStr">
        <is>
          <t>SFS رسمی</t>
        </is>
      </c>
      <c r="I37" s="9" t="n"/>
    </row>
    <row r="38">
      <c r="A38" s="5" t="inlineStr">
        <is>
          <t>Uppsala</t>
        </is>
      </c>
      <c r="B38" s="9" t="inlineStr">
        <is>
          <t>سوئد</t>
        </is>
      </c>
      <c r="C38" s="9" t="inlineStr">
        <is>
          <t>Uppsala University</t>
        </is>
      </c>
      <c r="D38" s="9" t="inlineStr">
        <is>
          <t>Housing Office دانشگاه</t>
        </is>
      </c>
      <c r="E38" s="26" t="inlineStr">
        <is>
          <t>⭐⭐⭐⭐⭐ برای شهریه‌پردازها (تضمین رسمی) — با اینکه SFS شهر را «قرمز» می‌داند</t>
        </is>
      </c>
      <c r="F38" s="9" t="inlineStr">
        <is>
          <t>$355–615</t>
        </is>
      </c>
      <c r="G38" s="9" t="inlineStr">
        <is>
          <t>$605–860</t>
        </is>
      </c>
      <c r="H38" s="9" t="inlineStr">
        <is>
          <t>uu.se رسمی؛ SFS</t>
        </is>
      </c>
      <c r="I38" s="9" t="n"/>
    </row>
    <row r="39">
      <c r="A39" s="5" t="inlineStr">
        <is>
          <t>Umeå</t>
        </is>
      </c>
      <c r="B39" s="9" t="inlineStr">
        <is>
          <t>سوئد</t>
        </is>
      </c>
      <c r="C39" s="9" t="inlineStr">
        <is>
          <t>Umeå University</t>
        </is>
      </c>
      <c r="D39" s="9" t="inlineStr">
        <is>
          <t>Bostaden (صف) + پیشنهاد دانشگاه به شهریه‌پردازها (چک شود)</t>
        </is>
      </c>
      <c r="E39" s="25" t="inlineStr">
        <is>
          <t>⭐⭐⭐ متوسط — SFS «قرمز» ۲۰۲۴، «زرد» ۲۰۲۳</t>
        </is>
      </c>
      <c r="F39" s="9" t="inlineStr">
        <is>
          <t>$355–555</t>
        </is>
      </c>
      <c r="G39" s="9" t="inlineStr">
        <is>
          <t>$505–705</t>
        </is>
      </c>
      <c r="H39" s="9" t="inlineStr">
        <is>
          <t>SFS رسمی</t>
        </is>
      </c>
      <c r="I39" s="9" t="n"/>
    </row>
    <row r="40">
      <c r="A40" s="5" t="inlineStr">
        <is>
          <t>Skövde</t>
        </is>
      </c>
      <c r="B40" s="9" t="inlineStr">
        <is>
          <t>سوئد</t>
        </is>
      </c>
      <c r="C40" s="9" t="inlineStr">
        <is>
          <t>University of Skövde</t>
        </is>
      </c>
      <c r="D40" s="9" t="inlineStr">
        <is>
          <t>Skövdebostäder</t>
        </is>
      </c>
      <c r="E40" s="26" t="inlineStr">
        <is>
          <t>⭐⭐⭐⭐ بالا — SFS «سبز» ۲۰۲۴ (قرمز ۲۰۲۳؛ ولی اتاق موقت همیشه آسان)</t>
        </is>
      </c>
      <c r="F40" s="9" t="inlineStr">
        <is>
          <t>$335–485</t>
        </is>
      </c>
      <c r="G40" s="9" t="inlineStr">
        <is>
          <t>$455–605</t>
        </is>
      </c>
      <c r="H40" s="9" t="inlineStr">
        <is>
          <t>SFS رسمی</t>
        </is>
      </c>
      <c r="I40" s="9" t="n"/>
    </row>
    <row r="41">
      <c r="A41" s="5" t="inlineStr">
        <is>
          <t>Västerås</t>
        </is>
      </c>
      <c r="B41" s="9" t="inlineStr">
        <is>
          <t>سوئد</t>
        </is>
      </c>
      <c r="C41" s="9" t="inlineStr">
        <is>
          <t>MDU</t>
        </is>
      </c>
      <c r="D41" s="9" t="inlineStr">
        <is>
          <t>Bostad Västerås + تضمین شهرداری برای دانشجویان جدید</t>
        </is>
      </c>
      <c r="E41" s="26" t="inlineStr">
        <is>
          <t>⭐⭐⭐⭐⭐ — SFS «سبز» هر سال؛ تضمین شهری</t>
        </is>
      </c>
      <c r="F41" s="9" t="inlineStr">
        <is>
          <t>$355–555</t>
        </is>
      </c>
      <c r="G41" s="9" t="inlineStr">
        <is>
          <t>$505–705</t>
        </is>
      </c>
      <c r="H41" s="9" t="inlineStr">
        <is>
          <t>SFS رسمی</t>
        </is>
      </c>
      <c r="I41" s="9" t="n"/>
    </row>
    <row r="42">
      <c r="A42" s="5" t="inlineStr">
        <is>
          <t>Aalborg</t>
        </is>
      </c>
      <c r="B42" s="9" t="inlineStr">
        <is>
          <t>دانمارک</t>
        </is>
      </c>
      <c r="C42" s="9" t="inlineStr">
        <is>
          <t>AAU</t>
        </is>
      </c>
      <c r="D42" s="9" t="inlineStr">
        <is>
          <t>International Accommodation Office (۲۲۰+ واحد مبله)</t>
        </is>
      </c>
      <c r="E42" s="26" t="inlineStr">
        <is>
          <t>⭐⭐⭐⭐⭐ «تقریباً ۱۰۰٪»</t>
        </is>
      </c>
      <c r="F42" s="9" t="inlineStr">
        <is>
          <t>$490–720 با اینترنت/آب/گرمایش/برق</t>
        </is>
      </c>
      <c r="G42" s="9" t="inlineStr">
        <is>
          <t>$535–765</t>
        </is>
      </c>
      <c r="H42" s="9" t="inlineStr">
        <is>
          <t>AAU رسمی/ثانویه</t>
        </is>
      </c>
      <c r="I42" s="9" t="n"/>
    </row>
    <row r="43">
      <c r="A43" s="5" t="inlineStr">
        <is>
          <t>Copenhagen (AAU CPH، ITU، KU)</t>
        </is>
      </c>
      <c r="B43" s="9" t="inlineStr">
        <is>
          <t>دانمارک</t>
        </is>
      </c>
      <c r="C43" s="9" t="inlineStr">
        <is>
          <t>AAU Copenhagen / ITU</t>
        </is>
      </c>
      <c r="D43" s="9" t="inlineStr">
        <is>
          <t>راهنمایی؛ KKIK/CIU؛ خوابگاه خصوصی</t>
        </is>
      </c>
      <c r="E43" s="24" t="inlineStr">
        <is>
          <t>⭐ خیلی کم — خود AAU: «سخت‌ترین بازار اروپا»، بدون تضمین</t>
        </is>
      </c>
      <c r="F43" s="9" t="inlineStr">
        <is>
          <t>$535–915 (KKIK/CIU) · $765–1,370 خوابگاه خصوصی</t>
        </is>
      </c>
      <c r="G43" s="9" t="inlineStr">
        <is>
          <t>$915–1,370 (آپارتمان از $1,070)</t>
        </is>
      </c>
      <c r="H43" s="9" t="inlineStr">
        <is>
          <t>en.aau.dk رسمی</t>
        </is>
      </c>
      <c r="I43" s="9" t="n"/>
    </row>
    <row r="44">
      <c r="A44" s="5" t="inlineStr">
        <is>
          <t>Lyngby</t>
        </is>
      </c>
      <c r="B44" s="9" t="inlineStr">
        <is>
          <t>دانمارک</t>
        </is>
      </c>
      <c r="C44" s="9" t="inlineStr">
        <is>
          <t>DTU</t>
        </is>
      </c>
      <c r="D44" s="9" t="inlineStr">
        <is>
          <t>DTU Housing (Campus Village محدود)</t>
        </is>
      </c>
      <c r="E44" s="24" t="inlineStr">
        <is>
          <t>⭐⭐ کم</t>
        </is>
      </c>
      <c r="F44" s="9" t="inlineStr">
        <is>
          <t>≈ $610–990</t>
        </is>
      </c>
      <c r="G44" s="9" t="inlineStr">
        <is>
          <t>≈ $915–1,300</t>
        </is>
      </c>
      <c r="H44" s="9" t="inlineStr">
        <is>
          <t>برآورد</t>
        </is>
      </c>
      <c r="I44" s="9" t="n"/>
    </row>
    <row r="45">
      <c r="A45" s="5" t="inlineStr">
        <is>
          <t>Odense</t>
        </is>
      </c>
      <c r="B45" s="9" t="inlineStr">
        <is>
          <t>دانمارک</t>
        </is>
      </c>
      <c r="C45" s="9" t="inlineStr">
        <is>
          <t>SDU</t>
        </is>
      </c>
      <c r="D45" s="9" t="inlineStr">
        <is>
          <t>SDU Housing + kollegium</t>
        </is>
      </c>
      <c r="E45" s="26" t="inlineStr">
        <is>
          <t>⭐⭐⭐⭐ بالا — کمک فعال، ظرفیت خوب</t>
        </is>
      </c>
      <c r="F45" s="9" t="inlineStr">
        <is>
          <t>≈ $535–840</t>
        </is>
      </c>
      <c r="G45" s="9" t="inlineStr">
        <is>
          <t>≈ $610–915</t>
        </is>
      </c>
      <c r="H45" s="9" t="inlineStr">
        <is>
          <t>برآورد</t>
        </is>
      </c>
      <c r="I45" s="9" t="n"/>
    </row>
    <row r="46">
      <c r="A46" s="5" t="inlineStr">
        <is>
          <t>Kolding</t>
        </is>
      </c>
      <c r="B46" s="9" t="inlineStr">
        <is>
          <t>دانمارک</t>
        </is>
      </c>
      <c r="C46" s="9" t="inlineStr">
        <is>
          <t>SDU Kolding</t>
        </is>
      </c>
      <c r="D46" s="9" t="inlineStr">
        <is>
          <t>SDU Housing</t>
        </is>
      </c>
      <c r="E46" s="26" t="inlineStr">
        <is>
          <t>⭐⭐⭐⭐ بالا</t>
        </is>
      </c>
      <c r="F46" s="9" t="inlineStr">
        <is>
          <t>≈ $460–685</t>
        </is>
      </c>
      <c r="G46" s="9" t="inlineStr">
        <is>
          <t>≈ $535–840</t>
        </is>
      </c>
      <c r="H46" s="9" t="inlineStr">
        <is>
          <t>برآورد</t>
        </is>
      </c>
      <c r="I46" s="9" t="n"/>
    </row>
    <row r="47">
      <c r="A47" s="5" t="inlineStr">
        <is>
          <t>Aarhus</t>
        </is>
      </c>
      <c r="B47" s="9" t="inlineStr">
        <is>
          <t>دانمارک</t>
        </is>
      </c>
      <c r="C47" s="9" t="inlineStr">
        <is>
          <t>Aarhus University</t>
        </is>
      </c>
      <c r="D47" s="9" t="inlineStr">
        <is>
          <t>AU Housing (پیشنهاد به بین‌المللی‌ها)</t>
        </is>
      </c>
      <c r="E47" s="25" t="inlineStr">
        <is>
          <t>⭐⭐⭐ متوسط — بازار تنگ ولی دانشگاه پیشنهاد می‌دهد</t>
        </is>
      </c>
      <c r="F47" s="9" t="inlineStr">
        <is>
          <t>≈ $535–915</t>
        </is>
      </c>
      <c r="G47" s="9" t="inlineStr">
        <is>
          <t>≈ $765–1,150</t>
        </is>
      </c>
      <c r="H47" s="9" t="inlineStr">
        <is>
          <t>برآورد</t>
        </is>
      </c>
      <c r="I47" s="9" t="n"/>
    </row>
    <row r="48">
      <c r="A48" s="5" t="inlineStr">
        <is>
          <t>Zürich</t>
        </is>
      </c>
      <c r="B48" s="9" t="inlineStr">
        <is>
          <t>سوئیس</t>
        </is>
      </c>
      <c r="C48" s="9" t="inlineStr">
        <is>
          <t>ETH، UZH</t>
        </is>
      </c>
      <c r="D48" s="9" t="inlineStr">
        <is>
          <t>WOKO، Juwo (تعاونی)</t>
        </is>
      </c>
      <c r="E48" s="24" t="inlineStr">
        <is>
          <t>⭐ خیلی کم — لیست انتظار ۳–۱۲ ماه؛ روز پذیرش ثبت‌نام کنید</t>
        </is>
      </c>
      <c r="F48" s="9" t="inlineStr">
        <is>
          <t>WOKO $355–1,430 بسته به ساختمان (اکثر $545–1,030؛ میانگین آگهی‌ها ≈ $910)</t>
        </is>
      </c>
      <c r="G48" s="9" t="inlineStr">
        <is>
          <t>$845–1,450</t>
        </is>
      </c>
      <c r="H48" s="9" t="inlineStr">
        <is>
          <t>woko.ch رسمی (فهرست ساختمان‌ها)</t>
        </is>
      </c>
      <c r="I48" s="9" t="n"/>
    </row>
    <row r="49">
      <c r="A49" s="5" t="inlineStr">
        <is>
          <t>Winterthur</t>
        </is>
      </c>
      <c r="B49" s="9" t="inlineStr">
        <is>
          <t>سوئیس</t>
        </is>
      </c>
      <c r="C49" s="9" t="inlineStr">
        <is>
          <t>ZHAW</t>
        </is>
      </c>
      <c r="D49" s="9" t="inlineStr">
        <is>
          <t>WOKO Winterthur / بازار</t>
        </is>
      </c>
      <c r="E49" s="24" t="inlineStr">
        <is>
          <t>⭐⭐ کم — کمی بهتر از زوریخ</t>
        </is>
      </c>
      <c r="F49" s="9" t="inlineStr">
        <is>
          <t>≈ $605–970</t>
        </is>
      </c>
      <c r="G49" s="9" t="inlineStr">
        <is>
          <t>$785–1,210</t>
        </is>
      </c>
      <c r="H49" s="9" t="inlineStr">
        <is>
          <t>برآورد</t>
        </is>
      </c>
      <c r="I49" s="9" t="n"/>
    </row>
    <row r="50">
      <c r="A50" s="5" t="inlineStr">
        <is>
          <t>Lausanne</t>
        </is>
      </c>
      <c r="B50" s="9" t="inlineStr">
        <is>
          <t>سوئیس</t>
        </is>
      </c>
      <c r="C50" s="9" t="inlineStr">
        <is>
          <t>EPFL</t>
        </is>
      </c>
      <c r="D50" s="9" t="inlineStr">
        <is>
          <t>FMEL</t>
        </is>
      </c>
      <c r="E50" s="24" t="inlineStr">
        <is>
          <t>⭐⭐ کم — زود پر می‌شود؛ بلافاصله بعد از پذیرش دور اول</t>
        </is>
      </c>
      <c r="F50" s="9" t="inlineStr">
        <is>
          <t>≈ $605–1,090</t>
        </is>
      </c>
      <c r="G50" s="9" t="inlineStr">
        <is>
          <t>$845–1,210</t>
        </is>
      </c>
      <c r="H50" s="9" t="inlineStr">
        <is>
          <t>برآورد</t>
        </is>
      </c>
      <c r="I50" s="9" t="n"/>
    </row>
    <row r="51">
      <c r="A51" s="5" t="inlineStr">
        <is>
          <t>Bern</t>
        </is>
      </c>
      <c r="B51" s="9" t="inlineStr">
        <is>
          <t>سوئیس</t>
        </is>
      </c>
      <c r="C51" s="9" t="inlineStr">
        <is>
          <t>University of Bern</t>
        </is>
      </c>
      <c r="D51" s="9" t="inlineStr">
        <is>
          <t>StuWo Bern / بازار</t>
        </is>
      </c>
      <c r="E51" s="25" t="inlineStr">
        <is>
          <t>⭐⭐⭐ متوسط</t>
        </is>
      </c>
      <c r="F51" s="9" t="inlineStr">
        <is>
          <t>≈ $605–910</t>
        </is>
      </c>
      <c r="G51" s="9" t="inlineStr">
        <is>
          <t>$785–1,090</t>
        </is>
      </c>
      <c r="H51" s="9" t="inlineStr">
        <is>
          <t>برآورد</t>
        </is>
      </c>
      <c r="I51" s="9" t="n"/>
    </row>
    <row r="52">
      <c r="A52" s="5" t="inlineStr">
        <is>
          <t>Basel</t>
        </is>
      </c>
      <c r="B52" s="9" t="inlineStr">
        <is>
          <t>سوئیس</t>
        </is>
      </c>
      <c r="C52" s="9" t="inlineStr">
        <is>
          <t>University of Basel</t>
        </is>
      </c>
      <c r="D52" s="9" t="inlineStr">
        <is>
          <t>WoVe Basel / بازار</t>
        </is>
      </c>
      <c r="E52" s="25" t="inlineStr">
        <is>
          <t>⭐⭐⭐ متوسط</t>
        </is>
      </c>
      <c r="F52" s="9" t="inlineStr">
        <is>
          <t>≈ $605–970</t>
        </is>
      </c>
      <c r="G52" s="9" t="inlineStr">
        <is>
          <t>$785–1,150</t>
        </is>
      </c>
      <c r="H52" s="9" t="inlineStr">
        <is>
          <t>برآورد</t>
        </is>
      </c>
      <c r="I52" s="9" t="n"/>
    </row>
    <row r="53">
      <c r="A53" s="5" t="inlineStr">
        <is>
          <t>Fribourg</t>
        </is>
      </c>
      <c r="B53" s="9" t="inlineStr">
        <is>
          <t>سوئیس</t>
        </is>
      </c>
      <c r="C53" s="9" t="inlineStr">
        <is>
          <t>University of Fribourg</t>
        </is>
      </c>
      <c r="D53" s="9" t="inlineStr">
        <is>
          <t>Apartis / معرفی دانشگاه</t>
        </is>
      </c>
      <c r="E53" s="26" t="inlineStr">
        <is>
          <t>⭐⭐⭐⭐ بالا</t>
        </is>
      </c>
      <c r="F53" s="9" t="inlineStr">
        <is>
          <t>≈ $545–845</t>
        </is>
      </c>
      <c r="G53" s="9" t="inlineStr">
        <is>
          <t>$725–970</t>
        </is>
      </c>
      <c r="H53" s="9" t="inlineStr">
        <is>
          <t>برآورد</t>
        </is>
      </c>
      <c r="I53" s="9" t="n"/>
    </row>
    <row r="54">
      <c r="A54" s="5" t="inlineStr">
        <is>
          <t>Neuchâtel</t>
        </is>
      </c>
      <c r="B54" s="9" t="inlineStr">
        <is>
          <t>سوئیس</t>
        </is>
      </c>
      <c r="C54" s="9" t="inlineStr">
        <is>
          <t>University of Neuchâtel</t>
        </is>
      </c>
      <c r="D54" s="9" t="inlineStr">
        <is>
          <t>Alfen / معرفی دانشگاه</t>
        </is>
      </c>
      <c r="E54" s="26" t="inlineStr">
        <is>
          <t>⭐⭐⭐⭐ بالا</t>
        </is>
      </c>
      <c r="F54" s="9" t="inlineStr">
        <is>
          <t>≈ $545–845</t>
        </is>
      </c>
      <c r="G54" s="9" t="inlineStr">
        <is>
          <t>$665–970</t>
        </is>
      </c>
      <c r="H54" s="9" t="inlineStr">
        <is>
          <t>برآورد</t>
        </is>
      </c>
      <c r="I54" s="9" t="n"/>
    </row>
    <row r="55">
      <c r="A55" s="5" t="inlineStr">
        <is>
          <t>Lugano</t>
        </is>
      </c>
      <c r="B55" s="9" t="inlineStr">
        <is>
          <t>سوئیس</t>
        </is>
      </c>
      <c r="C55" s="9" t="inlineStr">
        <is>
          <t>USI</t>
        </is>
      </c>
      <c r="D55" s="9" t="inlineStr">
        <is>
          <t>خوابگاه‌های USI + سرویس مسکن دانشگاه</t>
        </is>
      </c>
      <c r="E55" s="26" t="inlineStr">
        <is>
          <t>⭐⭐⭐⭐ بالا</t>
        </is>
      </c>
      <c r="F55" s="9" t="inlineStr">
        <is>
          <t>≈ $605–970</t>
        </is>
      </c>
      <c r="G55" s="9" t="inlineStr">
        <is>
          <t>$725–1,090</t>
        </is>
      </c>
      <c r="H55" s="9" t="inlineStr">
        <is>
          <t>برآورد</t>
        </is>
      </c>
      <c r="I55" s="9" t="n"/>
    </row>
    <row r="56">
      <c r="A56" s="5" t="inlineStr">
        <is>
          <t>Luzern</t>
        </is>
      </c>
      <c r="B56" s="9" t="inlineStr">
        <is>
          <t>سوئیس</t>
        </is>
      </c>
      <c r="C56" s="9" t="inlineStr">
        <is>
          <t>HSLU</t>
        </is>
      </c>
      <c r="D56" s="9" t="inlineStr">
        <is>
          <t>معرفی HSLU / بازار</t>
        </is>
      </c>
      <c r="E56" s="25" t="inlineStr">
        <is>
          <t>⭐⭐⭐ متوسط</t>
        </is>
      </c>
      <c r="F56" s="9" t="inlineStr">
        <is>
          <t>≈ $605–970</t>
        </is>
      </c>
      <c r="G56" s="9" t="inlineStr">
        <is>
          <t>$785–1,090</t>
        </is>
      </c>
      <c r="H56" s="9" t="inlineStr">
        <is>
          <t>برآورد</t>
        </is>
      </c>
      <c r="I56" s="9" t="n"/>
    </row>
    <row r="57">
      <c r="A57" s="5" t="inlineStr">
        <is>
          <t>Middlesbrough</t>
        </is>
      </c>
      <c r="B57" s="9" t="inlineStr">
        <is>
          <t>انگلستان</t>
        </is>
      </c>
      <c r="C57" s="9" t="inlineStr">
        <is>
          <t>Teesside</t>
        </is>
      </c>
      <c r="D57" s="9" t="inlineStr">
        <is>
          <t>خوابگاه دانشگاه + PBSA فراوان</t>
        </is>
      </c>
      <c r="E57" s="26" t="inlineStr">
        <is>
          <t>⭐⭐⭐⭐ بالا — معمولاً برای همهٔ ورودی‌ها جا هست (تأیید کنید)</t>
        </is>
      </c>
      <c r="F57" s="9" t="inlineStr">
        <is>
          <t>$115 (Parkside، حمام مشترک) · $160–165 (Parkside Village / Woodlands en-suite) · $205–210 (KES) در هفته؛ قرارداد ۴۰/۴۵/۵۰ هفته؛ ودیعه $200 (رسمی 2026/27) = $490–915/ماه</t>
        </is>
      </c>
      <c r="G57" s="9" t="inlineStr">
        <is>
          <t>$595–730</t>
        </is>
      </c>
      <c r="H57" s="9" t="inlineStr">
        <is>
          <t>tees.ac.uk رسمی؛ PBSA خصوصی از $185/هفته</t>
        </is>
      </c>
      <c r="I57" s="9" t="n"/>
    </row>
    <row r="58">
      <c r="A58" s="5" t="inlineStr">
        <is>
          <t>Newcastle</t>
        </is>
      </c>
      <c r="B58" s="9" t="inlineStr">
        <is>
          <t>انگلستان</t>
        </is>
      </c>
      <c r="C58" s="9" t="inlineStr">
        <is>
          <t>Northumbria، Newcastle University</t>
        </is>
      </c>
      <c r="D58" s="9" t="inlineStr">
        <is>
          <t>خوابگاه‌های هر دو دانشگاه</t>
        </is>
      </c>
      <c r="E58" s="26" t="inlineStr">
        <is>
          <t>⭐⭐⭐⭐ بالا — ذخیرهٔ بزرگ (تأیید تضمین PG)</t>
        </is>
      </c>
      <c r="F58" s="9" t="inlineStr">
        <is>
          <t>Northumbria $125–210/هفته · Newcastle $155–320/هفته (رسمی) = $545–1,380/ماه</t>
        </is>
      </c>
      <c r="G58" s="9" t="inlineStr">
        <is>
          <t>$665–860</t>
        </is>
      </c>
      <c r="H58" s="9" t="inlineStr">
        <is>
          <t>رسمی</t>
        </is>
      </c>
      <c r="I58" s="9" t="n"/>
    </row>
    <row r="59">
      <c r="A59" s="5" t="inlineStr">
        <is>
          <t>Nottingham</t>
        </is>
      </c>
      <c r="B59" s="9" t="inlineStr">
        <is>
          <t>انگلستان</t>
        </is>
      </c>
      <c r="C59" s="9" t="inlineStr">
        <is>
          <t>NTU</t>
        </is>
      </c>
      <c r="D59" s="9" t="inlineStr">
        <is>
          <t>خوابگاه NTU</t>
        </is>
      </c>
      <c r="E59" s="26" t="inlineStr">
        <is>
          <t>⭐⭐⭐⭐ بالا (تأیید کنید)</t>
        </is>
      </c>
      <c r="F59" s="9" t="inlineStr">
        <is>
          <t>≈ $170–265/هفته</t>
        </is>
      </c>
      <c r="G59" s="9" t="inlineStr">
        <is>
          <t>$665–860</t>
        </is>
      </c>
      <c r="H59" s="9" t="inlineStr">
        <is>
          <t>برآورد</t>
        </is>
      </c>
      <c r="I59" s="9" t="n"/>
    </row>
    <row r="60">
      <c r="A60" s="5" t="inlineStr">
        <is>
          <t>Manchester</t>
        </is>
      </c>
      <c r="B60" s="9" t="inlineStr">
        <is>
          <t>انگلستان</t>
        </is>
      </c>
      <c r="C60" s="9" t="inlineStr">
        <is>
          <t>MMU (و University of Manchester)</t>
        </is>
      </c>
      <c r="D60" s="9" t="inlineStr">
        <is>
          <t>خوابگاه دانشگاه</t>
        </is>
      </c>
      <c r="E60" s="26" t="inlineStr">
        <is>
          <t>⭐⭐⭐⭐ بالا — University of Manchester رسماً به هر PG بین‌المللی برای کل دوره تضمین می‌دهد (اقدام تا ۳۱ اوت)؛ MMU تأیید کنید</t>
        </is>
      </c>
      <c r="F60" s="9" t="inlineStr">
        <is>
          <t>≈ $185–290/هفته</t>
        </is>
      </c>
      <c r="G60" s="9" t="inlineStr">
        <is>
          <t>$730–995</t>
        </is>
      </c>
      <c r="H60" s="9" t="inlineStr">
        <is>
          <t>manchester.ac.uk رسمی؛ MMU برآورد</t>
        </is>
      </c>
      <c r="I60" s="9" t="n"/>
    </row>
    <row r="61">
      <c r="A61" s="5" t="inlineStr">
        <is>
          <t>Colchester</t>
        </is>
      </c>
      <c r="B61" s="9" t="inlineStr">
        <is>
          <t>انگلستان</t>
        </is>
      </c>
      <c r="C61" s="9" t="inlineStr">
        <is>
          <t>Essex</t>
        </is>
      </c>
      <c r="D61" s="9" t="inlineStr">
        <is>
          <t>خوابگاه کمپوس</t>
        </is>
      </c>
      <c r="E61" s="26" t="inlineStr">
        <is>
          <t>⭐⭐⭐⭐⭐ تضمین برای PG برای کل دوره (اقدام تا مهلت)</t>
        </is>
      </c>
      <c r="F61" s="9" t="inlineStr">
        <is>
          <t>$225 (Meadows، حمام مشترک) تا $265 (en-suite) در هفته؛ Quays ۴۴ هفته $230 (رسمی 2026-27) = $965–1,140/ماه</t>
        </is>
      </c>
      <c r="G61" s="9" t="inlineStr">
        <is>
          <t>≈ $530–795 (خانهٔ مشترک در کولچستر ارزان‌تر از خوابگاه)</t>
        </is>
      </c>
      <c r="H61" s="9" t="inlineStr">
        <is>
          <t>essex.ac.uk رسمی (تضمین + اجاره)</t>
        </is>
      </c>
      <c r="I61" s="9" t="n"/>
    </row>
    <row r="62">
      <c r="A62" s="5" t="inlineStr">
        <is>
          <t>Leicester</t>
        </is>
      </c>
      <c r="B62" s="9" t="inlineStr">
        <is>
          <t>انگلستان</t>
        </is>
      </c>
      <c r="C62" s="9" t="inlineStr">
        <is>
          <t>University of Leicester</t>
        </is>
      </c>
      <c r="D62" s="9" t="inlineStr">
        <is>
          <t>خوابگاه دانشگاه</t>
        </is>
      </c>
      <c r="E62" s="26" t="inlineStr">
        <is>
          <t>⭐⭐⭐⭐ بالا (تأیید کنید)</t>
        </is>
      </c>
      <c r="F62" s="9" t="inlineStr">
        <is>
          <t>≈ $170–265/هفته</t>
        </is>
      </c>
      <c r="G62" s="9" t="inlineStr">
        <is>
          <t>$665–860</t>
        </is>
      </c>
      <c r="H62" s="9" t="inlineStr">
        <is>
          <t>برآورد</t>
        </is>
      </c>
      <c r="I62" s="9" t="n"/>
    </row>
    <row r="63">
      <c r="A63" s="5" t="inlineStr">
        <is>
          <t>London – Uxbridge</t>
        </is>
      </c>
      <c r="B63" s="9" t="inlineStr">
        <is>
          <t>انگلستان</t>
        </is>
      </c>
      <c r="C63" s="9" t="inlineStr">
        <is>
          <t>Brunel</t>
        </is>
      </c>
      <c r="D63" s="9" t="inlineStr">
        <is>
          <t>خوابگاه کمپوس</t>
        </is>
      </c>
      <c r="E63" s="26" t="inlineStr">
        <is>
          <t>⭐⭐⭐⭐⭐ تضمین برای همهٔ دانشجویان جدید — مهلت ۱۵ مارس</t>
        </is>
      </c>
      <c r="F63" s="9" t="inlineStr">
        <is>
          <t>en-suite از $240–245/هفته (Mill Hall $240؛ PG $245)؛ استودیو $490 (رسمی 2026/27) = $1,030–1,060/ماه</t>
        </is>
      </c>
      <c r="G63" s="9" t="inlineStr">
        <is>
          <t>$1,190–1,590</t>
        </is>
      </c>
      <c r="H63" s="9" t="inlineStr">
        <is>
          <t>brunel.ac.uk رسمی (تضمین + اجاره)</t>
        </is>
      </c>
      <c r="I63" s="9" t="n"/>
    </row>
    <row r="64">
      <c r="A64" s="5" t="inlineStr">
        <is>
          <t>Egham</t>
        </is>
      </c>
      <c r="B64" s="9" t="inlineStr">
        <is>
          <t>انگلستان</t>
        </is>
      </c>
      <c r="C64" s="9" t="inlineStr">
        <is>
          <t>Royal Holloway</t>
        </is>
      </c>
      <c r="D64" s="9" t="inlineStr">
        <is>
          <t>خوابگاه کمپوس</t>
        </is>
      </c>
      <c r="E64" s="26" t="inlineStr">
        <is>
          <t>⭐⭐⭐⭐ بالا (تأیید کنید)</t>
        </is>
      </c>
      <c r="F64" s="9" t="inlineStr">
        <is>
          <t>≈ $200–305/هفته</t>
        </is>
      </c>
      <c r="G64" s="9" t="inlineStr">
        <is>
          <t>$995–1,260</t>
        </is>
      </c>
      <c r="H64" s="9" t="inlineStr">
        <is>
          <t>برآورد</t>
        </is>
      </c>
      <c r="I64" s="9" t="n"/>
    </row>
    <row r="65">
      <c r="A65" s="5" t="inlineStr">
        <is>
          <t>London – New Cross</t>
        </is>
      </c>
      <c r="B65" s="9" t="inlineStr">
        <is>
          <t>انگلستان</t>
        </is>
      </c>
      <c r="C65" s="9" t="inlineStr">
        <is>
          <t>Goldsmiths</t>
        </is>
      </c>
      <c r="D65" s="9" t="inlineStr">
        <is>
          <t>خوابگاه محدود</t>
        </is>
      </c>
      <c r="E65" s="25" t="inlineStr">
        <is>
          <t>⭐⭐⭐ متوسط</t>
        </is>
      </c>
      <c r="F65" s="9" t="inlineStr">
        <is>
          <t>≈ $250–400/هفته</t>
        </is>
      </c>
      <c r="G65" s="9" t="inlineStr">
        <is>
          <t>$1,190–1,720</t>
        </is>
      </c>
      <c r="H65" s="9" t="inlineStr">
        <is>
          <t>برآورد</t>
        </is>
      </c>
      <c r="I65" s="9" t="n"/>
    </row>
    <row r="66">
      <c r="A66" s="5" t="inlineStr">
        <is>
          <t>Canterbury</t>
        </is>
      </c>
      <c r="B66" s="9" t="inlineStr">
        <is>
          <t>انگلستان</t>
        </is>
      </c>
      <c r="C66" s="9" t="inlineStr">
        <is>
          <t>Kent</t>
        </is>
      </c>
      <c r="D66" s="9" t="inlineStr">
        <is>
          <t>خوابگاه کمپوس</t>
        </is>
      </c>
      <c r="E66" s="26" t="inlineStr">
        <is>
          <t>⭐⭐⭐⭐ بالا (تأیید کنید)</t>
        </is>
      </c>
      <c r="F66" s="9" t="inlineStr">
        <is>
          <t>≈ $170–280/هفته</t>
        </is>
      </c>
      <c r="G66" s="9" t="inlineStr">
        <is>
          <t>$730–930</t>
        </is>
      </c>
      <c r="H66" s="9" t="inlineStr">
        <is>
          <t>برآورد</t>
        </is>
      </c>
      <c r="I66" s="9" t="n"/>
    </row>
    <row r="67">
      <c r="A67" s="5" t="inlineStr">
        <is>
          <t>Guildford</t>
        </is>
      </c>
      <c r="B67" s="9" t="inlineStr">
        <is>
          <t>انگلستان</t>
        </is>
      </c>
      <c r="C67" s="9" t="inlineStr">
        <is>
          <t>Surrey</t>
        </is>
      </c>
      <c r="D67" s="9" t="inlineStr">
        <is>
          <t>خوابگاه کمپوس</t>
        </is>
      </c>
      <c r="E67" s="26" t="inlineStr">
        <is>
          <t>⭐⭐⭐⭐ بالا (تأیید کنید)</t>
        </is>
      </c>
      <c r="F67" s="9" t="inlineStr">
        <is>
          <t>≈ $200–305/هفته</t>
        </is>
      </c>
      <c r="G67" s="9" t="inlineStr">
        <is>
          <t>$995–1,260</t>
        </is>
      </c>
      <c r="H67" s="9" t="inlineStr">
        <is>
          <t>برآورد</t>
        </is>
      </c>
      <c r="I67" s="9" t="n"/>
    </row>
    <row r="68">
      <c r="A68" s="5" t="inlineStr">
        <is>
          <t>York</t>
        </is>
      </c>
      <c r="B68" s="9" t="inlineStr">
        <is>
          <t>انگلستان</t>
        </is>
      </c>
      <c r="C68" s="9" t="inlineStr">
        <is>
          <t>University of York</t>
        </is>
      </c>
      <c r="D68" s="9" t="inlineStr">
        <is>
          <t>خوابگاه کمپوس (Wentworth، Halifax)</t>
        </is>
      </c>
      <c r="E68" s="26" t="inlineStr">
        <is>
          <t>⭐⭐⭐⭐⭐ تضمین PG — اقدام تا ۳۱ ژوئیه</t>
        </is>
      </c>
      <c r="F68" s="9" t="inlineStr">
        <is>
          <t>$245–295/هفته × ۵۱ هفته (رسمی 2026/27)</t>
        </is>
      </c>
      <c r="G68" s="9" t="inlineStr">
        <is>
          <t>$730–995</t>
        </is>
      </c>
      <c r="H68" s="9" t="inlineStr">
        <is>
          <t>york.ac.uk رسمی</t>
        </is>
      </c>
      <c r="I68" s="9" t="n"/>
    </row>
    <row r="69">
      <c r="A69" s="5" t="inlineStr">
        <is>
          <t>Lancaster</t>
        </is>
      </c>
      <c r="B69" s="9" t="inlineStr">
        <is>
          <t>انگلستان</t>
        </is>
      </c>
      <c r="C69" s="9" t="inlineStr">
        <is>
          <t>Lancaster University</t>
        </is>
      </c>
      <c r="D69" s="9" t="inlineStr">
        <is>
          <t>کالج‌های کمپوس</t>
        </is>
      </c>
      <c r="E69" s="26" t="inlineStr">
        <is>
          <t>⭐⭐⭐⭐ بالا (تأیید کنید)</t>
        </is>
      </c>
      <c r="F69" s="9" t="inlineStr">
        <is>
          <t>حمام مشترک $185–225 · en-suite $270–275 · استودیو $320 در هفته (۴۰ هفته؛ رسمی 2026/27)؛ catered $365</t>
        </is>
      </c>
      <c r="G69" s="9" t="inlineStr">
        <is>
          <t>$665–860</t>
        </is>
      </c>
      <c r="H69" s="9" t="inlineStr">
        <is>
          <t>lancaster.ac.uk رسمی (اجاره)؛ تضمین PG تأیید کنید</t>
        </is>
      </c>
      <c r="I69" s="9" t="n"/>
    </row>
    <row r="70">
      <c r="A70" s="5" t="inlineStr">
        <is>
          <t>Sheffield</t>
        </is>
      </c>
      <c r="B70" s="9" t="inlineStr">
        <is>
          <t>انگلستان</t>
        </is>
      </c>
      <c r="C70" s="9" t="inlineStr">
        <is>
          <t>University of Sheffield</t>
        </is>
      </c>
      <c r="D70" s="9" t="inlineStr">
        <is>
          <t>خوابگاه دانشگاه (ذخیرهٔ بزرگ)</t>
        </is>
      </c>
      <c r="E70" s="26" t="inlineStr">
        <is>
          <t>⭐⭐⭐⭐ بالا (تأیید کنید)</t>
        </is>
      </c>
      <c r="F70" s="9" t="inlineStr">
        <is>
          <t>PG: St Vincent's en-suite $240 · Allen Court en-suite+ $255 · Deluxe+ $275 در هفته (۴۲ یا ۵۱ هفته؛ رسمی 2026/27) = $1,030–1,200/ماه</t>
        </is>
      </c>
      <c r="G70" s="9" t="inlineStr">
        <is>
          <t>$665–860</t>
        </is>
      </c>
      <c r="H70" s="9" t="inlineStr">
        <is>
          <t>sheffield.ac.uk رسمی (اجاره)؛ تضمین PG تأیید کنید</t>
        </is>
      </c>
      <c r="I70" s="9" t="n"/>
    </row>
    <row r="71">
      <c r="A71" s="5" t="inlineStr">
        <is>
          <t>London – مرکز</t>
        </is>
      </c>
      <c r="B71" s="9" t="inlineStr">
        <is>
          <t>انگلستان</t>
        </is>
      </c>
      <c r="C71" s="9" t="inlineStr">
        <is>
          <t>UCL، KCL، Imperial</t>
        </is>
      </c>
      <c r="D71" s="9" t="inlineStr">
        <is>
          <t>خوابگاه‌های دانشگاه و بین‌دانشگاهی + GradPad</t>
        </is>
      </c>
      <c r="E71" s="24" t="inlineStr">
        <is>
          <t>⭐⭐ کم — PG بدون تضمین؛ روز پذیرش اقدام کنید و هم‌زمان بازار خصوصی</t>
        </is>
      </c>
      <c r="F71" s="9" t="inlineStr">
        <is>
          <t>$280–545/هفته (Imperial 2026) = $1,190–2,390/ماه</t>
        </is>
      </c>
      <c r="G71" s="9" t="inlineStr">
        <is>
          <t>$1,330–1,860 (+ ضامن)</t>
        </is>
      </c>
      <c r="H71" s="9" t="inlineStr">
        <is>
          <t>ثانویه</t>
        </is>
      </c>
      <c r="I71" s="9" t="n"/>
    </row>
    <row r="72">
      <c r="A72" s="5" t="inlineStr">
        <is>
          <t>Coventry</t>
        </is>
      </c>
      <c r="B72" s="9" t="inlineStr">
        <is>
          <t>انگلستان</t>
        </is>
      </c>
      <c r="C72" s="9" t="inlineStr">
        <is>
          <t>Warwick</t>
        </is>
      </c>
      <c r="D72" s="9" t="inlineStr">
        <is>
          <t>خوابگاه کمپوس (PG محدود)</t>
        </is>
      </c>
      <c r="E72" s="25" t="inlineStr">
        <is>
          <t>⭐⭐⭐ متوسط (تأیید کنید)</t>
        </is>
      </c>
      <c r="F72" s="9" t="inlineStr">
        <is>
          <t>≈ $170–280/هفته</t>
        </is>
      </c>
      <c r="G72" s="9" t="inlineStr">
        <is>
          <t>$730–930</t>
        </is>
      </c>
      <c r="H72" s="9" t="inlineStr">
        <is>
          <t>برآورد</t>
        </is>
      </c>
      <c r="I72" s="9" t="n"/>
    </row>
    <row r="73">
      <c r="A73" s="5" t="inlineStr">
        <is>
          <t>Bristol</t>
        </is>
      </c>
      <c r="B73" s="9" t="inlineStr">
        <is>
          <t>انگلستان</t>
        </is>
      </c>
      <c r="C73" s="9" t="inlineStr">
        <is>
          <t>University of Bristol</t>
        </is>
      </c>
      <c r="D73" s="9" t="inlineStr">
        <is>
          <t>خوابگاه دانشگاه</t>
        </is>
      </c>
      <c r="E73" s="25" t="inlineStr">
        <is>
          <t>⭐⭐⭐ متوسط (تأیید کنید)</t>
        </is>
      </c>
      <c r="F73" s="9" t="inlineStr">
        <is>
          <t>≈ $200–345/هفته</t>
        </is>
      </c>
      <c r="G73" s="9" t="inlineStr">
        <is>
          <t>$860–1,130</t>
        </is>
      </c>
      <c r="H73" s="9" t="inlineStr">
        <is>
          <t>برآورد</t>
        </is>
      </c>
      <c r="I73" s="9" t="n"/>
    </row>
    <row r="74">
      <c r="A74" s="5" t="inlineStr">
        <is>
          <t>Durham</t>
        </is>
      </c>
      <c r="B74" s="9" t="inlineStr">
        <is>
          <t>انگلستان</t>
        </is>
      </c>
      <c r="C74" s="9" t="inlineStr">
        <is>
          <t>Durham University</t>
        </is>
      </c>
      <c r="D74" s="9" t="inlineStr">
        <is>
          <t>کالج‌ها</t>
        </is>
      </c>
      <c r="E74" s="25" t="inlineStr">
        <is>
          <t>⭐⭐⭐ متوسط — PG بدون تضمین؛ کالج بعد از پذیرش تماس می‌گیرد</t>
        </is>
      </c>
      <c r="F74" s="9" t="inlineStr">
        <is>
          <t>$240–265/هفته self-catered (۳۹ هفته) · catered $345</t>
        </is>
      </c>
      <c r="G74" s="9" t="inlineStr">
        <is>
          <t>$730–930</t>
        </is>
      </c>
      <c r="H74" s="9" t="inlineStr">
        <is>
          <t>durham.ac.uk / Palatinate رسمی</t>
        </is>
      </c>
      <c r="I74" s="9"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9" t="inlineStr">
        <is>
          <t>آلمان / Stuttgart</t>
        </is>
      </c>
      <c r="C77" s="9" t="inlineStr">
        <is>
          <t>Studierendenwerk Stuttgart (۳۵ مجموعه، ۷,۲۰۰ جا)</t>
        </is>
      </c>
      <c r="D77" s="9" t="inlineStr">
        <is>
          <t>❌ لیست انتظار ۶–۸ ماه</t>
        </is>
      </c>
      <c r="E77" s="9" t="inlineStr">
        <is>
          <t>$260–570 (میانگین $395) با قبوض</t>
        </is>
      </c>
      <c r="F77" s="9" t="inlineStr">
        <is>
          <t>❌</t>
        </is>
      </c>
      <c r="G77" s="9" t="inlineStr">
        <is>
          <t>همان روز پذیرش ثبت‌نام؛ Esslingen/Göppingen زودتر خالی می‌شود</t>
        </is>
      </c>
      <c r="H77" s="16" t="inlineStr">
        <is>
          <t>studierendenwerk-stuttgart.de</t>
        </is>
      </c>
      <c r="I77" s="9" t="n"/>
    </row>
    <row r="78">
      <c r="A78" s="5" t="inlineStr">
        <is>
          <t>Uni Passau / Saarland / TU Dresden / Chemnitz / OVGU</t>
        </is>
      </c>
      <c r="B78" s="9" t="inlineStr">
        <is>
          <t>آلمان / شهرهای ارزان</t>
        </is>
      </c>
      <c r="C78" s="9" t="inlineStr">
        <is>
          <t>Studierendenwerk محلی</t>
        </is>
      </c>
      <c r="D78" s="9" t="inlineStr">
        <is>
          <t>❌ ولی معمولاً ظرفیت هست</t>
        </is>
      </c>
      <c r="E78" s="9" t="inlineStr">
        <is>
          <t>$250–435 با قبوض (≈)</t>
        </is>
      </c>
      <c r="F78" s="9" t="inlineStr">
        <is>
          <t>❌</t>
        </is>
      </c>
      <c r="G78" s="9" t="inlineStr">
        <is>
          <t>شهرهای کوچک/شرقی: بدون بحران؛ WG خصوصی $320–515</t>
        </is>
      </c>
      <c r="H78" s="16" t="inlineStr">
        <is>
          <t>studierendenwerke.de (≈)</t>
        </is>
      </c>
      <c r="I78" s="9" t="n"/>
    </row>
    <row r="79">
      <c r="A79" s="5" t="inlineStr">
        <is>
          <t>TU Darmstadt / RWTH Aachen / FAU Erlangen</t>
        </is>
      </c>
      <c r="B79" s="9" t="inlineStr">
        <is>
          <t>آلمان / شهرهای گران</t>
        </is>
      </c>
      <c r="C79" s="9" t="inlineStr">
        <is>
          <t>Studierendenwerk محلی</t>
        </is>
      </c>
      <c r="D79" s="9" t="inlineStr">
        <is>
          <t>❌ صف طولانی</t>
        </is>
      </c>
      <c r="E79" s="9" t="inlineStr">
        <is>
          <t>$340–515 با قبوض (≈)</t>
        </is>
      </c>
      <c r="F79" s="9" t="inlineStr">
        <is>
          <t>❌</t>
        </is>
      </c>
      <c r="G79" s="9" t="inlineStr">
        <is>
          <t>WG خصوصی $515–800؛ زودتر از همه اقدام کنید</t>
        </is>
      </c>
      <c r="H79" s="16" t="inlineStr">
        <is>
          <t>studierendenwerke.de (≈)</t>
        </is>
      </c>
      <c r="I79" s="9" t="n"/>
    </row>
    <row r="80">
      <c r="A80" s="5" t="inlineStr">
        <is>
          <t>University of Twente</t>
        </is>
      </c>
      <c r="B80" s="9" t="inlineStr">
        <is>
          <t>هلند / Enschede</t>
        </is>
      </c>
      <c r="C80" s="9" t="inlineStr">
        <is>
          <t>اتاق‌های کمپوس و شهر از طریق Roomspot (اول‌آمده‌اول‌گرفته)</t>
        </is>
      </c>
      <c r="D80" s="9" t="inlineStr">
        <is>
          <t>پیشنهاد برای دانشجویان ویزایی اگر زود اقدام کنند</t>
        </is>
      </c>
      <c r="E80" s="9" t="inlineStr">
        <is>
          <t>$340–910</t>
        </is>
      </c>
      <c r="F80" s="9" t="inlineStr">
        <is>
          <t>❌</t>
        </is>
      </c>
      <c r="G80" s="9" t="inlineStr">
        <is>
          <t>بلافاصله بعد از پذیرش در Roomspot ثبت‌نام کنید</t>
        </is>
      </c>
      <c r="H80" s="16" t="inlineStr">
        <is>
          <t>utwente.nl (issuu)</t>
        </is>
      </c>
      <c r="I80" s="9" t="n"/>
    </row>
    <row r="81">
      <c r="A81" s="5" t="inlineStr">
        <is>
          <t>Radboud University</t>
        </is>
      </c>
      <c r="B81" s="9" t="inlineStr">
        <is>
          <t>هلند / Nijmegen</t>
        </is>
      </c>
      <c r="C81" s="9" t="inlineStr">
        <is>
          <t>میانجی‌گری دانشگاه + SSH&amp; (اتاق‌های مبله برای کل دوره)</t>
        </is>
      </c>
      <c r="D81" s="9" t="inlineStr">
        <is>
          <t>❌ «کمک، نه تضمین»</t>
        </is>
      </c>
      <c r="E81" s="9" t="inlineStr">
        <is>
          <t>$420–740</t>
        </is>
      </c>
      <c r="F81" s="9" t="inlineStr">
        <is>
          <t>❌</t>
        </is>
      </c>
      <c r="G81" s="9" t="inlineStr">
        <is>
          <t>فرم PAS تا ۱ ژوئن؛ پیشنهادها می–ژوئیه؛ گاهی ۳ ماه پیش‌پرداخت</t>
        </is>
      </c>
      <c r="H81" s="16" t="inlineStr">
        <is>
          <t>ru.nl؛ sshn.nl</t>
        </is>
      </c>
      <c r="I81" s="9" t="n"/>
    </row>
    <row r="82">
      <c r="A82" s="5" t="inlineStr">
        <is>
          <t>Utrecht / TU Eindhoven / UvA / Delft / Leiden</t>
        </is>
      </c>
      <c r="B82" s="9" t="inlineStr">
        <is>
          <t>هلند / شهرهای بزرگ</t>
        </is>
      </c>
      <c r="C82" s="9" t="inlineStr">
        <is>
          <t>اتاق‌های رزروشده با SSH/Plaza/Vestide؛ قرعه‌کشی یا اول‌آمده</t>
        </is>
      </c>
      <c r="D82" s="9" t="inlineStr">
        <is>
          <t>❌ (Utrecht ۲۰۲۶: ۲۸ می تمام شد)</t>
        </is>
      </c>
      <c r="E82" s="9" t="inlineStr">
        <is>
          <t>$740–1,250 (Utrecht استودیو $990 با قبوض)</t>
        </is>
      </c>
      <c r="F82" s="9" t="inlineStr">
        <is>
          <t>❌</t>
        </is>
      </c>
      <c r="G82" s="9" t="inlineStr">
        <is>
          <t>ودیعه ≈ ۲ ماه (Utrecht $1,490)؛ قرارداد ۱۲ ماههٔ ثابت</t>
        </is>
      </c>
      <c r="H82" s="16" t="inlineStr">
        <is>
          <t>uu.nl</t>
        </is>
      </c>
      <c r="I82" s="9" t="n"/>
    </row>
    <row r="83">
      <c r="A83" s="5" t="inlineStr">
        <is>
          <t>Uppsala University</t>
        </is>
      </c>
      <c r="B83" s="9" t="inlineStr">
        <is>
          <t>سوئد / Uppsala</t>
        </is>
      </c>
      <c r="C83" s="9" t="inlineStr">
        <is>
          <t>Housing Office دانشگاه</t>
        </is>
      </c>
      <c r="D83" s="9" t="inlineStr">
        <is>
          <t>✅ تضمین رسمی برای شهریه‌پردازها</t>
        </is>
      </c>
      <c r="E83" s="9" t="inlineStr">
        <is>
          <t>$355–615</t>
        </is>
      </c>
      <c r="F83" s="9" t="inlineStr">
        <is>
          <t>❌</t>
        </is>
      </c>
      <c r="G83" s="9" t="inlineStr">
        <is>
          <t>شهریه را تا مهلت بپردازید و به‌موقع درخواست دهید</t>
        </is>
      </c>
      <c r="H83" s="16" t="inlineStr">
        <is>
          <t>uu.se</t>
        </is>
      </c>
      <c r="I83" s="9" t="n"/>
    </row>
    <row r="84">
      <c r="A84" s="5" t="inlineStr">
        <is>
          <t>Linköping University</t>
        </is>
      </c>
      <c r="B84" s="9" t="inlineStr">
        <is>
          <t>سوئد / Linköping</t>
        </is>
      </c>
      <c r="C84" s="9" t="inlineStr">
        <is>
          <t>یک پیشنهاد اتاق برای سال اول (Studentbostäder)</t>
        </is>
      </c>
      <c r="D84" s="9" t="inlineStr">
        <is>
          <t>✅ یک پیشنهاد (نه انتخاب)</t>
        </is>
      </c>
      <c r="E84" s="9" t="inlineStr">
        <is>
          <t>$355–555 (≈)</t>
        </is>
      </c>
      <c r="F84" s="9" t="inlineStr">
        <is>
          <t>❌</t>
        </is>
      </c>
      <c r="G84" s="9" t="inlineStr">
        <is>
          <t>بعد از پرداخت شهریه؛ رد کنید = از دست می‌رود</t>
        </is>
      </c>
      <c r="H84" s="16" t="inlineStr">
        <is>
          <t>liu.se</t>
        </is>
      </c>
      <c r="I84" s="9" t="n"/>
    </row>
    <row r="85">
      <c r="A85" s="5" t="inlineStr">
        <is>
          <t>KTH / Chalmers</t>
        </is>
      </c>
      <c r="B85" s="9" t="inlineStr">
        <is>
          <t>سوئد / Stockholm / Göteborg</t>
        </is>
      </c>
      <c r="C85" s="9" t="inlineStr">
        <is>
          <t>KTH Accommodation (محدود)؛ Chalmers از طریق SGS برای شهریه‌پردازها</t>
        </is>
      </c>
      <c r="D85" s="9" t="inlineStr">
        <is>
          <t>❌ KTH بدون تضمین؛ Chalmers سهمیه (چک شود)</t>
        </is>
      </c>
      <c r="E85" s="9" t="inlineStr">
        <is>
          <t>$455–810</t>
        </is>
      </c>
      <c r="F85" s="9" t="inlineStr">
        <is>
          <t>❌</t>
        </is>
      </c>
      <c r="G85" s="9" t="inlineStr">
        <is>
          <t>SSSB استکهلم صف ۶–۱۸ ماه؛ Plan B لازم</t>
        </is>
      </c>
      <c r="H85" s="16" t="inlineStr">
        <is>
          <t>su.se؛ leapscholar (≈)</t>
        </is>
      </c>
      <c r="I85" s="9" t="n"/>
    </row>
    <row r="86">
      <c r="A86" s="5" t="inlineStr">
        <is>
          <t>Halmstad / MDU / BTH / Skövde</t>
        </is>
      </c>
      <c r="B86" s="9" t="inlineStr">
        <is>
          <t>سوئد / شهرهای کوچک</t>
        </is>
      </c>
      <c r="C86" s="9" t="inlineStr">
        <is>
          <t>معرفی به شرکت‌های مسکن شهرداری</t>
        </is>
      </c>
      <c r="D86" s="9" t="inlineStr">
        <is>
          <t>❌ Halmstad صریحاً «تضمین نمی‌کند»؛ بقیه صف</t>
        </is>
      </c>
      <c r="E86" s="9" t="inlineStr">
        <is>
          <t>$355–555 (≈)</t>
        </is>
      </c>
      <c r="F86" s="9" t="inlineStr">
        <is>
          <t>❌</t>
        </is>
      </c>
      <c r="G86" s="9" t="inlineStr">
        <is>
          <t>شهرهای کوچک: معمولاً ظرف چند هفته پیدا می‌شود</t>
        </is>
      </c>
      <c r="H86" s="16" t="inlineStr">
        <is>
          <t>hh.se (≈)</t>
        </is>
      </c>
      <c r="I86" s="9" t="n"/>
    </row>
    <row r="87">
      <c r="A87" s="5" t="inlineStr">
        <is>
          <t>Aalborg University (Aalborg)</t>
        </is>
      </c>
      <c r="B87" s="9" t="inlineStr">
        <is>
          <t>دانمارک / Aalborg</t>
        </is>
      </c>
      <c r="C87" s="9" t="inlineStr">
        <is>
          <t>International Accommodation Office؛ ۲۲۰+ واحد مبله</t>
        </is>
      </c>
      <c r="D87" s="9" t="inlineStr">
        <is>
          <t>✅ «تقریباً ۱۰۰٪»</t>
        </is>
      </c>
      <c r="E87" s="9" t="inlineStr">
        <is>
          <t>$490–720 (میانگین $605) با اینترنت/آب/گرمایش/برق</t>
        </is>
      </c>
      <c r="F87" s="9" t="inlineStr">
        <is>
          <t>❌</t>
        </is>
      </c>
      <c r="G87" s="9" t="inlineStr">
        <is>
          <t>اجاره سه‌ماهه؛ ثبت‌نام studieboligaalborg.dk ۱ ژوئیه – ۳۱ اوت</t>
        </is>
      </c>
      <c r="H87" s="16" t="inlineStr">
        <is>
          <t>en.aau.dk؛ findunirooms</t>
        </is>
      </c>
      <c r="I87" s="9" t="n"/>
    </row>
    <row r="88">
      <c r="A88" s="5" t="inlineStr">
        <is>
          <t>AAU Copenhagen / ITU / DTU / KU</t>
        </is>
      </c>
      <c r="B88" s="9" t="inlineStr">
        <is>
          <t>دانمارک / Copenhagen</t>
        </is>
      </c>
      <c r="C88" s="9" t="inlineStr">
        <is>
          <t>راهنمایی؛ KKIK/CIU؛ خوابگاه‌های خصوصی</t>
        </is>
      </c>
      <c r="D88" s="9" t="inlineStr">
        <is>
          <t>❌ صریحاً بدون تضمین</t>
        </is>
      </c>
      <c r="E88" s="9" t="inlineStr">
        <is>
          <t>$535–915 (KKIK/CIU) · $765–1,370 خوابگاه/co-living · آپارتمان $1,070+</t>
        </is>
      </c>
      <c r="F88" s="9" t="inlineStr">
        <is>
          <t>❌</t>
        </is>
      </c>
      <c r="G88" s="9" t="inlineStr">
        <is>
          <t>«سخت‌ترین بازار اروپا» (خود AAU)؛ ۶ ماه قبل شروع کنید</t>
        </is>
      </c>
      <c r="H88" s="16" t="inlineStr">
        <is>
          <t>en.aau.dk</t>
        </is>
      </c>
      <c r="I88" s="9" t="n"/>
    </row>
    <row r="89">
      <c r="A89" s="5" t="inlineStr">
        <is>
          <t>SDU Odense</t>
        </is>
      </c>
      <c r="B89" s="9" t="inlineStr">
        <is>
          <t>دانمارک / Odense</t>
        </is>
      </c>
      <c r="C89" s="9" t="inlineStr">
        <is>
          <t>SDU Housing (کمک با kollegium)</t>
        </is>
      </c>
      <c r="D89" s="9" t="inlineStr">
        <is>
          <t>❌ کمک، بدون تضمین</t>
        </is>
      </c>
      <c r="E89" s="9" t="inlineStr">
        <is>
          <t>$535–840 (≈)</t>
        </is>
      </c>
      <c r="F89" s="9" t="inlineStr">
        <is>
          <t>❌</t>
        </is>
      </c>
      <c r="G89" s="9" t="inlineStr">
        <is>
          <t>Odense خیلی ارزان‌تر از کپنهاگ</t>
        </is>
      </c>
      <c r="H89" s="16" t="inlineStr">
        <is>
          <t>sdu.dk (≈)</t>
        </is>
      </c>
      <c r="I89" s="9" t="n"/>
    </row>
    <row r="90">
      <c r="A90" s="5" t="inlineStr">
        <is>
          <t>ETH Zürich / UZH / ZHAW</t>
        </is>
      </c>
      <c r="B90" s="9" t="inlineStr">
        <is>
          <t>سوئیس / Zürich</t>
        </is>
      </c>
      <c r="C90" s="9" t="inlineStr">
        <is>
          <t>WOKO، Juwo (تعاونی‌ها)؛ دانشگاه فقط معرفی می‌کند</t>
        </is>
      </c>
      <c r="D90" s="9" t="inlineStr">
        <is>
          <t>❌ لیست انتظار ۳–۱۲ ماه</t>
        </is>
      </c>
      <c r="E90" s="9" t="inlineStr">
        <is>
          <t>WOKO $355–1,430 (اکثر $545–1,030)؛ WG خصوصی $845–1,450</t>
        </is>
      </c>
      <c r="F90" s="9" t="inlineStr">
        <is>
          <t>❌</t>
        </is>
      </c>
      <c r="G90" s="9" t="inlineStr">
        <is>
          <t>روز پذیرش در WOKO ثبت‌نام کنید؛ اجارهٔ خصوصی: ضامن/بیمهٔ ودیعه</t>
        </is>
      </c>
      <c r="H90" s="16" t="inlineStr">
        <is>
          <t>woko.ch</t>
        </is>
      </c>
      <c r="I90" s="9" t="n"/>
    </row>
    <row r="91">
      <c r="A91" s="5" t="inlineStr">
        <is>
          <t>EPFL</t>
        </is>
      </c>
      <c r="B91" s="9" t="inlineStr">
        <is>
          <t>سوئیس / Lausanne</t>
        </is>
      </c>
      <c r="C91" s="9" t="inlineStr">
        <is>
          <t>FMEL (بنیاد خوابگاه‌های لوزان)</t>
        </is>
      </c>
      <c r="D91" s="9" t="inlineStr">
        <is>
          <t>❌ زود پر می‌شود</t>
        </is>
      </c>
      <c r="E91" s="9" t="inlineStr">
        <is>
          <t>≈ $605–1,090</t>
        </is>
      </c>
      <c r="F91" s="9" t="inlineStr">
        <is>
          <t>❌</t>
        </is>
      </c>
      <c r="G91" s="9" t="inlineStr">
        <is>
          <t>بلافاصله بعد از پذیرش دور اول (مارس)</t>
        </is>
      </c>
      <c r="H91" s="16" t="inlineStr">
        <is>
          <t>fmel.ch (≈)</t>
        </is>
      </c>
      <c r="I91" s="9" t="n"/>
    </row>
    <row r="92">
      <c r="A92" s="5" t="inlineStr">
        <is>
          <t>USI / Bern / Fribourg / Neuchâtel / Basel / HSLU</t>
        </is>
      </c>
      <c r="B92" s="9" t="inlineStr">
        <is>
          <t>سوئیس / شهرهای کوچک‌تر</t>
        </is>
      </c>
      <c r="C92" s="9" t="inlineStr">
        <is>
          <t>خوابگاه‌های دانشجویی محلی + معرفی دانشگاه</t>
        </is>
      </c>
      <c r="D92" s="9" t="inlineStr">
        <is>
          <t>❌ ولی بازار آسان‌تر از زوریخ</t>
        </is>
      </c>
      <c r="E92" s="9" t="inlineStr">
        <is>
          <t>≈ $545–970؛ WG $725–1,090</t>
        </is>
      </c>
      <c r="F92" s="9" t="inlineStr">
        <is>
          <t>❌</t>
        </is>
      </c>
      <c r="G92" s="9" t="inlineStr">
        <is>
          <t>لوگانو/فریبورگ/نوشاتل ارزان‌ترین سوئیس</t>
        </is>
      </c>
      <c r="H92" s="16" t="inlineStr">
        <is>
          <t>برآورد</t>
        </is>
      </c>
      <c r="I92" s="9" t="n"/>
    </row>
    <row r="93">
      <c r="A93" s="5" t="inlineStr">
        <is>
          <t>Teesside University</t>
        </is>
      </c>
      <c r="B93" s="9" t="inlineStr">
        <is>
          <t>انگلستان / Middlesbrough</t>
        </is>
      </c>
      <c r="C93" s="9" t="inlineStr">
        <is>
          <t>خوابگاه دانشگاه + PBSA خصوصی</t>
        </is>
      </c>
      <c r="D93" s="9" t="inlineStr">
        <is>
          <t>معمولاً بله برای دانشجویان جدید (تأیید کنید)</t>
        </is>
      </c>
      <c r="E93" s="9" t="inlineStr">
        <is>
          <t>$115 (حمام مشترک) تا $165 (en-suite) و $205–210 (KES) در هفته؛ ودیعه $200؛ ۴۰/۴۵/۵۰ هفته (رسمی 2026/27)</t>
        </is>
      </c>
      <c r="F93" s="9" t="inlineStr">
        <is>
          <t>❌ (PG)</t>
        </is>
      </c>
      <c r="G93" s="9" t="inlineStr">
        <is>
          <t>ارزان‌ترین شهر جدول انگلستان</t>
        </is>
      </c>
      <c r="H93" s="16" t="inlineStr">
        <is>
          <t>tees.ac.uk رسمی</t>
        </is>
      </c>
      <c r="I93" s="9" t="n"/>
    </row>
    <row r="94">
      <c r="A94" s="5" t="inlineStr">
        <is>
          <t>Northumbria University</t>
        </is>
      </c>
      <c r="B94" s="9" t="inlineStr">
        <is>
          <t>انگلستان / Newcastle</t>
        </is>
      </c>
      <c r="C94" s="9" t="inlineStr">
        <is>
          <t>خوابگاه دانشگاه</t>
        </is>
      </c>
      <c r="D94" s="9" t="inlineStr">
        <is>
          <t>معمولاً بله (تأیید کنید)</t>
        </is>
      </c>
      <c r="E94" s="9" t="inlineStr">
        <is>
          <t>$125–210/هفته با قبوض (رسمی) = $545–915/ماه</t>
        </is>
      </c>
      <c r="F94" s="9" t="inlineStr">
        <is>
          <t>✅ گزینهٔ catered دارد</t>
        </is>
      </c>
      <c r="G94" s="9" t="inlineStr">
        <is>
          <t>حداقل زندگی ≈ $1,340/ماه (خود دانشگاه)</t>
        </is>
      </c>
      <c r="H94" s="16" t="inlineStr">
        <is>
          <t>northumbria.ac.uk</t>
        </is>
      </c>
      <c r="I94" s="9" t="n"/>
    </row>
    <row r="95">
      <c r="A95" s="5" t="inlineStr">
        <is>
          <t>Newcastle University</t>
        </is>
      </c>
      <c r="B95" s="9" t="inlineStr">
        <is>
          <t>انگلستان / Newcastle</t>
        </is>
      </c>
      <c r="C95" s="9" t="inlineStr">
        <is>
          <t>خوابگاه‌های دانشگاه (Bowsden Court، Grand Hotel، Bernicia…)</t>
        </is>
      </c>
      <c r="D95" s="9" t="inlineStr">
        <is>
          <t>برای PG جدید معمولاً بله (تأیید کنید)</t>
        </is>
      </c>
      <c r="E95" s="9" t="inlineStr">
        <is>
          <t>$155–320/هفته (رسمی 2026/27)</t>
        </is>
      </c>
      <c r="F95" s="9" t="inlineStr">
        <is>
          <t>❌ (PG)</t>
        </is>
      </c>
      <c r="G95" s="9" t="inlineStr">
        <is>
          <t>Bowsden Court برای PG/خانواده</t>
        </is>
      </c>
      <c r="H95" s="16" t="inlineStr">
        <is>
          <t>ncl.ac.uk</t>
        </is>
      </c>
      <c r="I95" s="9" t="n"/>
    </row>
    <row r="96">
      <c r="A96" s="5" t="inlineStr">
        <is>
          <t>University of York</t>
        </is>
      </c>
      <c r="B96" s="9" t="inlineStr">
        <is>
          <t>انگلستان / York</t>
        </is>
      </c>
      <c r="C96" s="9" t="inlineStr">
        <is>
          <t>خوابگاه کمپوس (Wentworth Graduate College، Halifax)</t>
        </is>
      </c>
      <c r="D96" s="9" t="inlineStr">
        <is>
          <t>✅ تضمین PG اگر تا ۳۱ ژوئیه اقدام کنید</t>
        </is>
      </c>
      <c r="E96" s="9" t="inlineStr">
        <is>
          <t>$245–295/هفته × ۵۱ هفته = $12,600–15,100/سال (رسمی 2026/27)</t>
        </is>
      </c>
      <c r="F96" s="9" t="inlineStr">
        <is>
          <t>❌ (PG self-catered)</t>
        </is>
      </c>
      <c r="G96" s="9" t="inlineStr">
        <is>
          <t>پیشنهاد بدون قید ویزا تا ۷ اوت</t>
        </is>
      </c>
      <c r="H96" s="16" t="inlineStr">
        <is>
          <t>york.ac.uk</t>
        </is>
      </c>
      <c r="I96" s="9" t="n"/>
    </row>
    <row r="97">
      <c r="A97" s="5" t="inlineStr">
        <is>
          <t>University of Essex</t>
        </is>
      </c>
      <c r="B97" s="9" t="inlineStr">
        <is>
          <t>انگلستان / Colchester</t>
        </is>
      </c>
      <c r="C97" s="9" t="inlineStr">
        <is>
          <t>خوابگاه کمپوس</t>
        </is>
      </c>
      <c r="D97" s="9" t="inlineStr">
        <is>
          <t>✅ تضمین برای PG برای کل دوره (اکتبر: مهلت ≈ ۱۲ سپتامبر؛ ژانویه: ۳۰ نوامبر)</t>
        </is>
      </c>
      <c r="E97" s="9" t="inlineStr">
        <is>
          <t>$225–265/هفته (حمام مشترک Meadows $225؛ en-suite $250–265؛ رسمی 2026-27)</t>
        </is>
      </c>
      <c r="F97" s="9" t="inlineStr">
        <is>
          <t>❌</t>
        </is>
      </c>
      <c r="G97" s="9" t="inlineStr">
        <is>
          <t>ورود زودهنگام رایگان برای ورودی ژانویه</t>
        </is>
      </c>
      <c r="H97" s="16" t="inlineStr">
        <is>
          <t>essex.ac.uk</t>
        </is>
      </c>
      <c r="I97" s="9" t="n"/>
    </row>
    <row r="98">
      <c r="A98" s="5" t="inlineStr">
        <is>
          <t>Brunel University London</t>
        </is>
      </c>
      <c r="B98" s="9" t="inlineStr">
        <is>
          <t>انگلستان / Uxbridge</t>
        </is>
      </c>
      <c r="C98" s="9" t="inlineStr">
        <is>
          <t>خوابگاه کمپوس</t>
        </is>
      </c>
      <c r="D98" s="9" t="inlineStr">
        <is>
          <t>✅ تضمین برای همهٔ دانشجویان جدید — مهلت ۱۵ مارس ۲۰۲۶ برای 2026/27</t>
        </is>
      </c>
      <c r="E98" s="9" t="inlineStr">
        <is>
          <t>en-suite از $240–245/هفته؛ استودیو $490 (رسمی 2026/27)</t>
        </is>
      </c>
      <c r="F98" s="9" t="inlineStr">
        <is>
          <t>❌</t>
        </is>
      </c>
      <c r="G98" s="9" t="inlineStr">
        <is>
          <t>پیش‌پرداخت $465 (اتاق) / $595 (استودیو)</t>
        </is>
      </c>
      <c r="H98" s="16" t="inlineStr">
        <is>
          <t>brunel.ac.uk</t>
        </is>
      </c>
      <c r="I98" s="9" t="n"/>
    </row>
    <row r="99">
      <c r="A99" s="5" t="inlineStr">
        <is>
          <t>Warwick / Sheffield / Lancaster / Leicester</t>
        </is>
      </c>
      <c r="B99" s="9" t="inlineStr">
        <is>
          <t>انگلستان / شهرهای متوسط</t>
        </is>
      </c>
      <c r="C99" s="9" t="inlineStr">
        <is>
          <t>خوابگاه دانشگاه</t>
        </is>
      </c>
      <c r="D99" s="9" t="inlineStr">
        <is>
          <t>Sheffield/Lancaster معمولاً بله برای PG؛ Warwick محدود (تأیید کنید)</t>
        </is>
      </c>
      <c r="E99" s="9" t="inlineStr">
        <is>
          <t>Sheffield PG $240–275 و Lancaster $185–275 (رسمی 2026/27)؛ Warwick/Leicester ≈ $170–280 (برآورد)</t>
        </is>
      </c>
      <c r="F99" s="9" t="inlineStr">
        <is>
          <t>❌ (PG)</t>
        </is>
      </c>
      <c r="G99" s="9" t="inlineStr">
        <is>
          <t>اتاق خصوصی $730–995/ماه</t>
        </is>
      </c>
      <c r="H99" s="16" t="inlineStr">
        <is>
          <t>sheffield.ac.uk، lancaster.ac.uk رسمی؛ بقیه برآورد</t>
        </is>
      </c>
      <c r="I99" s="9" t="n"/>
    </row>
    <row r="100">
      <c r="A100" s="5" t="inlineStr">
        <is>
          <t>Durham University</t>
        </is>
      </c>
      <c r="B100" s="9" t="inlineStr">
        <is>
          <t>انگلستان / Durham</t>
        </is>
      </c>
      <c r="C100" s="9" t="inlineStr">
        <is>
          <t>کالج‌ها (۱۷ کالج؛ Ustinov فقط PG)</t>
        </is>
      </c>
      <c r="D100" s="9" t="inlineStr">
        <is>
          <t>❌ PG بدون تضمین؛ کالج‌ها بعد از پذیرش تماس می‌گیرند</t>
        </is>
      </c>
      <c r="E100" s="9" t="inlineStr">
        <is>
          <t>PG self-catered ≈ $240–265/هفته (۳۹ هفته $9,470–10,300، 25/26) · catered $345/هفته ($13,600/سال)</t>
        </is>
      </c>
      <c r="F100" s="9" t="inlineStr">
        <is>
          <t>✅ کالج‌های catered (۳ وعده در ترم) — عمدتاً کارشناسی؛ بعضی کالج‌ها برای PG هم</t>
        </is>
      </c>
      <c r="G100" s="9" t="inlineStr">
        <is>
          <t>سهم غذا ≈ $4,090/سال؛ اجارهٔ خصوصی از $250/هفته</t>
        </is>
      </c>
      <c r="H100" s="16" t="inlineStr">
        <is>
          <t>durham.ac.uk؛ palatinate.org.uk</t>
        </is>
      </c>
      <c r="I100" s="9" t="n"/>
    </row>
    <row r="101">
      <c r="A101" s="5" t="inlineStr">
        <is>
          <t>University of Bristol</t>
        </is>
      </c>
      <c r="B101" s="9" t="inlineStr">
        <is>
          <t>انگلستان / Bristol</t>
        </is>
      </c>
      <c r="C101" s="9" t="inlineStr">
        <is>
          <t>خوابگاه دانشگاه (catered و self-catered)</t>
        </is>
      </c>
      <c r="D101" s="9" t="inlineStr">
        <is>
          <t>PG: محدود (تأیید کنید)</t>
        </is>
      </c>
      <c r="E101" s="9" t="inlineStr">
        <is>
          <t>≈ $200–345/هفته</t>
        </is>
      </c>
      <c r="F101" s="9" t="inlineStr">
        <is>
          <t>✅ catered halls (عمدتاً UG)</t>
        </is>
      </c>
      <c r="G101" s="9" t="inlineStr">
        <is>
          <t>بریستول یکی از گران‌ترین شهرهای خارج لندن</t>
        </is>
      </c>
      <c r="H101" s="16" t="inlineStr">
        <is>
          <t>برآورد</t>
        </is>
      </c>
      <c r="I101" s="9" t="n"/>
    </row>
    <row r="102">
      <c r="A102" s="5" t="inlineStr">
        <is>
          <t>UCL / King's College London</t>
        </is>
      </c>
      <c r="B102" s="9" t="inlineStr">
        <is>
          <t>انگلستان / London</t>
        </is>
      </c>
      <c r="C102" s="9" t="inlineStr">
        <is>
          <t>خوابگاه‌های دانشگاه و بین‌دانشگاهی</t>
        </is>
      </c>
      <c r="D102" s="9" t="inlineStr">
        <is>
          <t>❌ PG بدون تضمین</t>
        </is>
      </c>
      <c r="E102" s="9" t="inlineStr">
        <is>
          <t>≈ $250–465/هفته ($1,090–1,990/ماه)</t>
        </is>
      </c>
      <c r="F102" s="9" t="inlineStr">
        <is>
          <t>❌ (PG)</t>
        </is>
      </c>
      <c r="G102" s="9" t="inlineStr">
        <is>
          <t>UCL طرح ضامن اجاره $66 (سقف $2,010/ماه)</t>
        </is>
      </c>
      <c r="H102" s="16" t="inlineStr">
        <is>
          <t>harveywjames (≈)</t>
        </is>
      </c>
      <c r="I102" s="9" t="n"/>
    </row>
    <row r="103">
      <c r="A103" s="5" t="inlineStr">
        <is>
          <t>Imperial College London</t>
        </is>
      </c>
      <c r="B103" s="9" t="inlineStr">
        <is>
          <t>انگلستان / London</t>
        </is>
      </c>
      <c r="C103" s="9" t="inlineStr">
        <is>
          <t>خوابگاه (Beit، Holbein…) + GradPad</t>
        </is>
      </c>
      <c r="D103" s="9" t="inlineStr">
        <is>
          <t>❌ PG بدون تضمین</t>
        </is>
      </c>
      <c r="E103" s="9" t="inlineStr">
        <is>
          <t>$280–545/هفته (۲۰۲۶) = $1,190–2,390/ماه؛ خانهٔ مشترک $240–595/هفته</t>
        </is>
      </c>
      <c r="F103" s="9" t="inlineStr">
        <is>
          <t>❌ (PG)</t>
        </is>
      </c>
      <c r="G103" s="9" t="inlineStr">
        <is>
          <t>طرح ضامن اجاره فقط UG/PhD؛ برآورد خود Imperial برای زندگی: $21.7–22.5k / ۹ ماه</t>
        </is>
      </c>
      <c r="H103" s="16" t="inlineStr">
        <is>
          <t>harveywjames؛ ukfreshersguide (≈)</t>
        </is>
      </c>
      <c r="I103" s="9"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9" t="inlineStr">
        <is>
          <t>$115–155/هفته × ۵۰–۵۱ = $5,630–7,950 (رسمی: Teesside Parkside $115، Northumbria $125، Newcastle $155)</t>
        </is>
      </c>
      <c r="C106" s="9" t="inlineStr">
        <is>
          <t>$165–250/هفته × ۵۰–۵۱ = $8,280–12,900 (Teesside Woodlands $165 رسمی)</t>
        </is>
      </c>
      <c r="D106" s="9" t="inlineStr">
        <is>
          <t>$595–860/ماه × ۱۲ + $1,270 = $8,480–11,700 (+ ضامن ≈ $2,190 اگر لازم شود)</t>
        </is>
      </c>
      <c r="E106" s="9" t="inlineStr">
        <is>
          <t>≈ برابر (−$1,330 تا +$2,250)</t>
        </is>
      </c>
      <c r="F106" s="9" t="inlineStr">
        <is>
          <t>استاندارد $3,050–4,900 ارزان‌تر</t>
        </is>
      </c>
      <c r="G106" s="9" t="inlineStr">
        <is>
          <t>ارزان‌ترین راه واقعی: اتاق استاندارد ۵۱ هفته‌ای ≈ $6,490 با همهٔ قبوض</t>
        </is>
      </c>
      <c r="H106" s="9" t="n"/>
      <c r="I106" s="9" t="n"/>
    </row>
    <row r="107">
      <c r="A107" s="5" t="inlineStr">
        <is>
          <t>York (اعداد رسمی PG 2026/27)</t>
        </is>
      </c>
      <c r="B107" s="9" t="inlineStr">
        <is>
          <t>$245 × ۵۱ = $12,600</t>
        </is>
      </c>
      <c r="C107" s="9" t="inlineStr">
        <is>
          <t>$275 × ۵۱ = $13,900</t>
        </is>
      </c>
      <c r="D107" s="9" t="inlineStr">
        <is>
          <t>$730–995/ماه × ۱۲ + $1,270 = $10,000–13,200</t>
        </is>
      </c>
      <c r="E107" s="9" t="inlineStr">
        <is>
          <t>❌ en-suite $665–3,840 گران‌تر از اتاق خصوصی</t>
        </is>
      </c>
      <c r="F107" s="9" t="inlineStr">
        <is>
          <t>استاندارد $1,350 ارزان‌تر</t>
        </is>
      </c>
      <c r="G107" s="9" t="inlineStr">
        <is>
          <t>York خوابگاه گران دارد؛ مزیتش تضمین و بی‌ضامنی است، نه قیمت</t>
        </is>
      </c>
      <c r="H107" s="9" t="n"/>
      <c r="I107" s="9" t="n"/>
    </row>
    <row r="108">
      <c r="A108" s="5" t="inlineStr">
        <is>
          <t>Colchester (Essex)</t>
        </is>
      </c>
      <c r="B108" s="9" t="inlineStr">
        <is>
          <t>$225 (Meadows، حمام مشترک) × ۴۰–۵۱ = $8,880–11,400 (رسمی)</t>
        </is>
      </c>
      <c r="C108" s="9" t="inlineStr">
        <is>
          <t>$250–265 × ۴۰–۵۱ = $10,100–13,400 (رسمی)</t>
        </is>
      </c>
      <c r="D108" s="9" t="inlineStr">
        <is>
          <t>≈ $530–795/ماه × ۱۲ + $1,270 = $7,690–10,900</t>
        </is>
      </c>
      <c r="E108" s="9" t="inlineStr">
        <is>
          <t>❌ خوابگاه $1,330–3,980 گران‌تر از اتاق خصوصی</t>
        </is>
      </c>
      <c r="F108" s="9" t="inlineStr">
        <is>
          <t>استاندارد ≈ $1,190–1,990 ارزان‌تر</t>
        </is>
      </c>
      <c r="G108" s="9" t="inlineStr">
        <is>
          <t>قرارداد ۴۰ هفته‌ای برای ارشد ۱۲ ماهه کافی نیست → ۸–۱۲ هفتهٔ تابستان جدا</t>
        </is>
      </c>
      <c r="H108" s="9" t="n"/>
      <c r="I108" s="9" t="n"/>
    </row>
    <row r="109">
      <c r="A109" s="5" t="inlineStr">
        <is>
          <t>Uxbridge (Brunel) — غرب لندن</t>
        </is>
      </c>
      <c r="B109" s="9" t="inlineStr">
        <is>
          <t>— (Brunel تقریباً همه en-suite)</t>
        </is>
      </c>
      <c r="C109" s="9" t="inlineStr">
        <is>
          <t>$240–280 × ۴۰–۵۰ = $9,540–13,900 (رسمی 2026/27)</t>
        </is>
      </c>
      <c r="D109" s="9" t="inlineStr">
        <is>
          <t>$1,190–1,590/ماه × ۱۲ + $1,590 = $15,900–20,700</t>
        </is>
      </c>
      <c r="E109" s="9" t="inlineStr">
        <is>
          <t>✅ en-suite $2,650–6,630 ارزان‌تر</t>
        </is>
      </c>
      <c r="F109" s="9" t="inlineStr">
        <is>
          <t>—</t>
        </is>
      </c>
      <c r="G109" s="9" t="inlineStr">
        <is>
          <t>در لندن و حومه خوابگاه دانشگاه واقعاً می‌صرفد + تضمین Brunel (مهلت ۱۵ مارس)</t>
        </is>
      </c>
      <c r="H109" s="9" t="n"/>
      <c r="I109" s="9" t="n"/>
    </row>
    <row r="110">
      <c r="A110" s="5" t="inlineStr">
        <is>
          <t>Durham (کالج، PG self-catered)</t>
        </is>
      </c>
      <c r="B110" s="9" t="inlineStr">
        <is>
          <t>$240 × ۳۹ = $9,470 + ۱۳ هفته تابستان ≈ $2,580 = $12,100</t>
        </is>
      </c>
      <c r="C110" s="9" t="inlineStr">
        <is>
          <t>$265 × ۳۹ = $10,300 + تابستان ≈ $2,580 = $12,900</t>
        </is>
      </c>
      <c r="D110" s="9" t="inlineStr">
        <is>
          <t>$730–930/ماه × ۱۲ + $1,270 = $10,000–12,400</t>
        </is>
      </c>
      <c r="E110" s="9" t="inlineStr">
        <is>
          <t>≈ برابر تا $2,650 گران‌تر</t>
        </is>
      </c>
      <c r="F110" s="9" t="inlineStr">
        <is>
          <t>استاندارد $860 ارزان‌تر</t>
        </is>
      </c>
      <c r="G110" s="9" t="inlineStr">
        <is>
          <t>قرارداد ۳۹ هفته‌ای دورهام برای ارشد ۱۲ ماهه مشکل‌ساز است</t>
        </is>
      </c>
      <c r="H110" s="9" t="n"/>
      <c r="I110" s="9" t="n"/>
    </row>
    <row r="111">
      <c r="A111" s="5" t="inlineStr">
        <is>
          <t>London مرکز (UCL / KCL / Imperial)</t>
        </is>
      </c>
      <c r="B111" s="9" t="inlineStr">
        <is>
          <t>$280–330 × ۴۰–۵۱ = $11,100–16,900</t>
        </is>
      </c>
      <c r="C111" s="9" t="inlineStr">
        <is>
          <t>$345–465 × ۴۰–۵۱ = $13,800–23,700</t>
        </is>
      </c>
      <c r="D111" s="9" t="inlineStr">
        <is>
          <t>$1,330–1,860/ماه × ۱۲ + $1,590 = $17,500–23,900 (+ ضامن)</t>
        </is>
      </c>
      <c r="E111" s="9" t="inlineStr">
        <is>
          <t>✅ $0–3,980 ارزان‌تر (اگر گیرتان بیاید — PG بدون تضمین)</t>
        </is>
      </c>
      <c r="F111" s="9" t="inlineStr">
        <is>
          <t>استاندارد $2,650–6,630 ارزان‌تر</t>
        </is>
      </c>
      <c r="G111" s="9" t="inlineStr">
        <is>
          <t>در لندن هر دو گران‌اند؛ تفاوت اصلی «ضامن نخواستن» خوابگاه است</t>
        </is>
      </c>
      <c r="H111" s="9" t="n"/>
      <c r="I111" s="9" t="n"/>
    </row>
    <row r="112">
      <c r="A112" s="5" t="inlineStr">
        <is>
          <t>آلمان (Studierendenwerk در برابر WG)</t>
        </is>
      </c>
      <c r="B112" s="9" t="inlineStr">
        <is>
          <t>$260–515/ماه با قبوض = $3,190–6,160</t>
        </is>
      </c>
      <c r="C112" s="9" t="inlineStr">
        <is>
          <t>— (خوابگاه‌های آلمان معمولاً حمام مشترک یا آپارتمان تک‌نفره)</t>
        </is>
      </c>
      <c r="D112" s="9" t="inlineStr">
        <is>
          <t>$515–800 + $91 قبوض = $7,300–10,700</t>
        </is>
      </c>
      <c r="E112" s="9" t="inlineStr">
        <is>
          <t>✅ خوابگاه $1,710–5,130 ارزان‌تر</t>
        </is>
      </c>
      <c r="F112" s="9" t="inlineStr">
        <is>
          <t>—</t>
        </is>
      </c>
      <c r="G112" s="9" t="inlineStr">
        <is>
          <t>بزرگ‌ترین صرفه‌جویی نسبی — ولی لیست انتظار</t>
        </is>
      </c>
      <c r="H112" s="9" t="n"/>
      <c r="I112" s="9" t="n"/>
    </row>
    <row r="113">
      <c r="A113" s="5" t="inlineStr">
        <is>
          <t>هلند (اتاق رزروشده در برابر بازار)</t>
        </is>
      </c>
      <c r="B113" s="9" t="inlineStr">
        <is>
          <t>$420–740 = $5,020–8,890</t>
        </is>
      </c>
      <c r="C113" s="9" t="inlineStr">
        <is>
          <t>—</t>
        </is>
      </c>
      <c r="D113" s="9" t="inlineStr">
        <is>
          <t>$685–1,140 = $8,210–13,700</t>
        </is>
      </c>
      <c r="E113" s="9" t="inlineStr">
        <is>
          <t>✅ $1,710–4,560 ارزان‌تر</t>
        </is>
      </c>
      <c r="F113" s="9" t="inlineStr">
        <is>
          <t>—</t>
        </is>
      </c>
      <c r="G113" s="9" t="inlineStr">
        <is>
          <t>اتاق رزروشده فقط سال اول و بدون تضمین</t>
        </is>
      </c>
      <c r="H113" s="9" t="n"/>
      <c r="I113" s="9" t="n"/>
    </row>
    <row r="114">
      <c r="A114" s="5" t="inlineStr">
        <is>
          <t>سوئد (کریدوری در برابر خصوصی)</t>
        </is>
      </c>
      <c r="B114" s="9" t="inlineStr">
        <is>
          <t>$355–655 = $4.2–7.9k</t>
        </is>
      </c>
      <c r="C114" s="9" t="inlineStr">
        <is>
          <t>—</t>
        </is>
      </c>
      <c r="D114" s="9" t="inlineStr">
        <is>
          <t>$505–810 (+ برق) = $6.3–10.1k</t>
        </is>
      </c>
      <c r="E114" s="9" t="inlineStr">
        <is>
          <t>✅ $1.5–2.5k ارزان‌تر</t>
        </is>
      </c>
      <c r="F114" s="9" t="inlineStr">
        <is>
          <t>—</t>
        </is>
      </c>
      <c r="G114" s="9" t="inlineStr">
        <is>
          <t>Uppsala/LiU تضمین؛ استکهلم صف</t>
        </is>
      </c>
      <c r="H114" s="9" t="n"/>
      <c r="I114" s="9" t="n"/>
    </row>
    <row r="115">
      <c r="A115" s="5" t="inlineStr">
        <is>
          <t>دانمارک (kollegium در برابر خصوصی)</t>
        </is>
      </c>
      <c r="B115" s="9" t="inlineStr">
        <is>
          <t>$490–720 = $5.8–8.5k</t>
        </is>
      </c>
      <c r="C115" s="9" t="inlineStr">
        <is>
          <t>—</t>
        </is>
      </c>
      <c r="D115" s="9" t="inlineStr">
        <is>
          <t>$685–1,070 = $8.2–12.8k</t>
        </is>
      </c>
      <c r="E115" s="9" t="inlineStr">
        <is>
          <t>✅ $2.3–4.6k ارزان‌تر</t>
        </is>
      </c>
      <c r="F115" s="9" t="inlineStr">
        <is>
          <t>—</t>
        </is>
      </c>
      <c r="G115" s="9" t="inlineStr">
        <is>
          <t>Aalborg تضمین؛ کپنهاگ نه</t>
        </is>
      </c>
      <c r="H115" s="9" t="n"/>
      <c r="I115" s="9" t="n"/>
    </row>
    <row r="116">
      <c r="A116" s="5" t="inlineStr">
        <is>
          <t>سوئیس (WOKO/FMEL در برابر WG)</t>
        </is>
      </c>
      <c r="B116" s="9" t="inlineStr">
        <is>
          <t>$580–1,090 = $7,020–13,100</t>
        </is>
      </c>
      <c r="C116" s="9" t="inlineStr">
        <is>
          <t>—</t>
        </is>
      </c>
      <c r="D116" s="9" t="inlineStr">
        <is>
          <t>$845–1,450 = $10,200–17,400</t>
        </is>
      </c>
      <c r="E116" s="9" t="inlineStr">
        <is>
          <t>✅ $3,030–6,050 ارزان‌تر</t>
        </is>
      </c>
      <c r="F116" s="9" t="inlineStr">
        <is>
          <t>—</t>
        </is>
      </c>
      <c r="G116" s="9" t="inlineStr">
        <is>
          <t>بزرگ‌ترین صرفه‌جویی مطلق — ولی زوریخ ۳–۱۲ ماه صف</t>
        </is>
      </c>
      <c r="H116" s="9" t="n"/>
      <c r="I116" s="9" t="n"/>
    </row>
    <row r="117"/>
    <row r="118" ht="48" customHeight="1">
      <c r="A118" s="22"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27"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27"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27"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27" t="inlineStr">
        <is>
          <t>• اعداد «رسمی» از صفحهٔ دانشگاه (۲۰۲۶/۲۷) و اعداد با «≈» برآورد از منابع ثانویه‌اند؛ اجاره‌ها هر سال ۳–۸٪ بالا می‌رود.</t>
        </is>
      </c>
    </row>
    <row r="123" ht="48" customHeight="1">
      <c r="A123" s="27"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9" t="inlineStr">
        <is>
          <t>رتبه‌بندی هزینه کل تا فارغ‌التحصیلی</t>
        </is>
      </c>
      <c r="B2" s="9"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9" t="inlineStr">
        <is>
          <t>فقط با انگلیسی (تحصیل + کار + اداری + اقامت)</t>
        </is>
      </c>
      <c r="B3" s="9"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9" t="inlineStr">
        <is>
          <t>بازار کار و حقوق جونیور</t>
        </is>
      </c>
      <c r="B4" s="9"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9" t="inlineStr">
        <is>
          <t>نتیجه با وزن برابر برای ۳ معیار</t>
        </is>
      </c>
      <c r="B5" s="9"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6">
      <c r="A6" s="9" t="inlineStr">
        <is>
          <t>سوئیس در یک نگاه (جایگزین ایرلند — همهٔ ۲۸ ردیف در یک پاراگراف)</t>
        </is>
      </c>
      <c r="B6" s="9"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فقط Neuchâtel/Fribourg در بودجهٔ $32k/سال.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7">
      <c r="A7" s="9" t="inlineStr">
        <is>
          <t>ریسک شماره یک</t>
        </is>
      </c>
      <c r="B7" s="9"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8">
      <c r="A8" s="9" t="inlineStr">
        <is>
          <t>برنامه زمانی ورودی سپتامبر ۲۰۲۷ (فشرده — جزئیات در شیت «برنامهٔ زمانی ۲۰۲۷»)</t>
        </is>
      </c>
      <c r="B8" s="9"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9">
      <c r="A9" s="9" t="inlineStr">
        <is>
          <t>سه پیش‌نیاز عملی ورودی ۲۰۲۷</t>
        </is>
      </c>
      <c r="B9" s="9"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0">
      <c r="A10" s="9" t="inlineStr">
        <is>
          <t>تغییرات اصلی نسبت به جدول اول</t>
        </is>
      </c>
      <c r="B10" s="9"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1">
      <c r="A11" s="9" t="inlineStr">
        <is>
          <t>چرا «انگلستان» و نه «بریتانیا»</t>
        </is>
      </c>
      <c r="B11" s="9"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2">
      <c r="A12" s="9" t="inlineStr">
        <is>
          <t>نکته پروفایل</t>
        </is>
      </c>
      <c r="B12" s="9"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3">
      <c r="A13" s="9" t="inlineStr">
        <is>
          <t>اعداد را چگونه بخوانم</t>
        </is>
      </c>
      <c r="B13" s="9"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9" t="inlineStr">
        <is>
          <t>۱ یورو = ۱.۱۴ دلار · ۱ پوند = ۱.۳۲۵ دلار · ۱ فرانک = ۱.۲۱ دلار · ۱ کرون سوئد = ۰.۱۰۱ دلار · ۱ کرون دانمارک = ۰.۱۵۳ دلار</t>
        </is>
      </c>
      <c r="C2" s="9" t="inlineStr">
        <is>
          <t>xe.com / tradingeconomics</t>
        </is>
      </c>
      <c r="D2" s="9" t="inlineStr">
        <is>
          <t>رسمی (بازار)</t>
        </is>
      </c>
      <c r="E2" s="9" t="inlineStr">
        <is>
          <t>۲۸ سپتامبر ۲۰۲۶</t>
        </is>
      </c>
      <c r="F2" s="26" t="inlineStr">
        <is>
          <t>✅ تأیید: یورو/دلار ۱.۱۳۷، پوند/دلار ۱.۳۲۱، دلار/فرانک ۰.۸۲۹ (انحراف &lt; ۰.۵٪)</t>
        </is>
      </c>
    </row>
    <row r="3">
      <c r="A3" s="5" t="inlineStr">
        <is>
          <t>جدول اصلی – شهریه‌ها (ردیف ۴/۵)</t>
        </is>
      </c>
      <c r="B3" s="9" t="inlineStr">
        <is>
          <t>آلمان $340–910 (€300–800) (Stuttgart $3,420 (€3,000)؛ FAU $9,120 (€8,000) از ۲۰۲۷) · هلند $22,500–25,500 (€19,714–22,400) · سوئد $14–19k (SEK 140–190k) · دانمارک $17,000–19,700 (€14,900–17,300) · سوئیس $955–9,680 (CHF 790–8,000)/سال · انگلستان $22,500–61,000 (£17,000–46,000)</t>
        </is>
      </c>
      <c r="C3" s="9" t="inlineStr">
        <is>
          <t>صفحات رسمی دانشگاه‌ها</t>
        </is>
      </c>
      <c r="D3" s="9" t="inlineStr">
        <is>
          <t>رسمی 2026/27 (Bristol 2027/28)</t>
        </is>
      </c>
      <c r="E3" s="9" t="inlineStr">
        <is>
          <t>۲۷–۲۸ سپتامبر ۲۰۲۶</t>
        </is>
      </c>
      <c r="F3" s="26" t="inlineStr">
        <is>
          <t>✅ همه از صفحهٔ رسمی؛ نرخ 2027/28 اکثراً هنوز منتشر نشده (اکتبر–دسامبر ۲۰۲۶ اعلام می‌شود)</t>
        </is>
      </c>
    </row>
    <row r="4">
      <c r="A4" s="5" t="inlineStr">
        <is>
          <t>جدول اصلی – ویزا و تمکن (ردیف ۲۳/۲۵)</t>
        </is>
      </c>
      <c r="B4" s="9" t="inlineStr">
        <is>
          <t>DE $13,600 (€11,904) · NL $15,500 (€13,569) · SE $1,080 (SEK 10,656)/ماه · DK $1,130 (DKK 7,426)/ماه · CH $25,400 (CHF 21,000) (Basel $29,000 (CHF 24,000)) · UK $1,590 (£1,203)/$2,080 (£1,570) از ۳۰ نوامبر ۲۰۲۶</t>
        </is>
      </c>
      <c r="C4" s="9" t="inlineStr">
        <is>
          <t>make-it-in-germany، ind.nl، migrationsverket، nyidanmark، sem.admin.ch، gov.uk</t>
        </is>
      </c>
      <c r="D4" s="9" t="inlineStr">
        <is>
          <t>رسمی</t>
        </is>
      </c>
      <c r="E4" s="9" t="inlineStr">
        <is>
          <t>۲۷ سپتامبر ۲۰۲۶</t>
        </is>
      </c>
      <c r="F4" s="26" t="inlineStr">
        <is>
          <t>✅ بدون تغییر از بررسی قبلی</t>
        </is>
      </c>
    </row>
    <row r="5">
      <c r="A5" s="5" t="inlineStr">
        <is>
          <t>جدول اصلی – کف حقوق/ویزای کار (ردیف ۱۶)</t>
        </is>
      </c>
      <c r="B5" s="9" t="inlineStr">
        <is>
          <t>DE $52,400 (€45,934)/$57,800 (€50,700) · NL $3,560 (€3,122)/ماه · SE $3,480 (SEK 34,470) · UK $50,700 (£38,290) → $55,300 (£41,700) · CH بدون کف + سهمیه ۸,۵۰۰</t>
        </is>
      </c>
      <c r="C5" s="9" t="inlineStr">
        <is>
          <t>منابع دولتی</t>
        </is>
      </c>
      <c r="D5" s="9" t="inlineStr">
        <is>
          <t>رسمی</t>
        </is>
      </c>
      <c r="E5" s="9" t="inlineStr">
        <is>
          <t>۲۷ سپتامبر ۲۰۲۶</t>
        </is>
      </c>
      <c r="F5" s="26" t="inlineStr">
        <is>
          <t>✅ بدون تغییر</t>
        </is>
      </c>
    </row>
    <row r="6">
      <c r="A6" s="5" t="inlineStr">
        <is>
          <t>جدول اصلی – حقوق جونیور و خالص (ردیف ۱۷/۱۸/۱۹)</t>
        </is>
      </c>
      <c r="B6" s="9" t="inlineStr">
        <is>
          <t>DE $55–63k (€48–55k) · NL $46–57k (€40–50k) · SE $42–55k (SEK 420–540k) · DK $76–82k (DKK 500–540k) · CH $103–127k (CHF 85–105k) · UK $37–46k (£28–35k)</t>
        </is>
      </c>
      <c r="C6" s="9" t="inlineStr">
        <is>
          <t>Glassdoor، StepStone، اعلان‌های ۲۰۲۶</t>
        </is>
      </c>
      <c r="D6" s="9" t="inlineStr">
        <is>
          <t>ثانویه</t>
        </is>
      </c>
      <c r="E6" s="9" t="inlineStr">
        <is>
          <t>۲۷ سپتامبر ۲۰۲۶</t>
        </is>
      </c>
      <c r="F6" s="25" t="inlineStr">
        <is>
          <t>⚠️ بازهٔ منطقی ولی نه رسمی — تنها بخش جدول اصلی که ذاتاً برآورد است</t>
        </is>
      </c>
    </row>
    <row r="7">
      <c r="A7" s="5" t="inlineStr">
        <is>
          <t>جدول اصلی – هزینهٔ زندگی (ردیف ۶/۷/۸)</t>
        </is>
      </c>
      <c r="B7" s="9" t="inlineStr">
        <is>
          <t>بازه‌های شهری + مجموع سال اول/کل دوره</t>
        </is>
      </c>
      <c r="C7" s="9" t="inlineStr">
        <is>
          <t>برآورد دانشگاه‌ها + محاسبه</t>
        </is>
      </c>
      <c r="D7" s="9" t="inlineStr">
        <is>
          <t>رسمی (بازه) + محاسبهٔ خودم</t>
        </is>
      </c>
      <c r="E7" s="9" t="inlineStr">
        <is>
          <t>۲۷ سپتامبر ۲۰۲۶</t>
        </is>
      </c>
      <c r="F7" s="25" t="inlineStr">
        <is>
          <t>⚠️ ذاتاً تقریبی؛ با اجاره‌های رسمی خوابگاه‌ها (شیت خوابگاه) سازگار است</t>
        </is>
      </c>
    </row>
    <row r="8">
      <c r="A8" s="5" t="inlineStr">
        <is>
          <t>جدول اصلی – امتیاز (ردیف ۲۸)</t>
        </is>
      </c>
      <c r="B8" s="9" t="inlineStr">
        <is>
          <t>DE 22 › SE 19 = EN 19 › NL 18 = CH 18 › DK 16</t>
        </is>
      </c>
      <c r="C8" s="9" t="inlineStr">
        <is>
          <t>قضاوت بر اساس سه معیار شما</t>
        </is>
      </c>
      <c r="D8" s="9" t="inlineStr">
        <is>
          <t>تحلیلی</t>
        </is>
      </c>
      <c r="E8" s="9" t="inlineStr">
        <is>
          <t>—</t>
        </is>
      </c>
      <c r="F8" s="25" t="inlineStr">
        <is>
          <t>⚠️ عدد نیست، قضاوت وزنی است</t>
        </is>
      </c>
    </row>
    <row r="9">
      <c r="A9" s="5" t="inlineStr">
        <is>
          <t>شیت برنامه‌ها – شهریه‌ها</t>
        </is>
      </c>
      <c r="B9" s="9" t="inlineStr">
        <is>
          <t>۱۱۰ برنامه: ۶۴ رسمی، ۴۶ با «≈» (آلمان ۱۳ = فقط هزینهٔ ترم تقریبی، سوئد ۱۰، سوئیس ۸، انگلستان ۶، هلند ۵، دانمارک ۴)</t>
        </is>
      </c>
      <c r="C9" s="9" t="inlineStr">
        <is>
          <t>صفحات رسمی / mastersportal / IDP</t>
        </is>
      </c>
      <c r="D9" s="9" t="inlineStr">
        <is>
          <t>رسمی یا ثانویه (علامت‌گذاری‌شده)</t>
        </is>
      </c>
      <c r="E9" s="9" t="inlineStr">
        <is>
          <t>۲۷–۲۸ سپتامبر ۲۰۲۶</t>
        </is>
      </c>
      <c r="F9" s="26" t="inlineStr">
        <is>
          <t>✅ سوئیس همه امروز/دیروز از صفحهٔ رسمی؛ ⚠️ ردیف‌های «≈» خطای محتمل ±۵–۱۰٪</t>
        </is>
      </c>
    </row>
    <row r="10">
      <c r="A10" s="5" t="inlineStr">
        <is>
          <t>شیت برنامه‌ها – شرط ورود/تطبیق نمره</t>
        </is>
      </c>
      <c r="B10" s="9" t="inlineStr">
        <is>
          <t>Warwick 2:1 = ۱۵/۲۰ · Durham 2:1 = ۱۴–۱۶/۲۰ · KCL high 2:1 = ۱۷/۲۰ · Bristol حداقل ۱۵/۲۰ · Twente ۱۵/۲۰ · Imperial First</t>
        </is>
      </c>
      <c r="C10" s="9" t="inlineStr">
        <is>
          <t>صفحات رسمی دانشگاه‌ها</t>
        </is>
      </c>
      <c r="D10" s="9" t="inlineStr">
        <is>
          <t>رسمی</t>
        </is>
      </c>
      <c r="E10" s="9" t="inlineStr">
        <is>
          <t>۲۸ سپتامبر ۲۰۲۶</t>
        </is>
      </c>
      <c r="F10" s="26" t="inlineStr">
        <is>
          <t>✅ تأیید؛ UCL جدول ایران رسمی پیدا نشد (⚠️ برآورد ۱۵–۱۶/۲۰)</t>
        </is>
      </c>
    </row>
    <row r="11">
      <c r="A11" s="5" t="inlineStr">
        <is>
          <t>شیت برنامه‌ها – QS 2027</t>
        </is>
      </c>
      <c r="B11" s="9" t="inlineStr">
        <is>
          <t>ETH 8 … ZHAW 851–900؛ Warwick ≈ 69، Bristol ≈ 54، KCL ≈ 31، Durham ≈ 94</t>
        </is>
      </c>
      <c r="C11" s="9" t="inlineStr">
        <is>
          <t>QS WUR 2027 (via iamexpat/topuniversities)</t>
        </is>
      </c>
      <c r="D11" s="9" t="inlineStr">
        <is>
          <t>ثانویه از منبع رسمی</t>
        </is>
      </c>
      <c r="E11" s="9" t="inlineStr">
        <is>
          <t>۲۷–۲۸ سپتامبر ۲۰۲۶</t>
        </is>
      </c>
      <c r="F11" s="26" t="inlineStr">
        <is>
          <t>✅ (رتبه‌های حدودی با ≈)</t>
        </is>
      </c>
    </row>
    <row r="12">
      <c r="A12" s="5" t="inlineStr">
        <is>
          <t>ردیف ۵ب – بورس‌ها</t>
        </is>
      </c>
      <c r="B12" s="9"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9" t="inlineStr">
        <is>
          <t>liu.se، chalmers.se، uu.se، si.se، en.aau.dk، ethz.ch، usi.ch، essex.ac.uk، tees.ac.uk، brunel.ac.uk، chevening.org</t>
        </is>
      </c>
      <c r="D12" s="9" t="inlineStr">
        <is>
          <t>رسمی (Halmstad/MDU ثانویه)</t>
        </is>
      </c>
      <c r="E12" s="9" t="inlineStr">
        <is>
          <t>۲۸ سپتامبر ۲۰۲۶</t>
        </is>
      </c>
      <c r="F12" s="26" t="inlineStr">
        <is>
          <t>✅ Essex $5,960 (£4,500) دوباره تأیید (جدول ۲۰۲۵–۲۶؛ ۲۰۲۶–۲۷ هنوز)؛ ⚠️ Halmstad/MDU از منبع ثانویه</t>
        </is>
      </c>
    </row>
    <row r="13">
      <c r="A13" s="5" t="inlineStr">
        <is>
          <t>شیت زمانی – مهلت‌ها</t>
        </is>
      </c>
      <c r="B13" s="9" t="inlineStr">
        <is>
          <t>ETH ۱–۳۰ نوامبر · EPFL ۱۵ دسامبر · سوئد ۱۵ ژانویه · UZH/Fribourg ۲۸ فوریه · HSLU ۱ آوریل · Radboud ۱ آوریل · USI/Neuchâtel/Basel ۳۰ آوریل · Twente ۱ می · Passau ۳۱ می</t>
        </is>
      </c>
      <c r="C13" s="9" t="inlineStr">
        <is>
          <t>صفحات رسمی</t>
        </is>
      </c>
      <c r="D13" s="9" t="inlineStr">
        <is>
          <t>رسمی (چرخهٔ ۲۰۲۶/۲۷ برای ۲۰۲۷)</t>
        </is>
      </c>
      <c r="E13" s="9" t="inlineStr">
        <is>
          <t>۲۷–۲۸ سپتامبر ۲۰۲۶</t>
        </is>
      </c>
      <c r="F13" s="26" t="inlineStr">
        <is>
          <t>✅؛ ⚠️ مهلت‌های ۲۰۲۷ بر اساس چرخهٔ قبلی — بهار ۲۰۲۷ دوباره ببینید</t>
        </is>
      </c>
    </row>
    <row r="14">
      <c r="A14" s="5" t="inlineStr">
        <is>
          <t>شیت خوابگاه – انگلستان (اجاره)</t>
        </is>
      </c>
      <c r="B14" s="9" t="inlineStr">
        <is>
          <t>Teesside $115–210 (£85–160) · Northumbria $125–210 (£94–158) · Newcastle $155–320 (£118–240) · Sheffield PG $240–275 (£180–209) · Lancaster $185–275 (£139–206) · York $245–295 (£186–224) · Essex $225–265 (£168–199) · Brunel $240–280 (£180–210) · Durham $240–345 (£183–262) · Imperial $280–545 (£210–410)</t>
        </is>
      </c>
      <c r="C14" s="9" t="inlineStr">
        <is>
          <t>صفحات رسمی 2026/27 (Imperial ثانویه)</t>
        </is>
      </c>
      <c r="D14" s="9" t="inlineStr">
        <is>
          <t>رسمی</t>
        </is>
      </c>
      <c r="E14" s="9" t="inlineStr">
        <is>
          <t>۲۸ سپتامبر ۲۰۲۶</t>
        </is>
      </c>
      <c r="F14" s="26"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9" t="inlineStr">
        <is>
          <t>York ۳۱ ژوئیه · Essex کل دوره · Brunel ۱۵ مارس · Manchester ۳۱ اوت · Imperial/UCL/KCL/Durham بدون تضمین PG</t>
        </is>
      </c>
      <c r="C15" s="9" t="inlineStr">
        <is>
          <t>صفحات رسمی</t>
        </is>
      </c>
      <c r="D15" s="9" t="inlineStr">
        <is>
          <t>رسمی</t>
        </is>
      </c>
      <c r="E15" s="9" t="inlineStr">
        <is>
          <t>۲۸ سپتامبر ۲۰۲۶</t>
        </is>
      </c>
      <c r="F15" s="26" t="inlineStr">
        <is>
          <t>✅؛ ⚠️ Teesside، Northumbria، Newcastle، Sheffield، Lancaster، Leicester، Kent، Surrey، RHUL، NTU، MMU: «احتمالاً بله» — تأیید نشده</t>
        </is>
      </c>
    </row>
    <row r="16">
      <c r="A16" s="5" t="inlineStr">
        <is>
          <t>شیت خوابگاه – آلمان</t>
        </is>
      </c>
      <c r="B16" s="9" t="inlineStr">
        <is>
          <t>خوابگاه: میانگین DSW 2023 هر شهر (Darmstadt $455 (€401) … Siegen $280 (€246)) · WG: MLP 2025 (Chemnitz $310 (€274) … München $900 (€790)) · Stuttgart صف ۶–۸ ماه</t>
        </is>
      </c>
      <c r="C16" s="9" t="inlineStr">
        <is>
          <t>Statista/DSW 2023، MLP Studentenwohnreport 2025، Studierendenwerk Stuttgart</t>
        </is>
      </c>
      <c r="D16" s="9" t="inlineStr">
        <is>
          <t>رسمی</t>
        </is>
      </c>
      <c r="E16" s="9" t="inlineStr">
        <is>
          <t>۲۸ سپتامبر ۲۰۲۶</t>
        </is>
      </c>
      <c r="F16" s="26"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9" t="inlineStr">
        <is>
          <t>Radboud $420–740 (€370–650) · Utrecht $990 (€868) · Twente $340–910 (€300–800) · Enschede $455 (€397) · Groningen $585 (€515) · شهرهای پرفشار Kences</t>
        </is>
      </c>
      <c r="C17" s="9" t="inlineStr">
        <is>
          <t>ru.nl، uu.nl، utwente، Kences 2026، Kamernet</t>
        </is>
      </c>
      <c r="D17" s="9" t="inlineStr">
        <is>
          <t>رسمی/ثانویهٔ معتبر</t>
        </is>
      </c>
      <c r="E17" s="9" t="inlineStr">
        <is>
          <t>۲۸ سپتامبر ۲۰۲۶</t>
        </is>
      </c>
      <c r="F17" s="26" t="inlineStr">
        <is>
          <t>✅؛ ⚠️ Leiden/Delft/Eindhoven/Amsterdam/Breda بازه‌ها برآورد</t>
        </is>
      </c>
    </row>
    <row r="18">
      <c r="A18" s="5" t="inlineStr">
        <is>
          <t>شیت خوابگاه – سوئد</t>
        </is>
      </c>
      <c r="B18" s="9" t="inlineStr">
        <is>
          <t>رنگ شهرها SFS 2024/2025 · Uppsala تضمین · LiU یک پیشنهاد · اجاره $335–810 (SEK 3,300–8,000)</t>
        </is>
      </c>
      <c r="C18" s="9" t="inlineStr">
        <is>
          <t>SFS، uu.se، liu.se</t>
        </is>
      </c>
      <c r="D18" s="9" t="inlineStr">
        <is>
          <t>رسمی (رنگ‌ها) / برآورد (اجاره)</t>
        </is>
      </c>
      <c r="E18" s="9" t="inlineStr">
        <is>
          <t>۲۸ سپتامبر ۲۰۲۶</t>
        </is>
      </c>
      <c r="F18" s="26" t="inlineStr">
        <is>
          <t>✅ رنگ‌ها رسمی؛ ⚠️ اجاره‌ها برآورد کلی (SSSB/Studentbostäder چک نشد)</t>
        </is>
      </c>
    </row>
    <row r="19">
      <c r="A19" s="5" t="inlineStr">
        <is>
          <t>شیت خوابگاه – دانمارک</t>
        </is>
      </c>
      <c r="B19" s="9" t="inlineStr">
        <is>
          <t>Aalborg $490–720 (DKK 3,200–4,700) · Copenhagen $535–1,370 (DKK 3,500–9,000) · Odense/Kolding/Aarhus/Lyngby</t>
        </is>
      </c>
      <c r="C19" s="9" t="inlineStr">
        <is>
          <t>en.aau.dk، بروشور AAU</t>
        </is>
      </c>
      <c r="D19" s="9" t="inlineStr">
        <is>
          <t>رسمی (AAU) / برآورد (بقیه)</t>
        </is>
      </c>
      <c r="E19" s="9" t="inlineStr">
        <is>
          <t>۲۸ سپتامبر ۲۰۲۶</t>
        </is>
      </c>
      <c r="F19" s="25" t="inlineStr">
        <is>
          <t>⚠️ Odense/Kolding/Aarhus/Lyngby برآورد</t>
        </is>
      </c>
    </row>
    <row r="20">
      <c r="A20" s="5" t="inlineStr">
        <is>
          <t>شیت خوابگاه – سوئیس</t>
        </is>
      </c>
      <c r="B20" s="9" t="inlineStr">
        <is>
          <t>WOKO $355–1,430 (CHF 295–1,180) (اکثر $545–1,030 (CHF 450–850)) · FMEL/USI/Bern/Fribourg/Neuchâtel/Basel/Luzern ≈ $545–1,090 (CHF 450–900)</t>
        </is>
      </c>
      <c r="C20" s="9" t="inlineStr">
        <is>
          <t>woko.ch</t>
        </is>
      </c>
      <c r="D20" s="9" t="inlineStr">
        <is>
          <t>رسمی (WOKO) / برآورد (بقیه)</t>
        </is>
      </c>
      <c r="E20" s="9" t="inlineStr">
        <is>
          <t>۲۸ سپتامبر ۲۰۲۶</t>
        </is>
      </c>
      <c r="F20" s="26" t="inlineStr">
        <is>
          <t>✅ WOKO امروز اصلاح شد؛ ⚠️ بقیه برآورد</t>
        </is>
      </c>
    </row>
    <row r="21">
      <c r="A21" s="5" t="inlineStr">
        <is>
          <t>شیت خوابگاه – catered انگلستان</t>
        </is>
      </c>
      <c r="B21" s="9" t="inlineStr">
        <is>
          <t>Durham catered $345 (£262)/هفته، غذا $4,090 (£3,087) (25/26) · Lancaster catered $365 (£276) · Northumbria گزینهٔ catered</t>
        </is>
      </c>
      <c r="C21" s="9" t="inlineStr">
        <is>
          <t>durham.ac.uk، Palatinate، lancaster.ac.uk، northumbria.ac.uk</t>
        </is>
      </c>
      <c r="D21" s="9" t="inlineStr">
        <is>
          <t>رسمی</t>
        </is>
      </c>
      <c r="E21" s="9" t="inlineStr">
        <is>
          <t>۲۸ سپتامبر ۲۰۲۶</t>
        </is>
      </c>
      <c r="F21" s="26" t="inlineStr">
        <is>
          <t>✅</t>
        </is>
      </c>
    </row>
    <row r="22">
      <c r="A22" s="5" t="inlineStr">
        <is>
          <t>MD – ATAS، غربالگری هلند، Chevening</t>
        </is>
      </c>
      <c r="B22" s="9" t="inlineStr">
        <is>
          <t>ATAS برای ارشد آموزشی CS لازم نیست · غربالگری هلند «فعلاً» کنار گذاشته شد (ژوئن ۲۰۲۶) · Chevening: ۲ سال کار بعد از مدرک + بازگشت</t>
        </is>
      </c>
      <c r="C22" s="9" t="inlineStr">
        <is>
          <t>gov.uk Appendix ATAS، delta.tudelft، chevening.org</t>
        </is>
      </c>
      <c r="D22" s="9" t="inlineStr">
        <is>
          <t>رسمی</t>
        </is>
      </c>
      <c r="E22" s="9" t="inlineStr">
        <is>
          <t>۲۸ سپتامبر ۲۰۲۶</t>
        </is>
      </c>
      <c r="F22" s="26" t="inlineStr">
        <is>
          <t>✅</t>
        </is>
      </c>
    </row>
    <row r="23">
      <c r="A23" s="5" t="inlineStr">
        <is>
          <t>کل فایل – وضعیت</t>
        </is>
      </c>
      <c r="B23" s="9" t="inlineStr">
        <is>
          <t>≈ ۱,۶۰۰ سلول عددی؛ ≈ ۳۴۰ سلول با علامت ≈/برآورد</t>
        </is>
      </c>
      <c r="C23" s="9" t="inlineStr">
        <is>
          <t>—</t>
        </is>
      </c>
      <c r="D23" s="9" t="inlineStr">
        <is>
          <t>—</t>
        </is>
      </c>
      <c r="E23" s="9" t="inlineStr">
        <is>
          <t>۲۸ سپتامبر ۲۰۲۶</t>
        </is>
      </c>
      <c r="F23" s="9"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15"/>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9" t="inlineStr">
        <is>
          <t>آلمان – EU Blue Card 2026 (€50,700 / €45,934.20)</t>
        </is>
      </c>
      <c r="B2" s="28" t="inlineStr">
        <is>
          <t>https://www.make-it-in-germany.com/en/visa-residence/types/eu-blue-card</t>
        </is>
      </c>
    </row>
    <row r="3">
      <c r="A3" s="9" t="inlineStr">
        <is>
          <t>آلمان – Sperrkonto €992/ماه (2026)</t>
        </is>
      </c>
      <c r="B3" s="28" t="inlineStr">
        <is>
          <t>https://www.make-it-in-germany.com/en/study-training/study/financing</t>
        </is>
      </c>
    </row>
    <row r="4">
      <c r="A4" s="9" t="inlineStr">
        <is>
          <t>آلمان – Niederlassungserlaubnis §18c (فارغ‌التحصیلان، ۲ سال، B1)</t>
        </is>
      </c>
      <c r="B4" s="28" t="inlineStr">
        <is>
          <t>https://www.make-it-in-germany.com/en/visa-residence/living-permanently/permanent-residence</t>
        </is>
      </c>
    </row>
    <row r="5">
      <c r="A5" s="9" t="inlineStr">
        <is>
          <t>آلمان – Stuttgart MSc Computer Science (انگلیسی، IELTS 7، €1,500/ترم)</t>
        </is>
      </c>
      <c r="B5" s="28" t="inlineStr">
        <is>
          <t>https://www.uni-stuttgart.de/en/study/study-programs/Computer-Science-M.Sc./</t>
        </is>
      </c>
    </row>
    <row r="6">
      <c r="A6" s="9" t="inlineStr">
        <is>
          <t>آلمان – FAU MSc Artificial Intelligence (انگلیسی، B2)</t>
        </is>
      </c>
      <c r="B6" s="28" t="inlineStr">
        <is>
          <t>https://www.ai.study.fau.eu/prospective-students/living-studying-in-germany/language-proficiency/</t>
        </is>
      </c>
    </row>
    <row r="7">
      <c r="A7" s="9" t="inlineStr">
        <is>
          <t>آلمان – TU Darmstadt MSc Computer Science</t>
        </is>
      </c>
      <c r="B7" s="28" t="inlineStr">
        <is>
          <t>https://www.informatik.tu-darmstadt.de/studium_fb20/im_studium/studiengaenge_liste/computer_science_msc.en.jsp</t>
        </is>
      </c>
    </row>
    <row r="8">
      <c r="A8" s="9" t="inlineStr">
        <is>
          <t>آلمان – TU Dresden MSc Computer Science admission</t>
        </is>
      </c>
      <c r="B8" s="28" t="inlineStr">
        <is>
          <t>https://tu-dresden.de/ing/informatik/studium/studienangebot/master-studiengaenge/m-sc-computer-science/admission?set_language=en</t>
        </is>
      </c>
    </row>
    <row r="9">
      <c r="A9" s="9" t="inlineStr">
        <is>
          <t>آلمان – TLScontact Tehran (لیست انتظار دانشجویی)</t>
        </is>
      </c>
      <c r="B9" s="28" t="inlineStr">
        <is>
          <t>https://visas-de.tlscontact.com/en-us/country/ir/vac/irTHR2de</t>
        </is>
      </c>
    </row>
    <row r="10">
      <c r="A10" s="9" t="inlineStr">
        <is>
          <t>آلمان – وضعیت سفارت تهران (Iran International، اوت ۲۰۲۶)</t>
        </is>
      </c>
      <c r="B10" s="28" t="inlineStr">
        <is>
          <t>https://www.iranintl.com/en/202608115899</t>
        </is>
      </c>
    </row>
    <row r="11">
      <c r="A11" s="9" t="inlineStr">
        <is>
          <t>آلمان – Fintiba: ساکنان ایران پذیرفته نمی‌شوند</t>
        </is>
      </c>
      <c r="B11" s="28" t="inlineStr">
        <is>
          <t>https://www.simplegermany.com/best-blocked-account-germany/</t>
        </is>
      </c>
    </row>
    <row r="12">
      <c r="A12" s="9" t="inlineStr">
        <is>
          <t>آلمان – حقوق توسعه‌دهنده (StepStone)</t>
        </is>
      </c>
      <c r="B12" s="28" t="inlineStr">
        <is>
          <t>https://www.stepstone.de/gehalt/Software-Entwickler-in.html</t>
        </is>
      </c>
    </row>
    <row r="13">
      <c r="A13" s="9" t="inlineStr">
        <is>
          <t>هلند – IND مبالغ ۲۰۲۶ (HSM €3,122 / €4,357؛ دانشجو €1,130.77)</t>
        </is>
      </c>
      <c r="B13" s="28" t="inlineStr">
        <is>
          <t>https://ind.nl/en/required-amounts-income-requirements</t>
        </is>
      </c>
    </row>
    <row r="14">
      <c r="A14" s="9" t="inlineStr">
        <is>
          <t>هلند – Twente شهریه 2026/27 €21,700</t>
        </is>
      </c>
      <c r="B14" s="28" t="inlineStr">
        <is>
          <t>https://www.utwente.nl/en/education/master/programmes/computer-science/finance/</t>
        </is>
      </c>
    </row>
    <row r="15">
      <c r="A15" s="9" t="inlineStr">
        <is>
          <t>هلند – Twente حداقل معدل برای مدرک ایرانی (۱۵/۲۰)</t>
        </is>
      </c>
      <c r="B15" s="28" t="inlineStr">
        <is>
          <t>https://www.utwente.nl/en/education/master/programmes/european-studies/admission/international/</t>
        </is>
      </c>
    </row>
    <row r="16">
      <c r="A16" s="9" t="inlineStr">
        <is>
          <t>هلند – Twente QS 2027 = 223</t>
        </is>
      </c>
      <c r="B16" s="28" t="inlineStr">
        <is>
          <t>https://www.utwente.nl/en/about-us/impact-ambitions/rankings/</t>
        </is>
      </c>
    </row>
    <row r="17">
      <c r="A17" s="9" t="inlineStr">
        <is>
          <t>هلند – Radboud شهریهٔ رسمی 2026/27 غیر-EEA €19,714 (Data Science and AI؛ دانشکدهٔ علوم)</t>
        </is>
      </c>
      <c r="B17" s="28" t="inlineStr">
        <is>
          <t>https://www.ru.nl/en/education/masters/data-science-and-ai/tuition</t>
        </is>
      </c>
    </row>
    <row r="18">
      <c r="A18" s="9" t="inlineStr">
        <is>
          <t>هلند – MVV در ایران (سفارت در باکو)</t>
        </is>
      </c>
      <c r="B18" s="28" t="inlineStr">
        <is>
          <t>https://www.netherlandsworldwide.nl/visa-the-netherlands/mvv-long-stay/apply-iran</t>
        </is>
      </c>
    </row>
    <row r="19">
      <c r="A19" s="9" t="inlineStr">
        <is>
          <t>هلند – B1 برای PR/تابعیت (تصمیم کابینه ۲۰۲۶)</t>
        </is>
      </c>
      <c r="B19" s="28" t="inlineStr">
        <is>
          <t>https://thedutchdaily.nl/dutch-citizenship-b1-language-requirement-confirmed-2026/</t>
        </is>
      </c>
    </row>
    <row r="20">
      <c r="A20" s="9" t="inlineStr">
        <is>
          <t>سوئد – قوانین جدید اقامت تحصیلی از ۱۱ ژوئن ۲۰۲۶ (۱۵ ساعت/هفته)</t>
        </is>
      </c>
      <c r="B20" s="28" t="inlineStr">
        <is>
          <t>https://www.migrationsverket.se/nyheter/news-archive/2026-05-25-new-rules-for-residence-permits-for-studies-in-higher-education.html</t>
        </is>
      </c>
    </row>
    <row r="21">
      <c r="A21" s="9" t="inlineStr">
        <is>
          <t>سوئد – قوانین جدید مجوز کار از ۱ ژوئن ۲۰۲۶ (SEK 34,470)</t>
        </is>
      </c>
      <c r="B21" s="28" t="inlineStr">
        <is>
          <t>https://www.migrationsverket.se/nyheter/news-archive/2026-04-17-new-rules-for-work-permits-from-1-june-2026.html</t>
        </is>
      </c>
    </row>
    <row r="22">
      <c r="A22" s="9" t="inlineStr">
        <is>
          <t>سوئد – گروه‌های معاف (فارغ‌التحصیلان ۷۵٪)</t>
        </is>
      </c>
      <c r="B22" s="28" t="inlineStr">
        <is>
          <t>https://eiglaw.com/sweden-publishes-exempt-occupations-for-new-salary-rule/</t>
        </is>
      </c>
    </row>
    <row r="23">
      <c r="A23" s="9" t="inlineStr">
        <is>
          <t>سوئد – مجوز ۱۲ ماهه جست‌وجوی کار و تمکن SEK 10,656</t>
        </is>
      </c>
      <c r="B23" s="28" t="inlineStr">
        <is>
          <t>https://www.migrationsverket.se/en/you-want-to-extend/study/look-for-work-after-completing-your-studies-in-sweden.html</t>
        </is>
      </c>
    </row>
    <row r="24">
      <c r="A24" s="9" t="inlineStr">
        <is>
          <t>سوئد – Linköping MSc CS شهریه SEK 332,000 (کل)</t>
        </is>
      </c>
      <c r="B24" s="28" t="inlineStr">
        <is>
          <t>https://liu.se/en/education/program/6mics</t>
        </is>
      </c>
    </row>
    <row r="25">
      <c r="A25" s="9" t="inlineStr">
        <is>
          <t>سوئد – BTH MSc Software Engineering 120 credits (SEK 70,000/ترم)</t>
        </is>
      </c>
      <c r="B25" s="28" t="inlineStr">
        <is>
          <t>https://www.bth.se/english/education/programmes/masters-programme-in-software-engineering-120-credits</t>
        </is>
      </c>
    </row>
    <row r="26">
      <c r="A26" s="9" t="inlineStr">
        <is>
          <t>سوئد – BTH برنامه ۶۰ واحدی (از راه دور، نیمه‌وقت، ۲ سال سابقه)</t>
        </is>
      </c>
      <c r="B26" s="28" t="inlineStr">
        <is>
          <t>https://www.bth.se/english/education/programmes/masters-programme-in-software-engineering-60-credits</t>
        </is>
      </c>
    </row>
    <row r="27">
      <c r="A27" s="9" t="inlineStr">
        <is>
          <t>سوئد – Halmstad MSc Information Technology شهریه</t>
        </is>
      </c>
      <c r="B27" s="28" t="inlineStr">
        <is>
          <t>https://www.mastersportal.com/studies/22787/information-technology.html</t>
        </is>
      </c>
    </row>
    <row r="28">
      <c r="A28" s="9" t="inlineStr">
        <is>
          <t>سوئد – Halmstad مسکن (بدون تضمین)</t>
        </is>
      </c>
      <c r="B28" s="28" t="inlineStr">
        <is>
          <t>https://www.hh.se/english/education/student-life/find-accommodation.html</t>
        </is>
      </c>
    </row>
    <row r="29">
      <c r="A29" s="9" t="inlineStr">
        <is>
          <t>سوئد – شهروندی ۸ ساله از ژوئن ۲۰۲۶</t>
        </is>
      </c>
      <c r="B29" s="28" t="inlineStr">
        <is>
          <t>https://www.imidaily.com/europe/sweden-passes-law-curtailing-naturalization-8-year-wait-income-floor/</t>
        </is>
      </c>
    </row>
    <row r="30">
      <c r="A30" s="9" t="inlineStr">
        <is>
          <t>سوئد – اطلاعیه مهاجرتی سفارت تهران</t>
        </is>
      </c>
      <c r="B30" s="28" t="inlineStr">
        <is>
          <t>https://www.swedenabroad.se/globalassets/ambassader/iran-teheran/documents/migration-issues/new-folder/english-versin.pdf</t>
        </is>
      </c>
    </row>
    <row r="31">
      <c r="A31" s="9" t="inlineStr">
        <is>
          <t>دانمارک – Pay Limit Scheme 2026</t>
        </is>
      </c>
      <c r="B31" s="28" t="inlineStr">
        <is>
          <t>https://www.nyidanmark.dk/pl-PL/You-want-to-apply/Work/Pay-limit-scheme</t>
        </is>
      </c>
    </row>
    <row r="32">
      <c r="A32" s="9" t="inlineStr">
        <is>
          <t>دانمارک – برنامه‌های آموزش عالی: ۹۰ ساعت/ماه، ۶ ماه یا ۳ سال جست‌وجوی کار</t>
        </is>
      </c>
      <c r="B32" s="28" t="inlineStr">
        <is>
          <t>https://www.nyidanmark.dk/en-GB/You-want-to-apply/Study/Higher-Education</t>
        </is>
      </c>
    </row>
    <row r="33">
      <c r="A33" s="9" t="inlineStr">
        <is>
          <t>دانمارک – مجوز ۳ ساله جست‌وجوی کار</t>
        </is>
      </c>
      <c r="B33" s="28" t="inlineStr">
        <is>
          <t>https://www.nyidanmark.dk/de-DE/You-want-to-apply/Study/Study---job-seeking/Study---3-years-job-seeking</t>
        </is>
      </c>
    </row>
    <row r="34">
      <c r="A34" s="9" t="inlineStr">
        <is>
          <t>دانمارک – اقامت دائم</t>
        </is>
      </c>
      <c r="B34" s="28" t="inlineStr">
        <is>
          <t>https://www.nyidanmark.dk/de-DE/You-want-to-apply/Permanent-residence-permit/Permanent-residence</t>
        </is>
      </c>
    </row>
    <row r="35">
      <c r="A35" s="9" t="inlineStr">
        <is>
          <t>دانمارک – تمکن DKK 7,426 (2026)</t>
        </is>
      </c>
      <c r="B35" s="28" t="inlineStr">
        <is>
          <t>https://nyidanmark.dk/en-GB/Words-and-concepts/SIRI/Self-support---SIRI</t>
        </is>
      </c>
    </row>
    <row r="36">
      <c r="A36" s="9" t="inlineStr">
        <is>
          <t>دانمارک – AAU Computer Science (IT) شهریه €7,455/ترم</t>
        </is>
      </c>
      <c r="B36" s="28" t="inlineStr">
        <is>
          <t>https://studyindenmark.dk/portal/aalborg-university-aau/aalborg/computer-science-it-msc</t>
        </is>
      </c>
    </row>
    <row r="37">
      <c r="A37" s="9" t="inlineStr">
        <is>
          <t>دانمارک – SDU شهریهٔ رسمی از ورودی ۲۰۲۶: Science/Engineering €17,300 در سال</t>
        </is>
      </c>
      <c r="B37" s="28" t="inlineStr">
        <is>
          <t>https://www.sdu.dk/en/uddannelse/fees_and_funding/tuition</t>
        </is>
      </c>
    </row>
    <row r="38">
      <c r="A38" s="9" t="inlineStr">
        <is>
          <t>دانمارک – SDU MSc Computer Science (ظرفیت محدود، €17,300)</t>
        </is>
      </c>
      <c r="B38" s="28" t="inlineStr">
        <is>
          <t>https://www.sdu.dk/en/uddannelse/kandidat/datalogi/adgangskrav</t>
        </is>
      </c>
    </row>
    <row r="39">
      <c r="A39" s="9" t="inlineStr">
        <is>
          <t>دانمارک – سفارت تهران (درخواست از ایران ممکن نیست)</t>
        </is>
      </c>
      <c r="B39" s="28" t="inlineStr">
        <is>
          <t>https://iran.um.dk/en</t>
        </is>
      </c>
    </row>
    <row r="40">
      <c r="A40" s="9" t="inlineStr">
        <is>
          <t>دانمارک – IDA حقوق شروع ۲۰۲۶</t>
        </is>
      </c>
      <c r="B40" s="28" t="inlineStr">
        <is>
          <t>https://studerende.ida.dk/snart-nyuddannet/loen/softwareingenioer-loen-saa-meget-kommer-du-til-at-tjene/</t>
        </is>
      </c>
    </row>
    <row r="41">
      <c r="A41" s="9" t="inlineStr">
        <is>
          <t>مسکن – DSW: میانگین اجارهٔ خوابگاه Studierendenwerk ≈ €306 با قبوض؛ ۱,۷۰۰ خوابگاه / ۱۹۶ هزار جا</t>
        </is>
      </c>
      <c r="B41" s="28" t="inlineStr">
        <is>
          <t>https://www.studierendenwerke.de/en/topics/accomodation/accommodation-and-studies</t>
        </is>
      </c>
    </row>
    <row r="42">
      <c r="A42" s="9" t="inlineStr">
        <is>
          <t>مسکن – Studierendenwerk Stuttgart: €229–399 با قبوض، لیست انتظار معمول ۶–۸ ماه (اطلاعیهٔ رسمی)</t>
        </is>
      </c>
      <c r="B42" s="28" t="inlineStr">
        <is>
          <t>https://www.studierendenwerk-stuttgart.de/ueber-uns/presse/pressemitteilungen/mitteilung/wohnraum-fuer-studierende-in-der-hochschulregion-stuttgart</t>
        </is>
      </c>
    </row>
    <row r="43">
      <c r="A43" s="9" t="inlineStr">
        <is>
          <t>مسکن – Radboud: کمک مسکن (فرم PAS تا ۱ ژوئن)، بدون تضمین، گاهی ۳ ماه پیش‌پرداخت</t>
        </is>
      </c>
      <c r="B43" s="28" t="inlineStr">
        <is>
          <t>https://www.ru.nl/en/students/international-students/housing/housing-options/apply-for-help-with-housing</t>
        </is>
      </c>
    </row>
    <row r="44">
      <c r="A44" s="9" t="inlineStr">
        <is>
          <t>مسکن – Radboud بروشور 2026–27: اتاق مبلهٔ €370–650؛ زندگی €1,100–1,200</t>
        </is>
      </c>
      <c r="B44" s="28" t="inlineStr">
        <is>
          <t>https://www.timeshighereducation.com/cms-academic/sites/default/files/institution_downloads/2025-08/OM_BAMA_intbrochure_2026-2027_interactieve_3.pdf</t>
        </is>
      </c>
    </row>
    <row r="45">
      <c r="A45" s="9" t="inlineStr">
        <is>
          <t>مسکن – Utrecht: استودیوهای رزروشدهٔ ارشد €868 با قبوض، ودیعه €1,306؛ ۲۸ می ۲۰۲۶ تمام شد</t>
        </is>
      </c>
      <c r="B45" s="28" t="inlineStr">
        <is>
          <t>https://www.uu.nl/en/education/welcome-to-utrecht/prepare-your-stay/arrange-housing/ways-to-find-housing/uu-reserved-accommodation-progamme/reserved-accommodation-for-masters-sep-26/reserved-housing-plaza</t>
        </is>
      </c>
    </row>
    <row r="46">
      <c r="A46" s="9" t="inlineStr">
        <is>
          <t>مسکن – Twente: اجاره €300–800؛ Roomspot؛ پیشنهاد برای دانشجویان ویزایی اول‌آمده‌اول‌گرفته</t>
        </is>
      </c>
      <c r="B46" s="28" t="inlineStr">
        <is>
          <t>https://issuu.com/utwente/docs/master_programmes_university_of_twente/s/16597294</t>
        </is>
      </c>
    </row>
    <row r="47">
      <c r="A47" s="9" t="inlineStr">
        <is>
          <t>مسکن – Uppsala: تضمین رسمی خوابگاه برای شهریه‌پردازها</t>
        </is>
      </c>
      <c r="B47" s="28" t="inlineStr">
        <is>
          <t>https://www.uu.se/en/study/masters-studies/living-in-sweden/housing</t>
        </is>
      </c>
    </row>
    <row r="48">
      <c r="A48" s="9" t="inlineStr">
        <is>
          <t>مسکن – Stockholm University: بدون تضمین؛ ≈ ۶۰۰ واحد برای بین‌المللی‌ها</t>
        </is>
      </c>
      <c r="B48" s="28" t="inlineStr">
        <is>
          <t>https://medarbetare.su.se/en/education/first-and-second-level/internationalisation-for-students/housing-for-international-students</t>
        </is>
      </c>
    </row>
    <row r="49">
      <c r="A49" s="9" t="inlineStr">
        <is>
          <t>مسکن – AAU Copenhagen: صریحاً بدون تضمین؛ KKIK/CIU DKK 3,500–6,000؛ خوابگاه 5,000–9,000</t>
        </is>
      </c>
      <c r="B49" s="28" t="inlineStr">
        <is>
          <t>https://www.en.aau.dk/living-in-denmark/accommodation/international-students-in-copenhagen</t>
        </is>
      </c>
    </row>
    <row r="50">
      <c r="A50" s="9" t="inlineStr">
        <is>
          <t>مسکن – AAU Aalborg: دفتر مسکن بین‌الملل، ۲۲۰+ واحد مبله، «تقریباً ۱۰۰٪ تضمین»، DKK 3,200–4,700 (ثانویه + بروشور AAU)</t>
        </is>
      </c>
      <c r="B50" s="28" t="inlineStr">
        <is>
          <t>https://www.findunirooms.com/denmark/aalborg-university/</t>
        </is>
      </c>
    </row>
    <row r="51">
      <c r="A51" s="9" t="inlineStr">
        <is>
          <t>مسکن – York: تضمین PG تا ۳۱ ژوئیه؛ اجارهٔ 2026/27 £186–224/هفته (۵۱ هفته)</t>
        </is>
      </c>
      <c r="B51" s="28" t="inlineStr">
        <is>
          <t>https://www.york.ac.uk/study/accommodation/postgraduate/</t>
        </is>
      </c>
    </row>
    <row r="52">
      <c r="A52" s="9" t="inlineStr">
        <is>
          <t>مسکن – Essex: تضمین خوابگاه PG برای کل دوره با اقدام تا مهلت</t>
        </is>
      </c>
      <c r="B52" s="28" t="inlineStr">
        <is>
          <t>https://www.essex.ac.uk/life/accommodation/apply/new-students/postgraduate</t>
        </is>
      </c>
    </row>
    <row r="53">
      <c r="A53" s="9" t="inlineStr">
        <is>
          <t>مسکن – Brunel: تضمین برای همهٔ دانشجویان جدید؛ مهلت ۱۵ مارس ۲۰۲۶؛ پیش‌پرداخت £350/£450</t>
        </is>
      </c>
      <c r="B53" s="28" t="inlineStr">
        <is>
          <t>https://www.brunel.ac.uk/life/accommodation/how-to-apply</t>
        </is>
      </c>
    </row>
    <row r="54">
      <c r="A54" s="9" t="inlineStr">
        <is>
          <t>مسکن – Newcastle: فهرست خوابگاه‌های PG 2026/27 (£117.60–239.75/هفته)</t>
        </is>
      </c>
      <c r="B54" s="28" t="inlineStr">
        <is>
          <t>https://www.ncl.ac.uk/accommodation/university/</t>
        </is>
      </c>
    </row>
    <row r="55">
      <c r="A55" s="9" t="inlineStr">
        <is>
          <t>مسکن – Northumbria: خوابگاه £94.19–158.31/هفته با قبوض؛ catered و self-catered؛ حداقل زندگی £1,015/ماه</t>
        </is>
      </c>
      <c r="B55" s="28" t="inlineStr">
        <is>
          <t>https://www.northumbria.ac.uk/study-at-northumbria/postgraduate-study/pg-info-new/postgraduate-study-living-costs/</t>
        </is>
      </c>
    </row>
    <row r="56">
      <c r="A56" s="9" t="inlineStr">
        <is>
          <t>مسکن – Durham: catered فقط برای کارشناسی (University College)؛ PG self-catered؛ راهنمای کالج PG</t>
        </is>
      </c>
      <c r="B56" s="28" t="inlineStr">
        <is>
          <t>https://www.durham.ac.uk/colleges-and-student-experience/colleges/university/accommodation/</t>
        </is>
      </c>
    </row>
    <row r="57">
      <c r="A57" s="9" t="inlineStr">
        <is>
          <t>مسکن – Durham قیمت 25/26: catered £10,233/سال، self-catered £7,146–7,801 (۳۹ هفته)، سهم غذا £3,087</t>
        </is>
      </c>
      <c r="B57" s="28" t="inlineStr">
        <is>
          <t>https://www.palatinate.org.uk/college-accommodation-prices-increase-by-5/</t>
        </is>
      </c>
    </row>
    <row r="58">
      <c r="A58" s="9" t="inlineStr">
        <is>
          <t>مسکن – Imperial: PG بدون تضمین؛ خوابگاه £210–410/هفته (۲۰۲۶)؛ طرح ضامن اجاره فقط UG/PhD؛ UCL طرح ضامن £50</t>
        </is>
      </c>
      <c r="B58" s="28" t="inlineStr">
        <is>
          <t>https://www.harveywjames.com/news-imperial-college-rent-guarantee-scheme-london</t>
        </is>
      </c>
    </row>
    <row r="59">
      <c r="A59" s="9" t="inlineStr">
        <is>
          <t>مسکن – SFS Bostadsrapport 2024: شهرهای سبز/زرد/قرمز سوئد (Linköping، Västerås، Karlskrona، Skövde سبز؛ Halmstad، Umeå، Uppsala، Stockholm، Göteborg قرمز)</t>
        </is>
      </c>
      <c r="B59" s="28" t="inlineStr">
        <is>
          <t>https://www.svt.se/nyheter/inrikes/rapport-flera-kommuner-med-bostadsgaranti-kan-inte-erbjuda-studenter-bostad</t>
        </is>
      </c>
    </row>
    <row r="60">
      <c r="A60" s="9" t="inlineStr">
        <is>
          <t>مسکن – SFS Bostadsrapport 2025: ۱۴ شهر سبز (از جمله Linköping، Västerås)، ۱۰ قرمز (Lund، Göteborg، Stockholm، Uppsala)</t>
        </is>
      </c>
      <c r="B60" s="28" t="inlineStr">
        <is>
          <t>https://www.kau.se/nyheter/karlstad-fortsatt-gront-i-studentbostadsrapport</t>
        </is>
      </c>
    </row>
    <row r="61">
      <c r="A61" s="9" t="inlineStr">
        <is>
          <t>مسکن – MLP Studentenwohnreport 2025: اجارهٔ اتاق WG به تفکیک شهر (München 790، Köln 641، Stuttgart 593، Darmstadt/Aachen 483، Saarbrücken 480، Tübingen 464، Dresden 435، Magdeburg 339، Chemnitz 274)</t>
        </is>
      </c>
      <c r="B61" s="28" t="inlineStr">
        <is>
          <t>https://de.marketscreener.com/boerse-nachrichten/mlp-studentenwohnreport-2025-wohnen-bleibt-fuer-studierende-zu-teuer-a-und-wird-zunehmend-zum-stan-ce7d5bd9d88ef62c</t>
        </is>
      </c>
    </row>
    <row r="62">
      <c r="A62" s="9" t="inlineStr">
        <is>
          <t>مسکن – Kences Landelijke Monitor 2026: کمبود ۲۰,۲۰۰؛ بیشترین فشار Amsterdam، Delft، Eindhoven، Leiden، Nijmegen، Utrecht؛ اتاق میانگین €540</t>
        </is>
      </c>
      <c r="B62" s="28" t="inlineStr">
        <is>
          <t>https://delta.tudelft.nl/en/article/kences-housing-shortage-remains-severe-delft-believes-it-has-found-a-solution</t>
        </is>
      </c>
    </row>
    <row r="63">
      <c r="A63" s="9" t="inlineStr">
        <is>
          <t>مسکن – Kamernet Q1 2025: Enschede ارزان‌ترین (€397)، Amsterdam گران‌ترین (€979)</t>
        </is>
      </c>
      <c r="B63" s="28" t="inlineStr">
        <is>
          <t>https://kamernet.nl/tips/verhuurders/huurprijs/kamernet-verhuurrapportage-q1-2025</t>
        </is>
      </c>
    </row>
    <row r="64">
      <c r="A64" s="9" t="inlineStr">
        <is>
          <t>مسکن – University of Manchester: تضمین خوابگاه برای هر PG بین‌المللی برای کل دوره (اقدام تا ۳۱ اوت)</t>
        </is>
      </c>
      <c r="B64" s="28" t="inlineStr">
        <is>
          <t>https://www.manchester.ac.uk/study/international/accommodation/guarantee/</t>
        </is>
      </c>
    </row>
    <row r="65">
      <c r="A65" s="9" t="inlineStr">
        <is>
          <t>مسکن – Statista/DSW: میانگین اجارهٔ خوابگاه هر Studierendenwerk ۲۰۲۳ با قبوض (Darmstadt €401 … Siegen €246؛ میانگین €306)</t>
        </is>
      </c>
      <c r="B65" s="28" t="inlineStr">
        <is>
          <t>https://de.statista.com/statistik/daten/studie/1447630/umfrage/durchschnittsmiete-in-studierendenwerken/</t>
        </is>
      </c>
    </row>
    <row r="66">
      <c r="A66" s="9" t="inlineStr">
        <is>
          <t>مسکن – Teesside: قیمت‌های رسمی 2026/27 (Parkside £85، Woodlands £125، KES £155–160؛ ودیعه £150)</t>
        </is>
      </c>
      <c r="B66" s="28" t="inlineStr">
        <is>
          <t>https://www.tees.ac.uk/sections/accommodation/buildings/kes.cfm</t>
        </is>
      </c>
    </row>
    <row r="67">
      <c r="A67" s="9" t="inlineStr">
        <is>
          <t>مسکن – Essex Colchester: اجاره‌های رسمی 2026-27 (Meadows £168 حمام مشترک؛ en-suite £189–199)</t>
        </is>
      </c>
      <c r="B67" s="28" t="inlineStr">
        <is>
          <t>https://www.essex.ac.uk/life/accommodation/colchester/rent-charges</t>
        </is>
      </c>
    </row>
    <row r="68">
      <c r="A68" s="9" t="inlineStr">
        <is>
          <t>مسکن – Brunel Mill Hall از £179.97/هفته (2026/27)</t>
        </is>
      </c>
      <c r="B68" s="28" t="inlineStr">
        <is>
          <t>https://www.brunel.ac.uk/life/accommodation/residences/residence?id=bd97a78a-03f2-4ed9-bce8-146d2e3ad8fc</t>
        </is>
      </c>
    </row>
    <row r="69">
      <c r="A69" s="9" t="inlineStr">
        <is>
          <t>مسکن – Sheffield: اجاره‌های PG 2026/27 (Allen Court £194–209؛ ۴۲/۵۱ هفته)</t>
        </is>
      </c>
      <c r="B69" s="28" t="inlineStr">
        <is>
          <t>https://sheffield.ac.uk/accommodation/rents</t>
        </is>
      </c>
    </row>
    <row r="70">
      <c r="A70" s="9" t="inlineStr">
        <is>
          <t>مسکن – Lancaster: قیمت‌های 2026/27 (حمام مشترک £139–168، en-suite £203–206، استودیو £241، catered £276)</t>
        </is>
      </c>
      <c r="B70" s="28" t="inlineStr">
        <is>
          <t>https://features.lancaster-university.uk/accommodation/</t>
        </is>
      </c>
    </row>
    <row r="71">
      <c r="A71" s="9" t="inlineStr">
        <is>
          <t>مسکن – WOKO زوریخ: فهرست ساختمان‌ها و اجاره (CHF 295–1,180)</t>
        </is>
      </c>
      <c r="B71" s="28" t="inlineStr">
        <is>
          <t>https://www.woko.ch/unser-angebot/liegenschaften</t>
        </is>
      </c>
    </row>
    <row r="72">
      <c r="A72" s="9" t="inlineStr">
        <is>
          <t>Russell Group – فهرست رسمی ۲۴ عضو (۲۰ در انگلستان)</t>
        </is>
      </c>
      <c r="B72" s="28" t="inlineStr">
        <is>
          <t>https://russellgroup.ac.uk/about/our-universities/</t>
        </is>
      </c>
    </row>
    <row r="73">
      <c r="A73" s="9" t="inlineStr">
        <is>
          <t>انگلستان – Warwick: جدول رسمی تطبیق مدرک ایرانی (1st ۱۷/۲۰، 2:1 ۱۵/۲۰، 2:2 ۱۳/۲۰)</t>
        </is>
      </c>
      <c r="B73" s="28" t="inlineStr">
        <is>
          <t>https://warwick.ac.uk/study/international/countryinformation/middleeast/iran/</t>
        </is>
      </c>
    </row>
    <row r="74">
      <c r="A74" s="9" t="inlineStr">
        <is>
          <t>انگلستان – Durham MSc Advanced Computer Science: £34,500 (2026)؛ جدول ایران (2:1 = ۱۴–۱۶/۲۰؛ Ecctis)</t>
        </is>
      </c>
      <c r="B74" s="28" t="inlineStr">
        <is>
          <t>https://www.durham.ac.uk/study/courses/advanced-computer-science-g5t609/</t>
        </is>
      </c>
    </row>
    <row r="75">
      <c r="A75" s="9" t="inlineStr">
        <is>
          <t>انگلستان – KCL: جدول رسمی ایران (First ۱۸، high 2:1 ۱۷، 2:1 ۱۵، high 2:2 ۱۳ از ۲۰)؛ Advanced Computing high 2:1، £40,450 (2026)</t>
        </is>
      </c>
      <c r="B75" s="28" t="inlineStr">
        <is>
          <t>https://www.kcl.ac.uk/study-legacy/postgraduate/apply/entry-requirements/international</t>
        </is>
      </c>
    </row>
    <row r="76">
      <c r="A76" s="9" t="inlineStr">
        <is>
          <t>انگلستان – Imperial MSc Computing (AI &amp; ML): First-class؛ £46,000 (2026/27)</t>
        </is>
      </c>
      <c r="B76" s="28" t="inlineStr">
        <is>
          <t>https://www.imperial.ac.uk/study/courses/postgraduate-taught/computing-artificial-intelligence-msc/</t>
        </is>
      </c>
    </row>
    <row r="77">
      <c r="A77" s="9" t="inlineStr">
        <is>
          <t>انگلستان – UCL MSc Computer Science (تبدیلی): £42,700 (2026/27)، 2:1 در رشتهٔ غیر CS</t>
        </is>
      </c>
      <c r="B77" s="28" t="inlineStr">
        <is>
          <t>https://www.ucl.ac.uk/prospective-students/graduate/taught-degrees/computer-science-msc-2026</t>
        </is>
      </c>
    </row>
    <row r="78">
      <c r="A78" s="9" t="inlineStr">
        <is>
          <t>انگلستان – Bristol MSc Data Science: £37,900 (سپتامبر ۲۰۲۷)، strong 2:1 (۶۵٪)</t>
        </is>
      </c>
      <c r="B78" s="28" t="inlineStr">
        <is>
          <t>https://www.bristol.ac.uk/study/postgraduate/taught/msc-data-science/</t>
        </is>
      </c>
    </row>
    <row r="79">
      <c r="A79" s="9" t="inlineStr">
        <is>
          <t>انگلستان – Bristol صفحهٔ ایران: کارشناسی ۴ ساله با حداقل ۱۵/۲۰ از دانشگاه مورد تأیید</t>
        </is>
      </c>
      <c r="B79" s="28" t="inlineStr">
        <is>
          <t>https://www.bristol.ac.uk/international/countries/iran.html</t>
        </is>
      </c>
    </row>
    <row r="80">
      <c r="A80" s="9" t="inlineStr">
        <is>
          <t>انگلستان – High Fliers «The Graduate Market in 2026»: دانشگاه‌های هدف کارفرمایان (Manchester، Birmingham، Nottingham، Warwick، UCL)؛ استخدام فارغ‌التحصیل در پایین‌ترین سطح از ۲۰۱۲</t>
        </is>
      </c>
      <c r="B80" s="28" t="inlineStr">
        <is>
          <t>https://www.manchester.ac.uk/about/news/university-of-manchester-tops-uk-rankings-for-graduate-employer-interest/</t>
        </is>
      </c>
    </row>
    <row r="81">
      <c r="A81" s="9" t="inlineStr">
        <is>
          <t>انگلستان – LEO (DfE) درآمد ۵ سال بعد: Imperial Computing £79,600؛ Bristol Computing £70,300؛ میانهٔ کل بخش ≈ £31–34k (ثانویه: unilens/campusquant)</t>
        </is>
      </c>
      <c r="B81" s="28" t="inlineStr">
        <is>
          <t>https://unilens.co.uk/insights/highest-graduate-earnings-uk-universities-2026</t>
        </is>
      </c>
    </row>
    <row r="82">
      <c r="A82" s="9" t="inlineStr">
        <is>
          <t>انگلستان – Appendix ATAS: ارشد آموزشی CS/AI نیاز به ATAS ندارد (فقط پژوهشی/PhD در CS و ارشد آموزشی فیزیک/مواد/مکانیک/هوافضا/شیمی)</t>
        </is>
      </c>
      <c r="B82" s="28" t="inlineStr">
        <is>
          <t>https://www.gov.uk/guidance/immigration-rules/immigration-rules-appendix-atas-academic-technology-approval-scheme-atas</t>
        </is>
      </c>
    </row>
    <row r="83">
      <c r="A83" s="9" t="inlineStr">
        <is>
          <t>بورس – LiU International Scholarship: معمولاً ۵۰٪؛ شرط جدید ۲۰۲۶ (GPA ≥ 3.5/4 یا first/high second class)؛ فقط اولویت ۱</t>
        </is>
      </c>
      <c r="B83" s="28" t="inlineStr">
        <is>
          <t>https://liu.se/en/article/scholarships</t>
        </is>
      </c>
    </row>
    <row r="84">
      <c r="A84" s="9" t="inlineStr">
        <is>
          <t>بورس – Chalmers: بورس‌های شهریه‌پردازها (IPOET ۷۵٪ با حداقل معدل ۸۰٪، Avancez)</t>
        </is>
      </c>
      <c r="B84" s="28" t="inlineStr">
        <is>
          <t>https://www.chalmers.se/en/education/application-and-admission/scholarships-for-fee-paying-students/</t>
        </is>
      </c>
    </row>
    <row r="85">
      <c r="A85" s="9" t="inlineStr">
        <is>
          <t>بورس – Halmstad University Scholarship ۲۵٪/۵۰٪ برای غیر-EU (ثانویه؛ hh.se را چک کنید)</t>
        </is>
      </c>
      <c r="B85" s="28" t="inlineStr">
        <is>
          <t>https://www.mastersportal.com/scholarships/10077/halmstad-university-scholarships.html</t>
        </is>
      </c>
    </row>
    <row r="86">
      <c r="A86" s="9" t="inlineStr">
        <is>
          <t>بورس – MDU: بورس تا ۱۰۰٪ شهریه برای متقاضیان اولویت ۱ (ثانویه؛ mdu.se را چک کنید)</t>
        </is>
      </c>
      <c r="B86" s="28" t="inlineStr">
        <is>
          <t>https://daadscholarship.com/malardalen-university-scholarships-2026-to-study-for-free-in-sweden/</t>
        </is>
      </c>
    </row>
    <row r="87">
      <c r="A87" s="9" t="inlineStr">
        <is>
          <t>بورس – SI Scholarship for Global Professionals: ۳۴ کشور واجد شرایط — ایران نیست (رسمی)</t>
        </is>
      </c>
      <c r="B87" s="28" t="inlineStr">
        <is>
          <t>https://si.se/en/apply/scholarships/swedish-institute-scholarships-for-global-professionals/</t>
        </is>
      </c>
    </row>
    <row r="88">
      <c r="A88" s="9" t="inlineStr">
        <is>
          <t>بورس – NL Scholarship (سابقاً Holland Scholarship): €5,000 سال اول برای غیر-EEA، از طریق دانشگاه‌های عضو</t>
        </is>
      </c>
      <c r="B88" s="28" t="inlineStr">
        <is>
          <t>https://www.mastersportal.com/scholarships/988/holland-scholarship-for-non-eea-international-students.html</t>
        </is>
      </c>
    </row>
    <row r="89">
      <c r="A89" s="9" t="inlineStr">
        <is>
          <t>بورس – AAU: ≈ ۱۵ بورس دولتی در سال، معافیت شهریه + DKK 11,225/ماه (۲۰۲۶)، بررسی خودکار (رسمی)</t>
        </is>
      </c>
      <c r="B89" s="28" t="inlineStr">
        <is>
          <t>https://www.en.aau.dk/education/apply/master/finance-and-fees</t>
        </is>
      </c>
    </row>
    <row r="90">
      <c r="A90" s="9" t="inlineStr">
        <is>
          <t>بورس – ETH Excellence Scholarship &amp; Opportunity Programme: CHF 12,000/ترم + معافیت؛ ۱۰٪ بالای کلاس؛ ۱–۳۰ نوامبر</t>
        </is>
      </c>
      <c r="B90" s="28" t="inlineStr">
        <is>
          <t>https://ethz.ch/en/studies/financial/scholarships/excellencescholarship.html</t>
        </is>
      </c>
    </row>
    <row r="91">
      <c r="A91" s="9" t="inlineStr">
        <is>
          <t>بورس – USI: بورس‌های Fondazione per le Facoltà di Lugano (CHF 4,000؛ سال اول با معدل ≥ ۸۰/۱۰۰؛ سال دوم بهترینِ هر برنامه) — خبر رسمی USI</t>
        </is>
      </c>
      <c r="B91" s="28" t="inlineStr">
        <is>
          <t>https://www.eco.usi.ch/en/feeds/9861</t>
        </is>
      </c>
    </row>
    <row r="92">
      <c r="A92" s="9" t="inlineStr">
        <is>
          <t>بورس – Essex Academic Excellence International Masters Scholarship: جدول کشوری (ایران ۱۴/۲۰ → £4,500؛ جدول ۲۰۲۵–۲۶)</t>
        </is>
      </c>
      <c r="B92" s="28" t="inlineStr">
        <is>
          <t>https://www.essex.ac.uk/scholarships</t>
        </is>
      </c>
    </row>
    <row r="93">
      <c r="A93" s="9" t="inlineStr">
        <is>
          <t>بورس – Teesside Global Excellence Scholarship £2,000 (پیشنهاد تا ۳۰ آوریل؛ رسمی)</t>
        </is>
      </c>
      <c r="B93" s="28" t="inlineStr">
        <is>
          <t>https://www.tees.ac.uk/sections/international/global_excellence_scholarship.cfm</t>
        </is>
      </c>
    </row>
    <row r="94">
      <c r="A94" s="9" t="inlineStr">
        <is>
          <t>بورس – Brunel Vice-Chancellor's Postgraduate International Excellence Award £6,000 (حداقل 2:1؛ ودیعهٔ £5,000)</t>
        </is>
      </c>
      <c r="B94" s="28" t="inlineStr">
        <is>
          <t>https://www.brunel.ac.uk/scholarships</t>
        </is>
      </c>
    </row>
    <row r="95">
      <c r="A95" s="9" t="inlineStr">
        <is>
          <t>بورس – Northumbria PGT International Scholarship £3,000: فهرست کشوری/ادامه‌تحصیلی‌های داخل UK — ایران نیست</t>
        </is>
      </c>
      <c r="B95" s="28" t="inlineStr">
        <is>
          <t>https://www.mastersportal.com/scholarships/3890/pgt-international-scholarships.html</t>
        </is>
      </c>
    </row>
    <row r="96">
      <c r="A96" s="9" t="inlineStr">
        <is>
          <t>بورس – Chevening eligibility (رسمی): ۲ سال کار بعد از مدرک کارشناسی + تعهد بازگشت ۲ ساله؛ مهلت ۶ اکتبر ۲۰۲۶</t>
        </is>
      </c>
      <c r="B96" s="28" t="inlineStr">
        <is>
          <t>https://www.chevening.org/resource-hub/guidance/eligibility/</t>
        </is>
      </c>
    </row>
    <row r="97">
      <c r="A97" s="9" t="inlineStr">
        <is>
          <t>بورس – Deutschlandstipendium €300/ماه (رسمی)</t>
        </is>
      </c>
      <c r="B97" s="28" t="inlineStr">
        <is>
          <t>https://www.deutschlandstipendium.de/</t>
        </is>
      </c>
    </row>
    <row r="98">
      <c r="A98" s="9" t="inlineStr">
        <is>
          <t>سوئیس – ETH: تاریخ‌های اپلای ارشد پاییز ۲۰۲۷ (۱–۳۰ نوامبر ۲۰۲۶؛ پاسخ تا پایان مارس؛ شروع ۲۰ سپتامبر ۲۰۲۷)</t>
        </is>
      </c>
      <c r="B98" s="28" t="inlineStr">
        <is>
          <t>https://ethz.ch/en/studies/master/application/dates.html</t>
        </is>
      </c>
    </row>
    <row r="99">
      <c r="A99" s="9" t="inlineStr">
        <is>
          <t>سوئیس – EPFL: شهریه CHF 2,240/ترم برای خارجی‌های غیرمقیم از پاییز ۲۰۲۵ (CHF 780 برای بقیه)</t>
        </is>
      </c>
      <c r="B99" s="28" t="inlineStr">
        <is>
          <t>https://www.epfl.ch/education/studies/en/rules-and-procedures/study-taxes/tuition-fee-other-fees/</t>
        </is>
      </c>
    </row>
    <row r="100">
      <c r="A100" s="9" t="inlineStr">
        <is>
          <t>سوئیس – EPFL: پنجره‌های اپلای ارشد (۱۵ دسامبر / ۳۱ مارس؛ یک برنامه در سال)</t>
        </is>
      </c>
      <c r="B100" s="28" t="inlineStr">
        <is>
          <t>https://www.epfl.ch/education/admission/admission-2/master-admission-criteria-application/online-application/</t>
        </is>
      </c>
    </row>
    <row r="101">
      <c r="A101" s="9" t="inlineStr">
        <is>
          <t>سوئیس – UZH: شهریه CHF 720 + 100 (خارجی، ارشد) + 59؛ هزینهٔ درخواست CHF 150</t>
        </is>
      </c>
      <c r="B101" s="28" t="inlineStr">
        <is>
          <t>https://www.uzh.ch/en/studies/application/fees.html</t>
        </is>
      </c>
    </row>
    <row r="102">
      <c r="A102" s="9" t="inlineStr">
        <is>
          <t>سوئیس – UZH: مهلت ویزایی‌ها ۲۸ فوریه / بدون ویزا ۳۰ آوریل (پاییز)</t>
        </is>
      </c>
      <c r="B102" s="28" t="inlineStr">
        <is>
          <t>https://www.oec.uzh.ch/en/studies/general/admission/master/faq-master-admission.html</t>
        </is>
      </c>
    </row>
    <row r="103">
      <c r="A103" s="9" t="inlineStr">
        <is>
          <t>سوئیس – USI MSc Informatics: CHF 4,000/ترم غیرمقیم، B2 در ورود → C1، مهلت غیر-EU ۳۰ آوریل</t>
        </is>
      </c>
      <c r="B103" s="28" t="inlineStr">
        <is>
          <t>https://www.usi.ch/en/education/master/informatics</t>
        </is>
      </c>
    </row>
    <row r="104">
      <c r="A104" s="9" t="inlineStr">
        <is>
          <t>سوئیس – USI MSc Artificial Intelligence: CHF 4,000/ترم، IELTS 6.5</t>
        </is>
      </c>
      <c r="B104" s="28" t="inlineStr">
        <is>
          <t>https://www.topuniversities.com/universities/usi-universita-della-svizzera-italiana/postgrad/master-science-artificial-intelligence</t>
        </is>
      </c>
    </row>
    <row r="105">
      <c r="A105" s="9" t="inlineStr">
        <is>
          <t>سوئیس – swissuniversities: شهریهٔ دانشگاه‌های علوم کاربردی 2026–27 (ZHAW 1,220؛ HSLU 1,300؛ OST 1,500؛ FHNW 1,000–5,000)</t>
        </is>
      </c>
      <c r="B105" s="28" t="inlineStr">
        <is>
          <t>https://www.swissuniversities.ch/en/themen/lehre-studium/information-on-studies/tuition-fees/tuition-fees-at-uas</t>
        </is>
      </c>
    </row>
    <row r="106">
      <c r="A106" s="9" t="inlineStr">
        <is>
          <t>سوئیس – ZHAW MSE: انگلیسی، 90 ECTS، پروفایل‌های CS/Data Science/Cyber، معدل A/B، مهلت پایان آوریل</t>
        </is>
      </c>
      <c r="B106" s="28" t="inlineStr">
        <is>
          <t>https://www.zhaw.ch/en/engineering/study/masters-degree-programme</t>
        </is>
      </c>
    </row>
    <row r="107">
      <c r="A107" s="9" t="inlineStr">
        <is>
          <t>سوئیس – HSLU MSc Applied Information &amp; Data Science: C1 (B2 مشروط)، آلمانی لازم نیست، هر کارشناسی</t>
        </is>
      </c>
      <c r="B107" s="28" t="inlineStr">
        <is>
          <t>https://www.hslu.ch/en/lucerne-school-of-business/degree-programmes/master/applied-information-and-data-science/haeufig-gestellte-fragen/</t>
        </is>
      </c>
    </row>
    <row r="108">
      <c r="A108" s="9" t="inlineStr">
        <is>
          <t>سوئیس – Bern: Swiss Joint MSc Computer Science (90 ECTS، انگلیسی، شرط کارشناسی CS)</t>
        </is>
      </c>
      <c r="B108" s="28" t="inlineStr">
        <is>
          <t>https://www.philnat.unibe.ch/studies/study_programs/master_s_in_computer_science/index_eng.html</t>
        </is>
      </c>
    </row>
    <row r="109">
      <c r="A109" s="9" t="inlineStr">
        <is>
          <t>سوئیس – Bern شهریه از پاییز ۲۰۲۶: CHF 850 + 1,700 اضافهٔ غیرسوئیسی‌ها + 34 + 25 در ترم (رسمی)</t>
        </is>
      </c>
      <c r="B109" s="28" t="inlineStr">
        <is>
          <t>https://www.unibe.ch/studies/organizational_matters/renewal_of_semester_registration/fees/index_eng.html</t>
        </is>
      </c>
    </row>
    <row r="110">
      <c r="A110" s="9" t="inlineStr">
        <is>
          <t>سوئیس – Joint MSc CS (Bern/Neuchâtel/Fribourg) FAQ رسمی: بدون آزمون زبان (B2 توصیه)، شرط کارشناسی CS یا معادل با حداکثر ۶۰ ECTS تکمیلی، مهلت‌های دیرهنگام</t>
        </is>
      </c>
      <c r="B110" s="28" t="inlineStr">
        <is>
          <t>https://mcs.unibnf.ch/faq/</t>
        </is>
      </c>
    </row>
    <row r="111">
      <c r="A111" s="9" t="inlineStr">
        <is>
          <t>سوئیس – Neuchâtel شهریهٔ خارجی‌ها CHF 790/ترم (رسمی)</t>
        </is>
      </c>
      <c r="B111" s="28" t="inlineStr">
        <is>
          <t>https://www.unine.ch/admission/taxes-universitaires/</t>
        </is>
      </c>
    </row>
    <row r="112">
      <c r="A112" s="9" t="inlineStr">
        <is>
          <t>سوئیس – Neuchâtel مهلت ارشد ۳۰ آوریل؛ خارجی‌ها یک ماه زودتر؛ هزینهٔ پرونده CHF 100 (رسمی)</t>
        </is>
      </c>
      <c r="B112" s="28" t="inlineStr">
        <is>
          <t>https://www.unine.ch/admission/admission-master/delais-et-frais-dinscription-pour-les-masters/</t>
        </is>
      </c>
    </row>
    <row r="113">
      <c r="A113" s="9" t="inlineStr">
        <is>
          <t>سوئیس – Fribourg شهریهٔ خارجی‌ها CHF 870 + 115 = 985/ترم (رسمی)</t>
        </is>
      </c>
      <c r="B113" s="28" t="inlineStr">
        <is>
          <t>https://www.unifr.ch/studies/en/organisation/administrative-services-unifr-students/university-fees/</t>
        </is>
      </c>
    </row>
    <row r="114">
      <c r="A114" s="9" t="inlineStr">
        <is>
          <t>سوئیس – Fribourg مهلت ارشد با مدرک خارجی: ویزایی‌ها ۱–۲۸ فوریه، بقیه تا ۳۰ آوریل (رسمی)</t>
        </is>
      </c>
      <c r="B114" s="28" t="inlineStr">
        <is>
          <t>https://www.unifr.ch/studies/en/admission/admission-master/admission-master-foreign.html</t>
        </is>
      </c>
    </row>
    <row r="115">
      <c r="A115" s="9" t="inlineStr">
        <is>
          <t>سوئیس – Basel MSc CS: 90 ECTS، انگلیسی، مهلت ۳۰ آوریل / ۳۰ نوامبر (رسمی)</t>
        </is>
      </c>
      <c r="B115" s="28" t="inlineStr">
        <is>
          <t>https://dmi.unibas.ch/en/studies/computer-science/masters/</t>
        </is>
      </c>
    </row>
    <row r="116">
      <c r="A116" s="9" t="inlineStr">
        <is>
          <t>سوئیس – Basel شهریه CHF 850/ترم برای همه + CHF 100 هزینهٔ درخواست (Uni Info 2026/27)</t>
        </is>
      </c>
      <c r="B116" s="28" t="inlineStr">
        <is>
          <t>https://www.unibas.ch/dam/jcr:28672e66-8562-4988-9e38-b1c944ed22bf/COMPUTER%20SCIENCE%202026.2026-02-05-09-53-32.pdf</t>
        </is>
      </c>
    </row>
    <row r="117">
      <c r="A117" s="9" t="inlineStr">
        <is>
          <t>سوئیس – HSLU MSc Applied Data Science and AI (نام جدید): مهلت ویزایی‌ها ۱ آوریل، CHF 1,300/ترم خارجی، CHF 250 درخواست، 120 ECTS (رسمی)</t>
        </is>
      </c>
      <c r="B117" s="28" t="inlineStr">
        <is>
          <t>https://www.hslu.ch/en/lucerne-school-of-business/degree-programmes/master/applied-data-science-and-ai/</t>
        </is>
      </c>
    </row>
    <row r="118">
      <c r="A118" s="9" t="inlineStr">
        <is>
          <t>سوئیس – USI مهلت‌های 2026/27: غیر-EU ۳۰ آوریل؛ هزینهٔ پرونده CHF 100 برای مدارک خارج از کنوانسیون لیسبون (رسمی)</t>
        </is>
      </c>
      <c r="B118" s="28" t="inlineStr">
        <is>
          <t>https://www.usi.ch/en/education/master/informatics/application</t>
        </is>
      </c>
    </row>
    <row r="119">
      <c r="A119" s="9" t="inlineStr">
        <is>
          <t>سوئیس – SEM FAQ: ۶ ماه جست‌وجوی کار برای فارغ‌التحصیلان؛ اولویت داخلی/EU؛ سهمیه</t>
        </is>
      </c>
      <c r="B119" s="28" t="inlineStr">
        <is>
          <t>https://www.sem.admin.ch/sem/en/home/themen/arbeit/faq.html</t>
        </is>
      </c>
    </row>
    <row r="120">
      <c r="A120" s="9" t="inlineStr">
        <is>
          <t>سوئیس – سهمیهٔ ۲۰۲۶ اتباع غیر-EU: ۴,۵۰۰ B + ۴,۰۰۰ L؛ شرایط FNIA</t>
        </is>
      </c>
      <c r="B120" s="28" t="inlineStr">
        <is>
          <t>https://goldblum.ch/knowledgebase/residence-permit-in-switzerland-obtain/</t>
        </is>
      </c>
    </row>
    <row r="121">
      <c r="A121" s="9" t="inlineStr">
        <is>
          <t>سوئیس – Art. 21(3) FNIA: معافیت از آزمون بازار کار ولی نه از سهمیه؛ طرح 22.067 اجرا نشده</t>
        </is>
      </c>
      <c r="B121" s="28" t="inlineStr">
        <is>
          <t>https://vshcherbakov.com/2025/06/26/Path-to-working-permit-for-Swiss-graduates/</t>
        </is>
      </c>
    </row>
    <row r="122">
      <c r="A122" s="9" t="inlineStr">
        <is>
          <t>سوئیس – اقامت تحصیلی ۲۰۲۶: CHF 21,000/سال، ۱۵ ساعت کار بعد از ۶ ماه، پردازش ۸–۱۲ هفته</t>
        </is>
      </c>
      <c r="B122" s="28" t="inlineStr">
        <is>
          <t>https://www.study-abroad.org/blog/ch-student-visa-guide/</t>
        </is>
      </c>
    </row>
    <row r="123">
      <c r="A123" s="9" t="inlineStr">
        <is>
          <t>سوئیس – کانتون زوریخ: تمکن فقط در بانک مستقر در سوئیس به نام خودتان یا ضامن مقیم (راهنمای ZHAW)</t>
        </is>
      </c>
      <c r="B123" s="28" t="inlineStr">
        <is>
          <t>https://www.zhaw.ch/storage/sml/master/msc-bf-pie-information-for-international-students.pdf</t>
        </is>
      </c>
    </row>
    <row r="124">
      <c r="A124" s="9" t="inlineStr">
        <is>
          <t>سوئیس – تفاوت کانتون‌ها: Basel CHF 24,000؛ زوریخ حساب سوئیسی</t>
        </is>
      </c>
      <c r="B124" s="28" t="inlineStr">
        <is>
          <t>https://gradpilot.com/news/switzerland-student-visa-motivation-letter-canton-guide</t>
        </is>
      </c>
    </row>
    <row r="125">
      <c r="A125" s="9" t="inlineStr">
        <is>
          <t>سوئیس – اجازهٔ C: ۱۰ سال برای اتباع کشور ثالث، A2 شفاهی/A1 کتبی؛ ۵ سال با B1</t>
        </is>
      </c>
      <c r="B125" s="28" t="inlineStr">
        <is>
          <t>https://relofinder.ch/blog/swiss-c-permit-permanent-residence-2026-guide/</t>
        </is>
      </c>
    </row>
    <row r="126">
      <c r="A126" s="9" t="inlineStr">
        <is>
          <t>سوئیس – اجازهٔ C: احتساب سال‌های تحصیل و شرایط ادغام</t>
        </is>
      </c>
      <c r="B126" s="28" t="inlineStr">
        <is>
          <t>https://www.richmondchambers.ch/post/swiss-c-permit-eligibility-required-years-of-residence-integration-expectations-and-fast-track-pa</t>
        </is>
      </c>
    </row>
    <row r="127">
      <c r="A127" s="9" t="inlineStr">
        <is>
          <t>سوئیس – سفارت تهران: ویزای D با وقت قبلی، ویزای C فعلاً نه (۳۰ ژانویه ۲۰۲۶)</t>
        </is>
      </c>
      <c r="B127" s="28" t="inlineStr">
        <is>
          <t>https://www.eda.admin.ch/countries/iran/en/home.html</t>
        </is>
      </c>
    </row>
    <row r="128">
      <c r="A128" s="9" t="inlineStr">
        <is>
          <t>سوئیس – حقوق مهندس نرم‌افزار ۲۰۲۶ (جونیور CHF 85–105k؛ خالص زوریخ)</t>
        </is>
      </c>
      <c r="B128" s="28" t="inlineStr">
        <is>
          <t>https://whatisthesalary.com/it-salaries/software-engineer-salary-in-switzerland/</t>
        </is>
      </c>
    </row>
    <row r="129">
      <c r="A129" s="9" t="inlineStr">
        <is>
          <t>سوئیس – Glassdoor: میانهٔ Junior Software Engineer زوریخ CHF 92k</t>
        </is>
      </c>
      <c r="B129" s="28" t="inlineStr">
        <is>
          <t>https://www.glassdoor.com/Salaries/z%C3%BCrich-junior-software-engineer-salary-SRCH_IL.0,6_IC3297851_KO7,31.htm</t>
        </is>
      </c>
    </row>
    <row r="130">
      <c r="A130" s="9" t="inlineStr">
        <is>
          <t>سوئیس – بازهٔ حقوق زوریخ ۲۰۲۶ بر اساس نوع کارفرما</t>
        </is>
      </c>
      <c r="B130" s="28" t="inlineStr">
        <is>
          <t>https://upreer.ch/en/salaries/software-engineer-salary-zurich/</t>
        </is>
      </c>
    </row>
    <row r="131">
      <c r="A131" s="9" t="inlineStr">
        <is>
          <t>سوئیس – هزینهٔ زندگی زوریخ CHF 2,000–2,200/ماه (UZH)</t>
        </is>
      </c>
      <c r="B131" s="28" t="inlineStr">
        <is>
          <t>https://www.msfinance.uzh.ch/en/studyinginzurich/accommodation.html</t>
        </is>
      </c>
    </row>
    <row r="132">
      <c r="A132" s="9" t="inlineStr">
        <is>
          <t>سوئیس – QS 2027: ETH 8، EPFL 22، UZH 98، Basel 150، Bern 191، USI 456، Fribourg 670، ZHAW 851–900</t>
        </is>
      </c>
      <c r="B132" s="28" t="inlineStr">
        <is>
          <t>https://www.iamexpat.ch/education/education-news/eth-zurich-makes-top-universities-world</t>
        </is>
      </c>
    </row>
    <row r="133">
      <c r="A133" s="9" t="inlineStr">
        <is>
          <t>سوئیس – رد ابتکار «سوئیس ۱۰ میلیونی» SVP در ۱۴ ژوئن ۲۰۲۶ (۵۴.۸٪ نه)</t>
        </is>
      </c>
      <c r="B133" s="28" t="inlineStr">
        <is>
          <t>https://www.tagesanzeiger.ch/10-millionen-schweiz-resultate-der-svp-initiative-im-ticker-935664202454</t>
        </is>
      </c>
    </row>
    <row r="134">
      <c r="A134" s="9" t="inlineStr">
        <is>
          <t>سوئیس – EP27: کاهش ۷۸ میلیون فرانک بودجهٔ ETH؛ سناریوی چهاربرابر شدن شهریهٔ خارجی‌ها</t>
        </is>
      </c>
      <c r="B134" s="28" t="inlineStr">
        <is>
          <t>https://www.efd.admin.ch/de/entlastungspaket-27</t>
        </is>
      </c>
    </row>
    <row r="135">
      <c r="A135" s="9" t="inlineStr">
        <is>
          <t>سوئیس – بازار IT ۲۰۲۶: استخدام گزینشی‌تر، بیکاری ≈ ۳.۲٪، کمبود ساختاری ICT</t>
        </is>
      </c>
      <c r="B135" s="28" t="inlineStr">
        <is>
          <t>https://capiwell.ch/swiss-it-labour-market-2026-specialised-skills-slower-growth-and-new-openings-for-start-ups/</t>
        </is>
      </c>
    </row>
    <row r="136">
      <c r="A136" s="9" t="inlineStr">
        <is>
          <t>نرخ CHF/USD ۲۷ سپتامبر ۲۰۲۶ (1.207)</t>
        </is>
      </c>
      <c r="B136" s="28" t="inlineStr">
        <is>
          <t>https://www.xe.com/en-us/currencyconverter/convert/?Amount=1&amp;From=CHF&amp;To=USD</t>
        </is>
      </c>
    </row>
    <row r="137">
      <c r="A137" s="9" t="inlineStr">
        <is>
          <t>بریتانیا – Graduate visa ۱۸ ماه (از ژانویه ۲۰۲۷)</t>
        </is>
      </c>
      <c r="B137" s="28" t="inlineStr">
        <is>
          <t>https://students.leeds.ac.uk/visa-information-after-studies/doc/graduate-visas</t>
        </is>
      </c>
    </row>
    <row r="138">
      <c r="A138" s="9" t="inlineStr">
        <is>
          <t>بریتانیا – HC 584 (۳ سپتامبر ۲۰۲۶): تمکن £1,570 / £1,203 از ۳۰ نوامبر ۲۰۲۶</t>
        </is>
      </c>
      <c r="B138" s="28" t="inlineStr">
        <is>
          <t>https://www.gov.uk/government/publications/statement-of-changes-to-the-immigration-rules-hc-584-3-september-2026</t>
        </is>
      </c>
    </row>
    <row r="139">
      <c r="A139" s="9" t="inlineStr">
        <is>
          <t>بریتانیا – Skilled Worker نرخ شغل SOC 2134 £54,700</t>
        </is>
      </c>
      <c r="B139" s="28" t="inlineStr">
        <is>
          <t>https://withrowan.co.uk/guides/skilled-worker-software-engineers</t>
        </is>
      </c>
    </row>
    <row r="140">
      <c r="A140" s="9" t="inlineStr">
        <is>
          <t>بریتانیا – Earned Settlement (وضعیت سپتامبر ۲۰۲۶)</t>
        </is>
      </c>
      <c r="B140" s="28" t="inlineStr">
        <is>
          <t>https://www.ukimmigration.law/earned-settlement-ilr-uk-plans/</t>
        </is>
      </c>
    </row>
    <row r="141">
      <c r="A141" s="9" t="inlineStr">
        <is>
          <t>انگلستان – Teesside MSc Computer Science 2026-27: £17,000، 2:2، IELTS 6.0</t>
        </is>
      </c>
      <c r="B141" s="28" t="inlineStr">
        <is>
          <t>https://www.tees.ac.uk/postgraduate_courses/computing_&amp;_cyber_security/msc_computer_science.cfm</t>
        </is>
      </c>
    </row>
    <row r="142">
      <c r="A142" s="9" t="inlineStr">
        <is>
          <t>انگلستان – Northumbria MSc Advanced Computer Science 2026/27: £21,500، 2:2</t>
        </is>
      </c>
      <c r="B142" s="28" t="inlineStr">
        <is>
          <t>https://www.northumbria.ac.uk/study-at-northumbria/courses/msc-advanced-computer-science-dtfava6/</t>
        </is>
      </c>
    </row>
    <row r="143">
      <c r="A143" s="9" t="inlineStr">
        <is>
          <t>انگلستان – Leicester MSc Advanced Computer Science سپتامبر ۲۰۲۶: £24,250، 2:1</t>
        </is>
      </c>
      <c r="B143" s="28" t="inlineStr">
        <is>
          <t>https://le.ac.uk/courses/advanced-computer-science-msc/2026</t>
        </is>
      </c>
    </row>
    <row r="144">
      <c r="A144" s="9" t="inlineStr">
        <is>
          <t>انگلستان – Essex MSc Advanced Computer Science 2026: £24,675، 2:2 (شامل Computer Engineering)</t>
        </is>
      </c>
      <c r="B144" s="28" t="inlineStr">
        <is>
          <t>https://www.essex.ac.uk/courses/pg00435/1/msc-advanced-computer-science</t>
        </is>
      </c>
    </row>
    <row r="145">
      <c r="A145" s="9" t="inlineStr">
        <is>
          <t>انگلستان – York MSc Advanced Computer Science 2026/27: £32,900، 2:2، IELTS 6.5</t>
        </is>
      </c>
      <c r="B145" s="28" t="inlineStr">
        <is>
          <t>https://www.york.ac.uk/study/postgraduate-taught/courses/msc-advanced-computer-science/</t>
        </is>
      </c>
    </row>
    <row r="146">
      <c r="A146" s="9" t="inlineStr">
        <is>
          <t>انگلستان – Chester MSc Advanced Computer Science 2026/27: £15,500 (کف قیمت انگلستان)</t>
        </is>
      </c>
      <c r="B146" s="28" t="inlineStr">
        <is>
          <t>https://www.chester.ac.uk/study/course-search/advanced-computer-science-msc/</t>
        </is>
      </c>
    </row>
    <row r="147">
      <c r="A147" s="9" t="inlineStr">
        <is>
          <t>بریتانیا – Brunel MSc AI 2026/27 £24,795</t>
        </is>
      </c>
      <c r="B147" s="28" t="inlineStr">
        <is>
          <t>https://www.brunel.ac.uk/study/courses/artificial-intelligence-msc</t>
        </is>
      </c>
    </row>
    <row r="148">
      <c r="A148" s="9" t="inlineStr">
        <is>
          <t>بریتانیا – عوارض £925 به ازای هر دانشجوی بین‌المللی (انگلستان، از 2028-29)</t>
        </is>
      </c>
      <c r="B148" s="28" t="inlineStr">
        <is>
          <t>https://www.researchprofessionalnews.com/rr-news-uk-politics-2025-11-international-levy-to-be-flat-fee-of-925-per-student/</t>
        </is>
      </c>
    </row>
    <row r="149">
      <c r="A149" s="9" t="inlineStr">
        <is>
          <t>بریتانیا – وضعیت VAC تهران</t>
        </is>
      </c>
      <c r="B149" s="28" t="inlineStr">
        <is>
          <t>https://livingintehran.com/2026/02/03/tehran-diplomatic-update-recent-embassy-reopenings-current-status-feb-2026/</t>
        </is>
      </c>
    </row>
    <row r="150">
      <c r="A150" s="9" t="inlineStr">
        <is>
          <t>QS WUR 2027 – TU Dresden</t>
        </is>
      </c>
      <c r="B150" s="28" t="inlineStr">
        <is>
          <t>https://tu-dresden.de/tu-dresden/newsportal/news/qs-ranking-2027-tud-gehoert-erneut-zu-den-zehn-besten-universitaeten-deutschlands-und-baut-internationalen-erfolg-weiter-aus</t>
        </is>
      </c>
    </row>
    <row r="151">
      <c r="A151" s="9" t="inlineStr">
        <is>
          <t>QS WUR 2027 – Stuttgart</t>
        </is>
      </c>
      <c r="B151" s="28" t="inlineStr">
        <is>
          <t>https://www.uni-stuttgart.de/en/university/news/all/QS-World-University-Rankings-2027-The-University-of-Stuttgart-is-recognized-for-its-strong-research-performance-and-commitment-to-sustainability/</t>
        </is>
      </c>
    </row>
    <row r="152">
      <c r="A152" s="9" t="inlineStr">
        <is>
          <t>QS WUR 2027 – Newcastle 149</t>
        </is>
      </c>
      <c r="B152" s="28" t="inlineStr">
        <is>
          <t>https://www.ncl.ac.uk/press/articles/latest/2026/06/qs2027/</t>
        </is>
      </c>
    </row>
    <row r="153">
      <c r="A153" s="9" t="inlineStr">
        <is>
          <t>QS WUR 2027 – York =158</t>
        </is>
      </c>
      <c r="B153" s="28" t="inlineStr">
        <is>
          <t>https://www.york.ac.uk/about/rankings/</t>
        </is>
      </c>
    </row>
    <row r="154">
      <c r="A154" s="9" t="inlineStr">
        <is>
          <t>QS WUR 2027 – Leicester =314</t>
        </is>
      </c>
      <c r="B154" s="28" t="inlineStr">
        <is>
          <t>https://www.topuniversities.com/universities/university-leicester</t>
        </is>
      </c>
    </row>
    <row r="155">
      <c r="A155" s="9" t="inlineStr">
        <is>
          <t>QS WUR 2027 – Essex =438</t>
        </is>
      </c>
      <c r="B155" s="28" t="inlineStr">
        <is>
          <t>https://www.topuniversities.com/universities/essex-university</t>
        </is>
      </c>
    </row>
    <row r="156">
      <c r="A156" s="9" t="inlineStr">
        <is>
          <t>QS WUR 2027 – Northumbria =528</t>
        </is>
      </c>
      <c r="B156" s="28" t="inlineStr">
        <is>
          <t>https://www.topuniversities.com/universities/northumbria-university-newcastle</t>
        </is>
      </c>
    </row>
    <row r="157">
      <c r="A157" s="9" t="inlineStr">
        <is>
          <t>QS WUR 2027 – Brunel</t>
        </is>
      </c>
      <c r="B157" s="28" t="inlineStr">
        <is>
          <t>https://students.brunel.ac.uk/campus-news/brunel-climbs-global-qs-rankings-after-strong-year-for-research-and-graduate-outcomes</t>
        </is>
      </c>
    </row>
    <row r="158">
      <c r="A158" s="9" t="inlineStr">
        <is>
          <t>QS WUR 2027 – سایر</t>
        </is>
      </c>
      <c r="B158" s="28" t="inlineStr">
        <is>
          <t>https://www.topuniversities.com/world-university-rankings</t>
        </is>
      </c>
    </row>
    <row r="159">
      <c r="A159" s="9" t="inlineStr">
        <is>
          <t>حداقل دستمزد ۲۰۲۶ هلند (€14.71)</t>
        </is>
      </c>
      <c r="B159" s="28" t="inlineStr">
        <is>
          <t>https://arlettipartners.com/new-increase-in-the-dutch-minimum-hourly-wage-from-january-1st-2026/</t>
        </is>
      </c>
    </row>
    <row r="160">
      <c r="A160" s="9" t="inlineStr">
        <is>
          <t>نرخ ارز (xe.com، ۲۷ سپتامبر ۲۰۲۶)</t>
        </is>
      </c>
      <c r="B160" s="28" t="inlineStr">
        <is>
          <t>https://www.xe.com/</t>
        </is>
      </c>
    </row>
    <row r="161">
      <c r="A161" s="9" t="inlineStr">
        <is>
          <t>بازار کار – LinkedIn/WEF ژانویه ۲۰۲۶: ۱.۳ میلیون شغل جدید AI؛ AI Engineer سریع‌ترین‌رشد</t>
        </is>
      </c>
      <c r="B161" s="28" t="inlineStr">
        <is>
          <t>https://www.weforum.org/stories/jobs-and-the-future-of-work/ai-has-already-added-1-3-million-new-jobs-according-to-linkedin-data/</t>
        </is>
      </c>
    </row>
    <row r="162">
      <c r="A162" s="9" t="inlineStr">
        <is>
          <t>بازار کار – Bitkom 2025: ۱۰۹ هزار جای خالی IT در آلمان، ۷.۷ ماه زمان پرکردن</t>
        </is>
      </c>
      <c r="B162" s="28" t="inlineStr">
        <is>
          <t>https://www.bitkom.org/Bitkom/Publikationen/Der-Arbeitsmarkt-fuer-IT-Fachkraefte</t>
        </is>
      </c>
    </row>
    <row r="163">
      <c r="A163" s="9" t="inlineStr">
        <is>
          <t>بازار کار – ISC2 Cybersecurity Workforce Study 2024/2025 (حذف عدد کمبود؛ کمبود بودجه دلیل اول؛ ۳۱٪ تیم‌ها بدون جونیور)</t>
        </is>
      </c>
      <c r="B163" s="28" t="inlineStr">
        <is>
          <t>https://www.isc2.org/research</t>
        </is>
      </c>
    </row>
    <row r="164">
      <c r="A164" s="9" t="inlineStr">
        <is>
          <t>بازار کار – اخراج‌های صنعت بازی ۲۰۲۲–۲۰۲۶ (≈۴۵ هزار؛ افت حقوق Unity)</t>
        </is>
      </c>
      <c r="B164" s="28" t="inlineStr">
        <is>
          <t>https://en.wikipedia.org/wiki/2022%E2%80%932026_video_game_industry_layoffs</t>
        </is>
      </c>
    </row>
    <row r="165">
      <c r="A165" s="9" t="inlineStr">
        <is>
          <t>بازار کار – آگهی‌های UX/UXR (Indeed تا Q4 2025)</t>
        </is>
      </c>
      <c r="B165" s="28" t="inlineStr">
        <is>
          <t>https://www.thevoiceofuser.com/everyone-knows-the-uxr-hiring-market-is-bad-how-bad-is-it-though/</t>
        </is>
      </c>
    </row>
    <row r="166">
      <c r="A166" s="9" t="inlineStr">
        <is>
          <t>بازار کار – اشباع جونیور علم داده ۲۰۲۶</t>
        </is>
      </c>
      <c r="B166" s="28" t="inlineStr">
        <is>
          <t>https://research.com/advice/are-too-many-students-choosing-data-science-oversaturation-competition-hiring-reality</t>
        </is>
      </c>
    </row>
    <row r="167">
      <c r="A167" s="9" t="inlineStr">
        <is>
          <t>آلمان – Saarland MSc Cybersecurity (C1، بدون شهریه)</t>
        </is>
      </c>
      <c r="B167" s="28" t="inlineStr">
        <is>
          <t>https://www.uni-saarland.de/en/study/programmes/master/cybersecurity.html</t>
        </is>
      </c>
    </row>
    <row r="168">
      <c r="A168" s="9" t="inlineStr">
        <is>
          <t>آلمان – Passau MSc AI Engineering (B2، معدل ≤ 2.7، A1 آلمانی سال اول)</t>
        </is>
      </c>
      <c r="B168" s="28" t="inlineStr">
        <is>
          <t>https://www.uni-passau.de/en/msc-ai-eng</t>
        </is>
      </c>
    </row>
    <row r="169">
      <c r="A169" s="9" t="inlineStr">
        <is>
          <t>آلمان – Cologne Game Lab MA Game Development &amp; Research (€2,500/ترم غیر-EU)</t>
        </is>
      </c>
      <c r="B169" s="28" t="inlineStr">
        <is>
          <t>https://colognegamelab.de/study-programs/post-graduate-programs/game-development-research-ma/faqs/</t>
        </is>
      </c>
    </row>
    <row r="170">
      <c r="A170" s="9" t="inlineStr">
        <is>
          <t>آلمان – Siegen MSc HCI (DAAD)</t>
        </is>
      </c>
      <c r="B170" s="28" t="inlineStr">
        <is>
          <t>https://www2.daad.de/deutschland/studienangebote/international-programmes/en/detail/4686/</t>
        </is>
      </c>
    </row>
    <row r="171">
      <c r="A171" s="9" t="inlineStr">
        <is>
          <t>آلمان – H-BRS MSc Autonomous Systems (B2+)</t>
        </is>
      </c>
      <c r="B171" s="28" t="inlineStr">
        <is>
          <t>https://www.h-brs.de/en/inf/admission-application-master-autonomous-systems</t>
        </is>
      </c>
    </row>
    <row r="172">
      <c r="A172" s="9" t="inlineStr">
        <is>
          <t>آلمان – RWTH MSc Software Systems Engineering</t>
        </is>
      </c>
      <c r="B172" s="28" t="inlineStr">
        <is>
          <t>https://sc.informatik.rwth-aachen.de/en/studium/master/sse/</t>
        </is>
      </c>
    </row>
    <row r="173">
      <c r="A173" s="9" t="inlineStr">
        <is>
          <t>آلمان – Tübingen MSc Machine Learning (IELTS 7، €1,500/ترم)</t>
        </is>
      </c>
      <c r="B173" s="28" t="inlineStr">
        <is>
          <t>https://uni-tuebingen.de/fakultaeten/mathematisch-naturwissenschaftliche-fakultaet/fachbereiche/informatik/studium/studierende/lehre-studienorganisation/studiengaenge/machine-learning/admission-and-application/</t>
        </is>
      </c>
    </row>
    <row r="174">
      <c r="A174" s="9" t="inlineStr">
        <is>
          <t>آلمان – TUM Informatics: €6,000 در ترم برای غیر-EU</t>
        </is>
      </c>
      <c r="B174" s="28" t="inlineStr">
        <is>
          <t>https://www.tum.de/en/studies/degree-programs/detail/informatics-master-of-science-msc</t>
        </is>
      </c>
    </row>
    <row r="175">
      <c r="A175" s="9" t="inlineStr">
        <is>
          <t>آلمان – FAU Autonomy Technologies (B2، IELTS 6.0)</t>
        </is>
      </c>
      <c r="B175" s="28" t="inlineStr">
        <is>
          <t>https://www.fau.eu/degree-program/autonomy-technologies-m-sc/</t>
        </is>
      </c>
    </row>
    <row r="176">
      <c r="A176" s="9" t="inlineStr">
        <is>
          <t>هلند – Twente Embedded Systems 2026/27: €21,700</t>
        </is>
      </c>
      <c r="B176" s="28" t="inlineStr">
        <is>
          <t>https://www.utwente.nl/en/education/master/programmes/embedded-systems/finance/</t>
        </is>
      </c>
    </row>
    <row r="177">
      <c r="A177" s="9" t="inlineStr">
        <is>
          <t>هلند – Leiden CS 2026/27: €22,500</t>
        </is>
      </c>
      <c r="B177" s="28" t="inlineStr">
        <is>
          <t>https://www.universiteitleiden.nl/en/education/study-programmes/master/computer-science/artificial-intelligence/admission-and-application/tuition-fees</t>
        </is>
      </c>
    </row>
    <row r="178">
      <c r="A178" s="9" t="inlineStr">
        <is>
          <t>هلند – Groningen AI 2026/27: €24,900</t>
        </is>
      </c>
      <c r="B178" s="28" t="inlineStr">
        <is>
          <t>https://www.rug.nl/masters/artificial-intelligence/?lang=en</t>
        </is>
      </c>
    </row>
    <row r="179">
      <c r="A179" s="9" t="inlineStr">
        <is>
          <t>هلند – Utrecht Game &amp; Media Technology 2026/27: €25,306</t>
        </is>
      </c>
      <c r="B179" s="28" t="inlineStr">
        <is>
          <t>https://www.uu.nl/en/masters/game-and-media-technology</t>
        </is>
      </c>
    </row>
    <row r="180">
      <c r="A180" s="9" t="inlineStr">
        <is>
          <t>هلند – QS 2027 فهرست دانشگاه‌های هلند</t>
        </is>
      </c>
      <c r="B180" s="28" t="inlineStr">
        <is>
          <t>https://dub.uu.nl/en/news/dutch-universities-fall-global-qs-rankings</t>
        </is>
      </c>
    </row>
    <row r="181">
      <c r="A181" s="9" t="inlineStr">
        <is>
          <t>سوئد – Gothenburg Game Design &amp; Technology: SEK 290,000 کل</t>
        </is>
      </c>
      <c r="B181" s="28" t="inlineStr">
        <is>
          <t>https://www.gu.se/en/study-gothenburg/game-design-technology-masters-programme-n2gdt</t>
        </is>
      </c>
    </row>
    <row r="182">
      <c r="A182" s="9" t="inlineStr">
        <is>
          <t>سوئد – KTH Machine Learning: ≈ SEK 180,000–190,000 (کل دوره 360k طبق راهنمای ۲۰۲۶؛ kth.se رقم را فقط در سامانه نشان می‌دهد)</t>
        </is>
      </c>
      <c r="B182" s="28" t="inlineStr">
        <is>
          <t>https://www.kth.se/en/studies/master/machine-learning</t>
        </is>
      </c>
    </row>
    <row r="183">
      <c r="A183" s="9" t="inlineStr">
        <is>
          <t>سوئد – Umeå AI: SEK 152,300</t>
        </is>
      </c>
      <c r="B183" s="28" t="inlineStr">
        <is>
          <t>https://www.umu.se/en/education/master/masters-programme-in-artificial-intelligence/</t>
        </is>
      </c>
    </row>
    <row r="184">
      <c r="A184" s="9" t="inlineStr">
        <is>
          <t>سوئد – QS 2027 فهرست دانشگاه‌های سوئد</t>
        </is>
      </c>
      <c r="B184" s="28" t="inlineStr">
        <is>
          <t>https://www.study.eu/best-universities/sweden</t>
        </is>
      </c>
    </row>
    <row r="185">
      <c r="A185" s="9" t="inlineStr">
        <is>
          <t>دانمارک – ITU شهریهٔ رسمی ورودی ۲۰۲۶: €8,250 در ترم = €16,500 در سال (رقم قدیمی €6,700 منسوخ)</t>
        </is>
      </c>
      <c r="B185" s="28" t="inlineStr">
        <is>
          <t>https://en.itu.dk/Programmes/MSc-Programmes/Applying-to-a-MSc-programme/Non-EU-EOES</t>
        </is>
      </c>
    </row>
    <row r="186">
      <c r="A186" s="9" t="inlineStr">
        <is>
          <t>دانمارک – AAU Cyber Security / Medialogy €7,455 در ترم</t>
        </is>
      </c>
      <c r="B186" s="28" t="inlineStr">
        <is>
          <t>https://studyindenmark.dk/portal/aalborg-university-aau/copenhagen/cyber-security-msc-in-engineering</t>
        </is>
      </c>
    </row>
    <row r="187">
      <c r="A187" s="9" t="inlineStr">
        <is>
          <t>دانمارک – DTU €15,000 (Human-Centered AI / Autonomous Systems)</t>
        </is>
      </c>
      <c r="B187" s="28" t="inlineStr">
        <is>
          <t>https://www.dtu.dk/english/education/graduate/msc-programmes/autonomous-systems/prerequisites</t>
        </is>
      </c>
    </row>
    <row r="188">
      <c r="A188" s="9" t="inlineStr">
        <is>
          <t>دانمارک – Aarhus CS €17,300</t>
        </is>
      </c>
      <c r="B188" s="28" t="inlineStr">
        <is>
          <t>https://masters.au.dk/computerscience</t>
        </is>
      </c>
    </row>
    <row r="189">
      <c r="A189" s="9" t="inlineStr">
        <is>
          <t>دانمارک – QS 2027 فهرست دانشگاه‌های دانمارک</t>
        </is>
      </c>
      <c r="B189" s="28" t="inlineStr">
        <is>
          <t>https://leapscholar.com/blog/top-universities-in-denmark/</t>
        </is>
      </c>
    </row>
    <row r="190">
      <c r="A190" s="9" t="inlineStr">
        <is>
          <t>انگلستان – Goldsmiths MSc Computer Games Programming £22,000</t>
        </is>
      </c>
      <c r="B190" s="28" t="inlineStr">
        <is>
          <t>https://www.gold.ac.uk/pg/msc-computer-games-programming/</t>
        </is>
      </c>
    </row>
    <row r="191">
      <c r="A191" s="9" t="inlineStr">
        <is>
          <t>انگلستان – Royal Holloway MSc Information &amp; Cyber Security £25,500</t>
        </is>
      </c>
      <c r="B191" s="28" t="inlineStr">
        <is>
          <t>https://www.royalholloway.ac.uk/studying-here/postgraduate/information-security/information-and-cyber-security/</t>
        </is>
      </c>
    </row>
    <row r="192">
      <c r="A192" s="9" t="inlineStr">
        <is>
          <t>انگلستان – Kent MSc Cyber Security (NCSC)</t>
        </is>
      </c>
      <c r="B192" s="28" t="inlineStr">
        <is>
          <t>https://www.kent.ac.uk/courses/postgraduate/1225/cyber-security</t>
        </is>
      </c>
    </row>
    <row r="193">
      <c r="A193" s="9" t="inlineStr">
        <is>
          <t>انگلستان – MMU MSc Cyber Security £21,000</t>
        </is>
      </c>
      <c r="B193" s="28" t="inlineStr">
        <is>
          <t>https://www.mmu.ac.uk/study/postgraduate/course/msc-cyber-security</t>
        </is>
      </c>
    </row>
    <row r="194">
      <c r="A194" s="9" t="inlineStr">
        <is>
          <t>انگلستان – York MSc Human-Centred Interactive Technologies £32,900</t>
        </is>
      </c>
      <c r="B194" s="28" t="inlineStr">
        <is>
          <t>https://www.york.ac.uk/study/postgraduate-taught/courses/msc-human-centred-interactive-technologies/</t>
        </is>
      </c>
    </row>
    <row r="195">
      <c r="A195" s="9" t="inlineStr">
        <is>
          <t>انگلستان – Lancaster MSc Cyber Security £30,000</t>
        </is>
      </c>
      <c r="B195" s="28" t="inlineStr">
        <is>
          <t>https://www.lancaster.ac.uk/study/postgraduate/postgraduate-courses/cyber-security-msc/2026/</t>
        </is>
      </c>
    </row>
    <row r="196">
      <c r="A196" s="9" t="inlineStr">
        <is>
          <t>انگلستان – NTU QS 2027 =639</t>
        </is>
      </c>
      <c r="B196" s="28" t="inlineStr">
        <is>
          <t>https://collegedunia.com/uk/university/862-nottingham-trent-university-nottingham/ranking</t>
        </is>
      </c>
    </row>
    <row r="197">
      <c r="A197" s="9" t="inlineStr">
        <is>
          <t>آلمان – FAU: شهریهٔ غیر-EU از ترم تابستان ۲۰۲۷ (AI/CS €4,000، Autonomy Tech €2,000 در ترم؛ BayHIG §13)</t>
        </is>
      </c>
      <c r="B197" s="28" t="inlineStr">
        <is>
          <t>https://www.fau.eu/studying/international-students/application-and-enrollment-for-international-applicants/tuition-fees-for-students-from-non-eu-states/</t>
        </is>
      </c>
    </row>
    <row r="198">
      <c r="A198" s="9" t="inlineStr">
        <is>
          <t>آلمان – Passau: «فعلاً» بدون شهریه برای غیر-EU (اعلام رسمی)</t>
        </is>
      </c>
      <c r="B198" s="28" t="inlineStr">
        <is>
          <t>https://www.uni-passau.de/en/study/news/news/no-tuition-fees-for-international-students-at-the-university-of-passau</t>
        </is>
      </c>
    </row>
    <row r="199">
      <c r="A199" s="9" t="inlineStr">
        <is>
          <t>دانمارک – Aarhus نرخ رسمی 2026/27: Computer Science / Data Science / Computer Engineering €17,300</t>
        </is>
      </c>
      <c r="B199" s="28" t="inlineStr">
        <is>
          <t>https://masters.au.dk/tuitionfees/current-tuition-fee-rates</t>
        </is>
      </c>
    </row>
    <row r="200">
      <c r="A200" s="9" t="inlineStr">
        <is>
          <t>دانمارک – AAU Computer Science (IT): شرط رسمی ≥ ۱۵۰ ECTS دروس CS؛ معیار رتبه‌بندی ۲۰۲۷ شامل سابقهٔ کار</t>
        </is>
      </c>
      <c r="B200" s="28" t="inlineStr">
        <is>
          <t>https://www.en.aau.dk/education/master/computer-science-it</t>
        </is>
      </c>
    </row>
    <row r="201">
      <c r="A201" s="9" t="inlineStr">
        <is>
          <t>سوئد – Chalmers شهریهٔ استاندارد 2026/27 ≈ SEK 175,000 (collegedunia به نقل از صفحهٔ شهریهٔ Chalmers)</t>
        </is>
      </c>
      <c r="B201" s="28" t="inlineStr">
        <is>
          <t>https://collegedunia.com/sweden/university/769-chalmers-university-of-technology-gothenburg/programs?stream_id=48&amp;degree_type=Master</t>
        </is>
      </c>
    </row>
    <row r="202">
      <c r="A202" s="9" t="inlineStr">
        <is>
          <t>انگلستان – Surrey MSc Cyber Security ورودی ۲۰۲۷: £25,900 (فوریه) / £26,900 (سپتامبر)</t>
        </is>
      </c>
      <c r="B202" s="28" t="inlineStr">
        <is>
          <t>https://www.surrey.ac.uk/postgraduate/cyber-security-msc</t>
        </is>
      </c>
    </row>
    <row r="203">
      <c r="A203" s="9" t="inlineStr">
        <is>
          <t>انگلستان – Newcastle MSc Computer Game Engineering £32,300، شرط 2:2 (QS TopUniversities)</t>
        </is>
      </c>
      <c r="B203" s="28" t="inlineStr">
        <is>
          <t>https://www.topuniversities.com/universities/newcastle-university/postgrad/msc-computer-game-engineering</t>
        </is>
      </c>
    </row>
    <row r="204">
      <c r="A204" s="9" t="inlineStr">
        <is>
          <t>هلند – TU/e شهریهٔ رسمی 2026/27 €21,700 (2027/28: €22,400)</t>
        </is>
      </c>
      <c r="B204" s="28" t="inlineStr">
        <is>
          <t>https://www.tue.nl/en/education/become-a-tue-student/tuition-fees</t>
        </is>
      </c>
    </row>
    <row r="205">
      <c r="A205" s="9" t="inlineStr">
        <is>
          <t>ایران – توقف برگزاری IELTS در ایران از ۳۱ ژانویه ۲۰۲۶ (اعلام IDP)</t>
        </is>
      </c>
      <c r="B205" s="28" t="inlineStr">
        <is>
          <t>https://wanaen.com/ielts-testing-to-be-suspended-in-iran/</t>
        </is>
      </c>
    </row>
    <row r="206">
      <c r="A206" s="9" t="inlineStr">
        <is>
          <t>ایران – وضعیت IELTS شهریور ۱۴۰۵: در ایران برگزار نمی‌شود؛ آزمون در کشور دیگر</t>
        </is>
      </c>
      <c r="B206" s="28" t="inlineStr">
        <is>
          <t>https://www.jahantahsil.com/%D8%A2%D8%B2%D9%85%D9%88%D9%86-%D8%A2%DB%8C%D9%84%D8%AA%D8%B3-ielts-%DA%86%DB%8C%D8%B3%D8%AA-%D9%88-%DA%A9%D8%AC%D8%A7-%D8%A8%D8%B1%DA%AF%D8%B2%D8%A7%D8%B1-%D9%85%DB%8C%D8%B4%D9%88%D8%AF/</t>
        </is>
      </c>
    </row>
    <row r="207">
      <c r="A207" s="9" t="inlineStr">
        <is>
          <t>ایران – توقف TOEFL در ایران (وضعیت شهریور ۱۴۰۵)</t>
        </is>
      </c>
      <c r="B207" s="28" t="inlineStr">
        <is>
          <t>https://zandienglish.ir/toefl-in-iran/</t>
        </is>
      </c>
    </row>
    <row r="208">
      <c r="A208" s="9" t="inlineStr">
        <is>
          <t>ایران – وثیقهٔ خروج تحصیلی مشمولان ۲۰۰ میلیون تومان (سامانهٔ سخا، تیر ۱۴۰۵)</t>
        </is>
      </c>
      <c r="B208" s="28" t="inlineStr">
        <is>
          <t>https://www.zoomit.ir/iran-news/464136-exit-permit-bond-sakha-1405/</t>
        </is>
      </c>
    </row>
    <row r="209">
      <c r="A209" s="9" t="inlineStr">
        <is>
          <t>سوئد – تاریخ‌های کلیدی ورودی پاییز ۲۰۲۷ (۱۶ اکتبر – ۱۵ ژانویه؛ مدارک ۱ فوریه؛ دور دوم ۱۵ آوریل)</t>
        </is>
      </c>
      <c r="B209" s="28" t="inlineStr">
        <is>
          <t>https://www.umu.se/en/education/application-and-admission/key-dates-and-deadlines/</t>
        </is>
      </c>
    </row>
    <row r="210">
      <c r="A210" s="9" t="inlineStr">
        <is>
          <t>آلمان – Stuttgart MSc CS: بازهٔ اپلای ترم زمستان ۱۵ نوامبر – ۱۵ ژانویه؛ انگلیسی C1</t>
        </is>
      </c>
      <c r="B210" s="28" t="inlineStr">
        <is>
          <t>https://www.uni-stuttgart.de/en/study/study-programs/Computer-Science-M.Sc.-00001/</t>
        </is>
      </c>
    </row>
    <row r="211">
      <c r="A211" s="9" t="inlineStr">
        <is>
          <t>آلمان – Passau: بازهٔ اپلای AI Engineering ۱ آوریل – ۳۱ می</t>
        </is>
      </c>
      <c r="B211" s="28" t="inlineStr">
        <is>
          <t>https://www.uni-passau.de/en/apply/apply-with-intl-qualifications</t>
        </is>
      </c>
    </row>
    <row r="212">
      <c r="A212" s="9" t="inlineStr">
        <is>
          <t>دانمارک – AAU: مهلت شهریه‌پردازها ۱۵ ژانویه (EU: ۱ مارس)؛ پورتال از اواسط دسامبر</t>
        </is>
      </c>
      <c r="B212" s="28" t="inlineStr">
        <is>
          <t>https://www.en.aau.dk/education/apply/master/how-and-when-to-apply</t>
        </is>
      </c>
    </row>
    <row r="213">
      <c r="A213" s="9" t="inlineStr">
        <is>
          <t>دانمارک – SDU Computer Science: مهلت غیر-EU ۱ فوریه؛ شهریه یک سال پیش‌پرداخت</t>
        </is>
      </c>
      <c r="B213" s="28" t="inlineStr">
        <is>
          <t>https://www.sdu.dk/en/uddannelse/kandidat/datalogi</t>
        </is>
      </c>
    </row>
    <row r="214">
      <c r="A214" s="9" t="inlineStr">
        <is>
          <t>هلند – Radboud: مهلت غیر-EU ۱ آوریل، بورس ۳۱ ژانویه، ثبت‌نام ۱ ژوئن</t>
        </is>
      </c>
      <c r="B214" s="28" t="inlineStr">
        <is>
          <t>https://www.ru.nl/en/education/application-and-admission/application-procedure-masters/deadlines</t>
        </is>
      </c>
    </row>
    <row r="215">
      <c r="A215" s="9" t="inlineStr">
        <is>
          <t>هلند – Twente: مهلت غیر-EEA ۱ می ۲۰۲۷؛ بورس UTS ۱۵ اکتبر ۲۰۲۶ – ۱ آوریل ۲۰۲۷</t>
        </is>
      </c>
      <c r="B215" s="28"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2026-09-28T10:27:42Z</dcterms:created>
  <dcterms:modified xsi:type="dcterms:W3CDTF">2026-09-28T10:27:42Z</dcterms:modified>
</cp:coreProperties>
</file>