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'برنامه‌ها'!$A$1:$R$143</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41">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
      <b val="1"/>
      <color rgb="009C5700"/>
    </font>
    <font>
      <b val="1"/>
      <color rgb="00000000"/>
    </font>
    <font>
      <b val="1"/>
      <color rgb="009C0006"/>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color rgb="007F7F7F"/>
      <sz val="13"/>
    </font>
    <font>
      <name val="B Nazanin"/>
      <color rgb="009C0006"/>
      <sz val="13"/>
    </font>
    <font>
      <name val="B Nazanin"/>
      <b val="1"/>
      <color rgb="009C5700"/>
      <sz val="13"/>
    </font>
    <font>
      <name val="B Nazanin"/>
      <b val="1"/>
      <color rgb="00000000"/>
      <sz val="13"/>
    </font>
    <font>
      <name val="B Nazanin"/>
      <b val="1"/>
      <color rgb="009C0006"/>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9">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FFF2CC"/>
      </patternFill>
    </fill>
    <fill>
      <patternFill patternType="solid">
        <fgColor rgb="00EAF5E1"/>
      </patternFill>
    </fill>
    <fill>
      <patternFill patternType="solid">
        <fgColor rgb="00FCE4D6"/>
      </patternFill>
    </fill>
    <fill>
      <patternFill patternType="solid">
        <fgColor rgb="00F8CBAD"/>
      </patternFill>
    </fill>
    <fill>
      <patternFill patternType="solid">
        <fgColor rgb="00E2F0D9"/>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F5E1EE"/>
      </patternFill>
    </fill>
    <fill>
      <patternFill patternType="solid">
        <fgColor rgb="00D6EEF2"/>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AF1F7"/>
      </patternFill>
    </fill>
    <fill>
      <patternFill patternType="solid">
        <fgColor rgb="00ECF7F9"/>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4">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
      <left/>
      <right/>
      <top style="medium">
        <color rgb="001F4E78"/>
      </top>
      <bottom/>
    </border>
  </borders>
  <cellStyleXfs count="1">
    <xf numFmtId="0" fontId="0" fillId="0" borderId="0"/>
  </cellStyleXfs>
  <cellXfs count="198">
    <xf numFmtId="0" fontId="0" fillId="0" borderId="0" pivotButton="0" quotePrefix="0" xfId="0"/>
    <xf numFmtId="0" fontId="26" fillId="0" borderId="0" applyAlignment="1" pivotButton="0" quotePrefix="0" xfId="0">
      <alignment horizontal="right" vertical="top" wrapText="1" readingOrder="2"/>
    </xf>
    <xf numFmtId="0" fontId="22" fillId="0" borderId="0" applyAlignment="1" pivotButton="0" quotePrefix="0" xfId="0">
      <alignment horizontal="right" vertical="top" wrapText="1" readingOrder="2"/>
    </xf>
    <xf numFmtId="0" fontId="39" fillId="9" borderId="1" applyAlignment="1" pivotButton="0" quotePrefix="0" xfId="0">
      <alignment horizontal="center" vertical="center" wrapText="1" readingOrder="2"/>
    </xf>
    <xf numFmtId="0" fontId="40" fillId="5" borderId="1" applyAlignment="1" pivotButton="0" quotePrefix="0" xfId="0">
      <alignment horizontal="center" vertical="center" wrapText="1" readingOrder="2"/>
    </xf>
    <xf numFmtId="0" fontId="40" fillId="11" borderId="1" applyAlignment="1" pivotButton="0" quotePrefix="0" xfId="0">
      <alignment horizontal="center" vertical="center" wrapText="1" readingOrder="2"/>
    </xf>
    <xf numFmtId="0" fontId="40" fillId="12" borderId="1" applyAlignment="1" pivotButton="0" quotePrefix="0" xfId="0">
      <alignment horizontal="center" vertical="center" wrapText="1" readingOrder="2"/>
    </xf>
    <xf numFmtId="0" fontId="40" fillId="13" borderId="1" applyAlignment="1" pivotButton="0" quotePrefix="0" xfId="0">
      <alignment horizontal="center" vertical="center" wrapText="1" readingOrder="2"/>
    </xf>
    <xf numFmtId="0" fontId="40" fillId="14" borderId="1" applyAlignment="1" pivotButton="0" quotePrefix="0" xfId="0">
      <alignment horizontal="center" vertical="center" wrapText="1" readingOrder="2"/>
    </xf>
    <xf numFmtId="0" fontId="40" fillId="15" borderId="1" applyAlignment="1" pivotButton="0" quotePrefix="0" xfId="0">
      <alignment horizontal="center" vertical="center" wrapText="1" readingOrder="2"/>
    </xf>
    <xf numFmtId="0" fontId="40" fillId="16" borderId="1" applyAlignment="1" pivotButton="0" quotePrefix="0" xfId="0">
      <alignment horizontal="center" vertical="center" wrapText="1" readingOrder="2"/>
    </xf>
    <xf numFmtId="0" fontId="40" fillId="17" borderId="1" applyAlignment="1" pivotButton="0" quotePrefix="0" xfId="0">
      <alignment horizontal="center" vertical="center" wrapText="1" readingOrder="2"/>
    </xf>
    <xf numFmtId="0" fontId="40" fillId="18" borderId="1" applyAlignment="1" pivotButton="0" quotePrefix="0" xfId="0">
      <alignment horizontal="center" vertical="center" wrapText="1" readingOrder="2"/>
    </xf>
    <xf numFmtId="0" fontId="40" fillId="19" borderId="1" applyAlignment="1" pivotButton="0" quotePrefix="0" xfId="0">
      <alignment horizontal="center" vertical="center" wrapText="1" readingOrder="2"/>
    </xf>
    <xf numFmtId="0" fontId="27" fillId="10" borderId="0" applyAlignment="1" pivotButton="0" quotePrefix="0" xfId="0">
      <alignment horizontal="right" vertical="center" readingOrder="2"/>
    </xf>
    <xf numFmtId="0" fontId="19" fillId="2" borderId="1" applyAlignment="1" pivotButton="0" quotePrefix="0" xfId="0">
      <alignment horizontal="center" vertical="top" wrapText="1" readingOrder="2"/>
    </xf>
    <xf numFmtId="0" fontId="36" fillId="12" borderId="1" applyAlignment="1" pivotButton="0" quotePrefix="0" xfId="0">
      <alignment horizontal="center" vertical="top" wrapText="1" readingOrder="2"/>
    </xf>
    <xf numFmtId="0" fontId="36" fillId="13" borderId="1" applyAlignment="1" pivotButton="0" quotePrefix="0" xfId="0">
      <alignment horizontal="center" vertical="top" wrapText="1" readingOrder="2"/>
    </xf>
    <xf numFmtId="0" fontId="36" fillId="14" borderId="1" applyAlignment="1" pivotButton="0" quotePrefix="0" xfId="0">
      <alignment horizontal="center" vertical="top" wrapText="1" readingOrder="2"/>
    </xf>
    <xf numFmtId="0" fontId="36" fillId="15" borderId="1" applyAlignment="1" pivotButton="0" quotePrefix="0" xfId="0">
      <alignment horizontal="center" vertical="top" wrapText="1" readingOrder="2"/>
    </xf>
    <xf numFmtId="0" fontId="36" fillId="16" borderId="1" applyAlignment="1" pivotButton="0" quotePrefix="0" xfId="0">
      <alignment horizontal="center" vertical="top" wrapText="1" readingOrder="2"/>
    </xf>
    <xf numFmtId="0" fontId="36" fillId="17" borderId="1" applyAlignment="1" pivotButton="0" quotePrefix="0" xfId="0">
      <alignment horizontal="center" vertical="top" wrapText="1" readingOrder="2"/>
    </xf>
    <xf numFmtId="0" fontId="36" fillId="18" borderId="1" applyAlignment="1" pivotButton="0" quotePrefix="0" xfId="0">
      <alignment horizontal="center" vertical="top" wrapText="1" readingOrder="2"/>
    </xf>
    <xf numFmtId="0" fontId="36" fillId="19" borderId="1" applyAlignment="1" pivotButton="0" quotePrefix="0" xfId="0">
      <alignment horizontal="center" vertical="top" wrapText="1" readingOrder="2"/>
    </xf>
    <xf numFmtId="0" fontId="21" fillId="3" borderId="1" applyAlignment="1" pivotButton="0" quotePrefix="0" xfId="0">
      <alignment horizontal="right" vertical="top" wrapText="1" readingOrder="2"/>
    </xf>
    <xf numFmtId="0" fontId="20" fillId="20" borderId="1" applyAlignment="1" pivotButton="0" quotePrefix="0" xfId="0">
      <alignment horizontal="center" vertical="top" wrapText="1" readingOrder="2"/>
    </xf>
    <xf numFmtId="0" fontId="20" fillId="21" borderId="1" applyAlignment="1" pivotButton="0" quotePrefix="0" xfId="0">
      <alignment horizontal="center" vertical="top" wrapText="1" readingOrder="2"/>
    </xf>
    <xf numFmtId="0" fontId="20" fillId="22" borderId="1" applyAlignment="1" pivotButton="0" quotePrefix="0" xfId="0">
      <alignment horizontal="right" vertical="top" wrapText="1" readingOrder="2"/>
    </xf>
    <xf numFmtId="0" fontId="20" fillId="23" borderId="1" applyAlignment="1" pivotButton="0" quotePrefix="0" xfId="0">
      <alignment horizontal="center" vertical="top" wrapText="1" readingOrder="2"/>
    </xf>
    <xf numFmtId="0" fontId="20" fillId="24" borderId="1" applyAlignment="1" pivotButton="0" quotePrefix="0" xfId="0">
      <alignment horizontal="center" vertical="top" wrapText="1" readingOrder="2"/>
    </xf>
    <xf numFmtId="0" fontId="20" fillId="25" borderId="1" applyAlignment="1" pivotButton="0" quotePrefix="0" xfId="0">
      <alignment horizontal="center" vertical="top" wrapText="1" readingOrder="2"/>
    </xf>
    <xf numFmtId="0" fontId="20" fillId="26" borderId="1" applyAlignment="1" pivotButton="0" quotePrefix="0" xfId="0">
      <alignment horizontal="center" vertical="top" wrapText="1" readingOrder="2"/>
    </xf>
    <xf numFmtId="0" fontId="20" fillId="27" borderId="1" applyAlignment="1" pivotButton="0" quotePrefix="0" xfId="0">
      <alignment horizontal="center" vertical="top" wrapText="1" readingOrder="2"/>
    </xf>
    <xf numFmtId="0" fontId="20" fillId="20" borderId="1" applyAlignment="1" pivotButton="0" quotePrefix="0" xfId="0">
      <alignment horizontal="left" vertical="top" wrapText="1" readingOrder="1"/>
    </xf>
    <xf numFmtId="0" fontId="20" fillId="21" borderId="1" applyAlignment="1" pivotButton="0" quotePrefix="0" xfId="0">
      <alignment horizontal="center" vertical="top" wrapText="1" readingOrder="1"/>
    </xf>
    <xf numFmtId="0" fontId="20" fillId="23" borderId="1" applyAlignment="1" pivotButton="0" quotePrefix="0" xfId="0">
      <alignment horizontal="left" vertical="top" wrapText="1" readingOrder="1"/>
    </xf>
    <xf numFmtId="0" fontId="20" fillId="24" borderId="1" applyAlignment="1" pivotButton="0" quotePrefix="0" xfId="0">
      <alignment horizontal="left" vertical="top" wrapText="1" readingOrder="1"/>
    </xf>
    <xf numFmtId="0" fontId="20" fillId="22" borderId="1" applyAlignment="1" pivotButton="0" quotePrefix="0" xfId="0">
      <alignment horizontal="left" vertical="top" wrapText="1" readingOrder="1"/>
    </xf>
    <xf numFmtId="0" fontId="21" fillId="5" borderId="1" applyAlignment="1" pivotButton="0" quotePrefix="0" xfId="0">
      <alignment horizontal="right" vertical="top" wrapText="1" readingOrder="2"/>
    </xf>
    <xf numFmtId="0" fontId="21" fillId="5" borderId="1" applyAlignment="1" pivotButton="0" quotePrefix="0" xfId="0">
      <alignment horizontal="left" vertical="top" wrapText="1" readingOrder="1"/>
    </xf>
    <xf numFmtId="0" fontId="21" fillId="5" borderId="1" applyAlignment="1" pivotButton="0" quotePrefix="0" xfId="0">
      <alignment horizontal="center" vertical="top" wrapText="1" readingOrder="1"/>
    </xf>
    <xf numFmtId="0" fontId="21" fillId="5" borderId="1" applyAlignment="1" pivotButton="0" quotePrefix="0" xfId="0">
      <alignment horizontal="center" vertical="top" wrapText="1" readingOrder="2"/>
    </xf>
    <xf numFmtId="0" fontId="20" fillId="20" borderId="1" applyAlignment="1" pivotButton="0" quotePrefix="0" xfId="0">
      <alignment horizontal="right" vertical="top" wrapText="1" readingOrder="2"/>
    </xf>
    <xf numFmtId="0" fontId="20" fillId="21" borderId="1" applyAlignment="1" pivotButton="0" quotePrefix="0" xfId="0">
      <alignment horizontal="right" vertical="top" wrapText="1" readingOrder="2"/>
    </xf>
    <xf numFmtId="0" fontId="20" fillId="23" borderId="1" applyAlignment="1" pivotButton="0" quotePrefix="0" xfId="0">
      <alignment horizontal="right" vertical="top" wrapText="1" readingOrder="2"/>
    </xf>
    <xf numFmtId="0" fontId="20" fillId="24" borderId="1" applyAlignment="1" pivotButton="0" quotePrefix="0" xfId="0">
      <alignment horizontal="right" vertical="top" wrapText="1" readingOrder="2"/>
    </xf>
    <xf numFmtId="0" fontId="20" fillId="25" borderId="1" applyAlignment="1" pivotButton="0" quotePrefix="0" xfId="0">
      <alignment horizontal="right" vertical="top" wrapText="1" readingOrder="2"/>
    </xf>
    <xf numFmtId="0" fontId="20" fillId="11" borderId="1" applyAlignment="1" pivotButton="0" quotePrefix="0" xfId="0">
      <alignment horizontal="right" vertical="top" wrapText="1" readingOrder="2"/>
    </xf>
    <xf numFmtId="0" fontId="20" fillId="27" borderId="1" applyAlignment="1" pivotButton="0" quotePrefix="0" xfId="0">
      <alignment horizontal="right" vertical="top" wrapText="1" readingOrder="2"/>
    </xf>
    <xf numFmtId="0" fontId="20" fillId="20" borderId="1" applyAlignment="1" pivotButton="0" quotePrefix="0" xfId="0">
      <alignment horizontal="center" vertical="top" wrapText="1" readingOrder="1"/>
    </xf>
    <xf numFmtId="0" fontId="20" fillId="25" borderId="1" applyAlignment="1" pivotButton="0" quotePrefix="0" xfId="0">
      <alignment horizontal="left" vertical="top" wrapText="1" readingOrder="1"/>
    </xf>
    <xf numFmtId="0" fontId="20" fillId="26" borderId="1" applyAlignment="1" pivotButton="0" quotePrefix="0" xfId="0">
      <alignment horizontal="center" vertical="top" wrapText="1" readingOrder="1"/>
    </xf>
    <xf numFmtId="0" fontId="20" fillId="22" borderId="1" applyAlignment="1" pivotButton="0" quotePrefix="0" xfId="0">
      <alignment horizontal="center" vertical="top" wrapText="1" readingOrder="2"/>
    </xf>
    <xf numFmtId="0" fontId="20" fillId="11" borderId="1" applyAlignment="1" pivotButton="0" quotePrefix="0" xfId="0">
      <alignment horizontal="center" vertical="top" wrapText="1" readingOrder="2"/>
    </xf>
    <xf numFmtId="164" fontId="28" fillId="9" borderId="1" applyAlignment="1" pivotButton="0" quotePrefix="0" xfId="0">
      <alignment horizontal="center" vertical="top" wrapText="1" readingOrder="2"/>
    </xf>
    <xf numFmtId="164" fontId="21" fillId="5" borderId="1" applyAlignment="1" pivotButton="0" quotePrefix="0" xfId="0">
      <alignment horizontal="center" vertical="top" wrapText="1" readingOrder="1"/>
    </xf>
    <xf numFmtId="164" fontId="21" fillId="5" borderId="1" applyAlignment="1" pivotButton="0" quotePrefix="0" xfId="0">
      <alignment horizontal="center" vertical="top" wrapText="1" readingOrder="2"/>
    </xf>
    <xf numFmtId="0" fontId="28" fillId="9" borderId="1" applyAlignment="1" pivotButton="0" quotePrefix="0" xfId="0">
      <alignment horizontal="center" vertical="top" wrapText="1" readingOrder="2"/>
    </xf>
    <xf numFmtId="0" fontId="20" fillId="9" borderId="1" applyAlignment="1" pivotButton="0" quotePrefix="0" xfId="0">
      <alignment horizontal="center" vertical="top" wrapText="1" readingOrder="2"/>
    </xf>
    <xf numFmtId="0" fontId="20" fillId="9" borderId="1" applyAlignment="1" pivotButton="0" quotePrefix="0" xfId="0">
      <alignment horizontal="left" vertical="top" wrapText="1" readingOrder="1"/>
    </xf>
    <xf numFmtId="0" fontId="24" fillId="0" borderId="0" applyAlignment="1" pivotButton="0" quotePrefix="0" xfId="0">
      <alignment horizontal="right" vertical="top" wrapText="1" readingOrder="2"/>
    </xf>
    <xf numFmtId="0" fontId="29" fillId="9" borderId="1" applyAlignment="1" pivotButton="0" quotePrefix="0" xfId="0">
      <alignment horizontal="center" vertical="top" wrapText="1" readingOrder="2"/>
    </xf>
    <xf numFmtId="0" fontId="37" fillId="12" borderId="1" applyAlignment="1" pivotButton="0" quotePrefix="0" xfId="0">
      <alignment horizontal="left" vertical="top" wrapText="1" readingOrder="1"/>
    </xf>
    <xf numFmtId="0" fontId="20" fillId="0" borderId="1" applyAlignment="1" pivotButton="0" quotePrefix="0" xfId="0">
      <alignment horizontal="left" vertical="top" wrapText="1" readingOrder="1"/>
    </xf>
    <xf numFmtId="0" fontId="21" fillId="9"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20" fillId="0" borderId="1" applyAlignment="1" pivotButton="0" quotePrefix="0" xfId="0">
      <alignment horizontal="center" vertical="top" wrapText="1" readingOrder="2"/>
    </xf>
    <xf numFmtId="0" fontId="29" fillId="5" borderId="1" applyAlignment="1" pivotButton="0" quotePrefix="0" xfId="0">
      <alignment horizontal="left" vertical="top" wrapText="1" readingOrder="1"/>
    </xf>
    <xf numFmtId="0" fontId="21" fillId="7" borderId="1" applyAlignment="1" pivotButton="0" quotePrefix="0" xfId="0">
      <alignment horizontal="center" vertical="top" wrapText="1" readingOrder="1"/>
    </xf>
    <xf numFmtId="0" fontId="20" fillId="0" borderId="1" applyAlignment="1" pivotButton="0" quotePrefix="0" xfId="0">
      <alignment horizontal="right" vertical="top" wrapText="1" readingOrder="2"/>
    </xf>
    <xf numFmtId="0" fontId="20" fillId="0" borderId="1" pivotButton="0" quotePrefix="0" xfId="0"/>
    <xf numFmtId="0" fontId="37" fillId="14" borderId="1" applyAlignment="1" pivotButton="0" quotePrefix="0" xfId="0">
      <alignment horizontal="left" vertical="top" wrapText="1" readingOrder="1"/>
    </xf>
    <xf numFmtId="0" fontId="29" fillId="5" borderId="1" applyAlignment="1" pivotButton="0" quotePrefix="0" xfId="0">
      <alignment horizontal="center" vertical="top" wrapText="1" readingOrder="2"/>
    </xf>
    <xf numFmtId="0" fontId="30" fillId="5" borderId="1" applyAlignment="1" pivotButton="0" quotePrefix="0" xfId="0">
      <alignment horizontal="right" vertical="top" wrapText="1" readingOrder="2"/>
    </xf>
    <xf numFmtId="0" fontId="21" fillId="6" borderId="1" applyAlignment="1" pivotButton="0" quotePrefix="0" xfId="0">
      <alignment horizontal="center" vertical="top" wrapText="1" readingOrder="1"/>
    </xf>
    <xf numFmtId="0" fontId="37" fillId="13" borderId="1" applyAlignment="1" pivotButton="0" quotePrefix="0" xfId="0">
      <alignment horizontal="left" vertical="top" wrapText="1" readingOrder="1"/>
    </xf>
    <xf numFmtId="0" fontId="37" fillId="15" borderId="1" applyAlignment="1" pivotButton="0" quotePrefix="0" xfId="0">
      <alignment horizontal="left" vertical="top" wrapText="1" readingOrder="1"/>
    </xf>
    <xf numFmtId="0" fontId="37" fillId="17" borderId="1" applyAlignment="1" pivotButton="0" quotePrefix="0" xfId="0">
      <alignment horizontal="left" vertical="top" wrapText="1" readingOrder="1"/>
    </xf>
    <xf numFmtId="0" fontId="2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2"/>
    </xf>
    <xf numFmtId="0" fontId="38" fillId="12" borderId="1" applyAlignment="1" pivotButton="0" quotePrefix="0" xfId="0">
      <alignment horizontal="left" vertical="top" wrapText="1" readingOrder="1"/>
    </xf>
    <xf numFmtId="0" fontId="31" fillId="0" borderId="1" applyAlignment="1" pivotButton="0" quotePrefix="0" xfId="0">
      <alignment horizontal="left" vertical="top" wrapText="1" readingOrder="1"/>
    </xf>
    <xf numFmtId="0" fontId="32" fillId="11"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8" fillId="14" borderId="1" applyAlignment="1" pivotButton="0" quotePrefix="0" xfId="0">
      <alignment horizontal="left" vertical="top" wrapText="1" readingOrder="1"/>
    </xf>
    <xf numFmtId="0" fontId="31" fillId="11" borderId="1" applyAlignment="1" pivotButton="0" quotePrefix="0" xfId="0">
      <alignment horizontal="center" vertical="top" wrapText="1" readingOrder="1"/>
    </xf>
    <xf numFmtId="0" fontId="31" fillId="9" borderId="1" applyAlignment="1" pivotButton="0" quotePrefix="0" xfId="0">
      <alignment horizontal="right" vertical="top" wrapText="1" readingOrder="2"/>
    </xf>
    <xf numFmtId="0" fontId="31" fillId="9" borderId="1" applyAlignment="1" pivotButton="0" quotePrefix="0" xfId="0">
      <alignment horizontal="center" vertical="top" wrapText="1" readingOrder="1"/>
    </xf>
    <xf numFmtId="0" fontId="38" fillId="16" borderId="1" applyAlignment="1" pivotButton="0" quotePrefix="0" xfId="0">
      <alignment horizontal="left" vertical="top" wrapText="1" readingOrder="1"/>
    </xf>
    <xf numFmtId="0" fontId="31" fillId="5" borderId="1" applyAlignment="1" pivotButton="0" quotePrefix="0" xfId="0">
      <alignment horizontal="center" vertical="top" wrapText="1" readingOrder="2"/>
    </xf>
    <xf numFmtId="0" fontId="38" fillId="17" borderId="1" applyAlignment="1" pivotButton="0" quotePrefix="0" xfId="0">
      <alignment horizontal="left" vertical="top" wrapText="1" readingOrder="1"/>
    </xf>
    <xf numFmtId="0" fontId="38" fillId="18" borderId="1" applyAlignment="1" pivotButton="0" quotePrefix="0" xfId="0">
      <alignment horizontal="left" vertical="top" wrapText="1" readingOrder="1"/>
    </xf>
    <xf numFmtId="0" fontId="38" fillId="19" borderId="1" applyAlignment="1" pivotButton="0" quotePrefix="0" xfId="0">
      <alignment horizontal="left" vertical="top" wrapText="1" readingOrder="1"/>
    </xf>
    <xf numFmtId="0" fontId="38" fillId="15" borderId="1" applyAlignment="1" pivotButton="0" quotePrefix="0" xfId="0">
      <alignment horizontal="left" vertical="top" wrapText="1" readingOrder="1"/>
    </xf>
    <xf numFmtId="0" fontId="21"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34" fillId="9" borderId="1" applyAlignment="1" pivotButton="0" quotePrefix="0" xfId="0">
      <alignment horizontal="right" vertical="top" wrapText="1" readingOrder="2"/>
    </xf>
    <xf numFmtId="0" fontId="37" fillId="16" borderId="1" applyAlignment="1" pivotButton="0" quotePrefix="0" xfId="0">
      <alignment horizontal="left" vertical="top" wrapText="1" readingOrder="1"/>
    </xf>
    <xf numFmtId="0" fontId="29" fillId="11" borderId="1" applyAlignment="1" pivotButton="0" quotePrefix="0" xfId="0">
      <alignment horizontal="center" vertical="top" wrapText="1" readingOrder="2"/>
    </xf>
    <xf numFmtId="0" fontId="35" fillId="11" borderId="1" applyAlignment="1" pivotButton="0" quotePrefix="0" xfId="0">
      <alignment horizontal="right" vertical="top" wrapText="1" readingOrder="2"/>
    </xf>
    <xf numFmtId="0" fontId="24" fillId="5" borderId="0" applyAlignment="1" pivotButton="0" quotePrefix="0" xfId="0">
      <alignment horizontal="right" vertical="top" wrapText="1" readingOrder="2"/>
    </xf>
    <xf numFmtId="0" fontId="20" fillId="21" borderId="1" applyAlignment="1" pivotButton="0" quotePrefix="0" xfId="0">
      <alignment horizontal="left" vertical="top" wrapText="1" readingOrder="1"/>
    </xf>
    <xf numFmtId="0" fontId="20" fillId="26" borderId="1" applyAlignment="1" pivotButton="0" quotePrefix="0" xfId="0">
      <alignment horizontal="left" vertical="top" wrapText="1" readingOrder="1"/>
    </xf>
    <xf numFmtId="0" fontId="20" fillId="27" borderId="1" applyAlignment="1" pivotButton="0" quotePrefix="0" xfId="0">
      <alignment horizontal="left" vertical="top" wrapText="1" readingOrder="1"/>
    </xf>
    <xf numFmtId="0" fontId="22" fillId="0" borderId="1" applyAlignment="1" pivotButton="0" quotePrefix="0" xfId="0">
      <alignment horizontal="right" vertical="top" wrapText="1" readingOrder="2"/>
    </xf>
    <xf numFmtId="0" fontId="22" fillId="0" borderId="1" applyAlignment="1" pivotButton="0" quotePrefix="0" xfId="0">
      <alignment horizontal="left" vertical="top" wrapText="1" readingOrder="1"/>
    </xf>
    <xf numFmtId="0" fontId="20" fillId="26" borderId="1" applyAlignment="1" pivotButton="0" quotePrefix="0" xfId="0">
      <alignment horizontal="right" vertical="top" wrapText="1" readingOrder="2"/>
    </xf>
    <xf numFmtId="0" fontId="21" fillId="0" borderId="1" applyAlignment="1" pivotButton="0" quotePrefix="0" xfId="0">
      <alignment horizontal="right" vertical="top" wrapText="1" readingOrder="2"/>
    </xf>
    <xf numFmtId="0" fontId="37" fillId="16" borderId="1" applyAlignment="1" pivotButton="0" quotePrefix="0" xfId="0">
      <alignment horizontal="center" vertical="top" wrapText="1" readingOrder="2"/>
    </xf>
    <xf numFmtId="0" fontId="21" fillId="4" borderId="1" applyAlignment="1" pivotButton="0" quotePrefix="0" xfId="0">
      <alignment horizontal="left" vertical="top" wrapText="1" readingOrder="1"/>
    </xf>
    <xf numFmtId="0" fontId="23" fillId="0" borderId="1" applyAlignment="1" pivotButton="0" quotePrefix="0" xfId="0">
      <alignment horizontal="left" vertical="top" wrapText="1" readingOrder="1"/>
    </xf>
    <xf numFmtId="0" fontId="20" fillId="28" borderId="1" applyAlignment="1" pivotButton="0" quotePrefix="0" xfId="0">
      <alignment horizontal="center" vertical="top" wrapText="1" readingOrder="2"/>
    </xf>
    <xf numFmtId="0" fontId="20" fillId="28" borderId="1" applyAlignment="1" pivotButton="0" quotePrefix="0" xfId="0">
      <alignment horizontal="left" vertical="top" wrapText="1" readingOrder="1"/>
    </xf>
    <xf numFmtId="0" fontId="20" fillId="28" borderId="1" applyAlignment="1" pivotButton="0" quotePrefix="0" xfId="0">
      <alignment horizontal="right" vertical="top" wrapText="1" readingOrder="2"/>
    </xf>
    <xf numFmtId="0" fontId="23" fillId="28" borderId="1" applyAlignment="1" pivotButton="0" quotePrefix="0" xfId="0">
      <alignment horizontal="left" vertical="top" wrapText="1" readingOrder="1"/>
    </xf>
    <xf numFmtId="0" fontId="21" fillId="8" borderId="1" applyAlignment="1" pivotButton="0" quotePrefix="0" xfId="0">
      <alignment horizontal="center" vertical="top" wrapText="1" readingOrder="1"/>
    </xf>
    <xf numFmtId="0" fontId="20" fillId="28" borderId="2" applyAlignment="1" pivotButton="0" quotePrefix="0" xfId="0">
      <alignment horizontal="center" vertical="top" wrapText="1" readingOrder="2"/>
    </xf>
    <xf numFmtId="0" fontId="37" fillId="12" borderId="2" applyAlignment="1" pivotButton="0" quotePrefix="0" xfId="0">
      <alignment horizontal="center" vertical="top" wrapText="1" readingOrder="2"/>
    </xf>
    <xf numFmtId="0" fontId="20" fillId="28" borderId="2" applyAlignment="1" pivotButton="0" quotePrefix="0" xfId="0">
      <alignment horizontal="left" vertical="top" wrapText="1" readingOrder="1"/>
    </xf>
    <xf numFmtId="0" fontId="20" fillId="28" borderId="2" applyAlignment="1" pivotButton="0" quotePrefix="0" xfId="0">
      <alignment horizontal="right" vertical="top" wrapText="1" readingOrder="2"/>
    </xf>
    <xf numFmtId="0" fontId="21" fillId="4" borderId="2" applyAlignment="1" pivotButton="0" quotePrefix="0" xfId="0">
      <alignment horizontal="left" vertical="top" wrapText="1" readingOrder="1"/>
    </xf>
    <xf numFmtId="0" fontId="21" fillId="5" borderId="2" applyAlignment="1" pivotButton="0" quotePrefix="0" xfId="0">
      <alignment horizontal="center" vertical="top" wrapText="1" readingOrder="1"/>
    </xf>
    <xf numFmtId="0" fontId="23" fillId="28" borderId="2" applyAlignment="1" pivotButton="0" quotePrefix="0" xfId="0">
      <alignment horizontal="left" vertical="top" wrapText="1" readingOrder="1"/>
    </xf>
    <xf numFmtId="0" fontId="37" fillId="12" borderId="1" applyAlignment="1" pivotButton="0" quotePrefix="0" xfId="0">
      <alignment horizontal="center" vertical="top" wrapText="1" readingOrder="2"/>
    </xf>
    <xf numFmtId="0" fontId="20" fillId="5" borderId="1" applyAlignment="1" pivotButton="0" quotePrefix="0" xfId="0">
      <alignment horizontal="right" vertical="top" wrapText="1" readingOrder="2"/>
    </xf>
    <xf numFmtId="0" fontId="37" fillId="13" borderId="2" applyAlignment="1" pivotButton="0" quotePrefix="0" xfId="0">
      <alignment horizontal="center" vertical="top" wrapText="1" readingOrder="2"/>
    </xf>
    <xf numFmtId="0" fontId="37" fillId="13" borderId="1" applyAlignment="1" pivotButton="0" quotePrefix="0" xfId="0">
      <alignment horizontal="center" vertical="top" wrapText="1" readingOrder="2"/>
    </xf>
    <xf numFmtId="0" fontId="20" fillId="5" borderId="1" applyAlignment="1" pivotButton="0" quotePrefix="0" xfId="0">
      <alignment horizontal="left" vertical="top" wrapText="1" readingOrder="1"/>
    </xf>
    <xf numFmtId="0" fontId="20" fillId="0" borderId="2" applyAlignment="1" pivotButton="0" quotePrefix="0" xfId="0">
      <alignment horizontal="center" vertical="top" wrapText="1" readingOrder="2"/>
    </xf>
    <xf numFmtId="0" fontId="37" fillId="18" borderId="2" applyAlignment="1" pivotButton="0" quotePrefix="0" xfId="0">
      <alignment horizontal="center" vertical="top" wrapText="1" readingOrder="2"/>
    </xf>
    <xf numFmtId="0" fontId="20" fillId="0" borderId="2" applyAlignment="1" pivotButton="0" quotePrefix="0" xfId="0">
      <alignment horizontal="left" vertical="top" wrapText="1" readingOrder="1"/>
    </xf>
    <xf numFmtId="0" fontId="20" fillId="0" borderId="2" applyAlignment="1" pivotButton="0" quotePrefix="0" xfId="0">
      <alignment horizontal="right" vertical="top" wrapText="1" readingOrder="2"/>
    </xf>
    <xf numFmtId="0" fontId="23" fillId="0" borderId="2" applyAlignment="1" pivotButton="0" quotePrefix="0" xfId="0">
      <alignment horizontal="left" vertical="top" wrapText="1" readingOrder="1"/>
    </xf>
    <xf numFmtId="0" fontId="37" fillId="18" borderId="1" applyAlignment="1" pivotButton="0" quotePrefix="0" xfId="0">
      <alignment horizontal="center" vertical="top" wrapText="1" readingOrder="2"/>
    </xf>
    <xf numFmtId="0" fontId="37" fillId="17" borderId="2" applyAlignment="1" pivotButton="0" quotePrefix="0" xfId="0">
      <alignment horizontal="center" vertical="top" wrapText="1" readingOrder="2"/>
    </xf>
    <xf numFmtId="0" fontId="37" fillId="17" borderId="1" applyAlignment="1" pivotButton="0" quotePrefix="0" xfId="0">
      <alignment horizontal="center" vertical="top" wrapText="1" readingOrder="2"/>
    </xf>
    <xf numFmtId="0" fontId="37" fillId="19" borderId="2" applyAlignment="1" pivotButton="0" quotePrefix="0" xfId="0">
      <alignment horizontal="center" vertical="top" wrapText="1" readingOrder="2"/>
    </xf>
    <xf numFmtId="0" fontId="37" fillId="19" borderId="1" applyAlignment="1" pivotButton="0" quotePrefix="0" xfId="0">
      <alignment horizontal="center" vertical="top" wrapText="1" readingOrder="2"/>
    </xf>
    <xf numFmtId="0" fontId="37" fillId="15" borderId="2" applyAlignment="1" pivotButton="0" quotePrefix="0" xfId="0">
      <alignment horizontal="center" vertical="top" wrapText="1" readingOrder="2"/>
    </xf>
    <xf numFmtId="0" fontId="37" fillId="15" borderId="1" applyAlignment="1" pivotButton="0" quotePrefix="0" xfId="0">
      <alignment horizontal="center" vertical="top" wrapText="1" readingOrder="2"/>
    </xf>
    <xf numFmtId="0" fontId="37" fillId="14" borderId="2" applyAlignment="1" pivotButton="0" quotePrefix="0" xfId="0">
      <alignment horizontal="center" vertical="top" wrapText="1" readingOrder="2"/>
    </xf>
    <xf numFmtId="0" fontId="37" fillId="14" borderId="1" applyAlignment="1" pivotButton="0" quotePrefix="0" xfId="0">
      <alignment horizontal="center" vertical="top" wrapText="1" readingOrder="2"/>
    </xf>
    <xf numFmtId="0" fontId="20" fillId="0" borderId="0" applyAlignment="1" pivotButton="0" quotePrefix="0" xfId="0">
      <alignment horizontal="right" vertical="top" wrapText="1" readingOrder="2"/>
    </xf>
    <xf numFmtId="0" fontId="0" fillId="0" borderId="3" pivotButton="0" quotePrefix="0" xfId="0"/>
    <xf numFmtId="0" fontId="20" fillId="0" borderId="3" applyAlignment="1" pivotButton="0" quotePrefix="0" xfId="0">
      <alignment horizontal="right" vertical="top" wrapText="1" readingOrder="2"/>
    </xf>
    <xf numFmtId="0" fontId="22" fillId="28" borderId="1" applyAlignment="1" pivotButton="0" quotePrefix="0" xfId="0">
      <alignment horizontal="left" vertical="top" wrapText="1" readingOrder="1"/>
    </xf>
    <xf numFmtId="0" fontId="21" fillId="3" borderId="1" applyAlignment="1" pivotButton="0" quotePrefix="0" xfId="0">
      <alignment horizontal="left" vertical="top" wrapText="1" readingOrder="1"/>
    </xf>
    <xf numFmtId="0" fontId="21" fillId="0" borderId="0" applyAlignment="1" pivotButton="0" quotePrefix="0" xfId="0">
      <alignment horizontal="right" vertical="top" wrapText="1" readingOrder="2"/>
    </xf>
    <xf numFmtId="0" fontId="22" fillId="28" borderId="1" applyAlignment="1" pivotButton="0" quotePrefix="0" xfId="0">
      <alignment horizontal="right" vertical="top" wrapText="1" readingOrder="2"/>
    </xf>
    <xf numFmtId="0" fontId="21" fillId="8"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4"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20" fillId="19" borderId="1" applyAlignment="1" pivotButton="0" quotePrefix="0" xfId="0">
      <alignment horizontal="right" vertical="top" wrapText="1" readingOrder="2"/>
    </xf>
    <xf numFmtId="0" fontId="20" fillId="18" borderId="1" applyAlignment="1" pivotButton="0" quotePrefix="0" xfId="0">
      <alignment horizontal="right" vertical="top" wrapText="1" readingOrder="2"/>
    </xf>
    <xf numFmtId="0" fontId="21" fillId="13" borderId="1" applyAlignment="1" pivotButton="0" quotePrefix="0" xfId="0">
      <alignment horizontal="right" vertical="top" wrapText="1" readingOrder="2"/>
    </xf>
    <xf numFmtId="0" fontId="21" fillId="18" borderId="1" applyAlignment="1" pivotButton="0" quotePrefix="0" xfId="0">
      <alignment horizontal="right" vertical="top" wrapText="1" readingOrder="2"/>
    </xf>
    <xf numFmtId="0" fontId="21" fillId="17" borderId="1" applyAlignment="1" pivotButton="0" quotePrefix="0" xfId="0">
      <alignment horizontal="right" vertical="top" wrapText="1" readingOrder="2"/>
    </xf>
    <xf numFmtId="0" fontId="21" fillId="19" borderId="1" applyAlignment="1" pivotButton="0" quotePrefix="0" xfId="0">
      <alignment horizontal="right" vertical="top" wrapText="1" readingOrder="2"/>
    </xf>
    <xf numFmtId="0" fontId="21" fillId="12" borderId="1" applyAlignment="1" pivotButton="0" quotePrefix="0" xfId="0">
      <alignment horizontal="right" vertical="top" wrapText="1" readingOrder="2"/>
    </xf>
    <xf numFmtId="0" fontId="20" fillId="11" borderId="1" applyAlignment="1" pivotButton="0" quotePrefix="0" xfId="0">
      <alignment horizontal="left" vertical="top" wrapText="1" readingOrder="1"/>
    </xf>
    <xf numFmtId="0" fontId="21" fillId="16" borderId="1" applyAlignment="1" pivotButton="0" quotePrefix="0" xfId="0">
      <alignment horizontal="right" vertical="top" wrapText="1" readingOrder="2"/>
    </xf>
    <xf numFmtId="0" fontId="21" fillId="15" borderId="1" applyAlignment="1" pivotButton="0" quotePrefix="0" xfId="0">
      <alignment horizontal="right" vertical="top" wrapText="1" readingOrder="2"/>
    </xf>
    <xf numFmtId="0" fontId="21"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37" fillId="13" borderId="1" applyAlignment="1" pivotButton="0" quotePrefix="0" xfId="0">
      <alignment horizontal="right" vertical="top" wrapText="1" readingOrder="2"/>
    </xf>
    <xf numFmtId="0" fontId="20" fillId="8"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8" borderId="1" applyAlignment="1" pivotButton="0" quotePrefix="0" xfId="0">
      <alignment horizontal="right" vertical="top" wrapText="1" readingOrder="2"/>
    </xf>
    <xf numFmtId="0" fontId="21" fillId="3" borderId="2" applyAlignment="1" pivotButton="0" quotePrefix="0" xfId="0">
      <alignment horizontal="left" vertical="top" wrapText="1" readingOrder="1"/>
    </xf>
    <xf numFmtId="0" fontId="37" fillId="18" borderId="2" applyAlignment="1" pivotButton="0" quotePrefix="0" xfId="0">
      <alignment horizontal="right" vertical="top" wrapText="1" readingOrder="2"/>
    </xf>
    <xf numFmtId="0" fontId="20" fillId="9"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7" fillId="18" borderId="1" applyAlignment="1" pivotButton="0" quotePrefix="0" xfId="0">
      <alignment horizontal="right" vertical="top" wrapText="1" readingOrder="2"/>
    </xf>
    <xf numFmtId="0" fontId="37" fillId="17" borderId="2" applyAlignment="1" pivotButton="0" quotePrefix="0" xfId="0">
      <alignment horizontal="right" vertical="top" wrapText="1" readingOrder="2"/>
    </xf>
    <xf numFmtId="0" fontId="20" fillId="9" borderId="2" applyAlignment="1" pivotButton="0" quotePrefix="0" xfId="0">
      <alignment horizontal="left" vertical="top" wrapText="1" readingOrder="1"/>
    </xf>
    <xf numFmtId="0" fontId="0" fillId="28" borderId="2" applyAlignment="1" pivotButton="0" quotePrefix="0" xfId="0">
      <alignment horizontal="right" vertical="top" wrapText="1" readingOrder="2"/>
    </xf>
    <xf numFmtId="0" fontId="37" fillId="17" borderId="1" applyAlignment="1" pivotButton="0" quotePrefix="0" xfId="0">
      <alignment horizontal="right" vertical="top" wrapText="1" readingOrder="2"/>
    </xf>
    <xf numFmtId="0" fontId="37" fillId="19" borderId="2" applyAlignment="1" pivotButton="0" quotePrefix="0" xfId="0">
      <alignment horizontal="right" vertical="top" wrapText="1" readingOrder="2"/>
    </xf>
    <xf numFmtId="0" fontId="37" fillId="19" borderId="1" applyAlignment="1" pivotButton="0" quotePrefix="0" xfId="0">
      <alignment horizontal="right" vertical="top" wrapText="1" readingOrder="2"/>
    </xf>
    <xf numFmtId="0" fontId="37" fillId="12" borderId="2" applyAlignment="1" pivotButton="0" quotePrefix="0" xfId="0">
      <alignment horizontal="right" vertical="top" wrapText="1" readingOrder="2"/>
    </xf>
    <xf numFmtId="0" fontId="20" fillId="8" borderId="2" applyAlignment="1" pivotButton="0" quotePrefix="0" xfId="0">
      <alignment horizontal="right" vertical="top" wrapText="1" readingOrder="2"/>
    </xf>
    <xf numFmtId="0" fontId="37" fillId="12" borderId="1" applyAlignment="1" pivotButton="0" quotePrefix="0" xfId="0">
      <alignment horizontal="right" vertical="top" wrapText="1" readingOrder="2"/>
    </xf>
    <xf numFmtId="0" fontId="37" fillId="16" borderId="2" applyAlignment="1" pivotButton="0" quotePrefix="0" xfId="0">
      <alignment horizontal="right" vertical="top" wrapText="1" readingOrder="2"/>
    </xf>
    <xf numFmtId="0" fontId="37" fillId="16" borderId="1" applyAlignment="1" pivotButton="0" quotePrefix="0" xfId="0">
      <alignment horizontal="right" vertical="top" wrapText="1" readingOrder="2"/>
    </xf>
    <xf numFmtId="0" fontId="37" fillId="15" borderId="2" applyAlignment="1" pivotButton="0" quotePrefix="0" xfId="0">
      <alignment horizontal="right" vertical="top" wrapText="1" readingOrder="2"/>
    </xf>
    <xf numFmtId="0" fontId="37" fillId="15" borderId="1" applyAlignment="1" pivotButton="0" quotePrefix="0" xfId="0">
      <alignment horizontal="right" vertical="top" wrapText="1" readingOrder="2"/>
    </xf>
    <xf numFmtId="0" fontId="37" fillId="14" borderId="2" applyAlignment="1" pivotButton="0" quotePrefix="0" xfId="0">
      <alignment horizontal="right" vertical="top" wrapText="1" readingOrder="2"/>
    </xf>
    <xf numFmtId="0" fontId="37" fillId="14" borderId="1" applyAlignment="1" pivotButton="0" quotePrefix="0" xfId="0">
      <alignment horizontal="right" vertical="top" wrapText="1" readingOrder="2"/>
    </xf>
    <xf numFmtId="0" fontId="20" fillId="11" borderId="2" applyAlignment="1" pivotButton="0" quotePrefix="0" xfId="0">
      <alignment horizontal="right" vertical="top" wrapText="1" readingOrder="2"/>
    </xf>
    <xf numFmtId="0" fontId="22" fillId="28" borderId="2" applyAlignment="1" pivotButton="0" quotePrefix="0" xfId="0">
      <alignment horizontal="left" vertical="top" wrapText="1" readingOrder="1"/>
    </xf>
    <xf numFmtId="0" fontId="22" fillId="0" borderId="2" applyAlignment="1" pivotButton="0" quotePrefix="0" xfId="0">
      <alignment horizontal="left" vertical="top" wrapText="1" readingOrder="1"/>
    </xf>
    <xf numFmtId="0" fontId="20" fillId="11" borderId="2" applyAlignment="1" pivotButton="0" quotePrefix="0" xfId="0">
      <alignment horizontal="left" vertical="top" wrapText="1" readingOrder="1"/>
    </xf>
    <xf numFmtId="0" fontId="24" fillId="0" borderId="0" applyAlignment="1" pivotButton="0" quotePrefix="0" xfId="0">
      <alignment horizontal="left" vertical="top" wrapText="1" readingOrder="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exeter.ac.uk/study/postgraduate/courses/computerscience/advancedcsmsc/" TargetMode="External" Id="rId1" /><Relationship Type="http://schemas.openxmlformats.org/officeDocument/2006/relationships/hyperlink" Target="https://www.liverpool.ac.uk/courses/advanced-computer-science-msc" TargetMode="External" Id="rId2" /><Relationship Type="http://schemas.openxmlformats.org/officeDocument/2006/relationships/hyperlink" Target="https://www.liverpool.ac.uk/courses/data-science-and-artificial-intelligence-msc" TargetMode="External" Id="rId3" /><Relationship Type="http://schemas.openxmlformats.org/officeDocument/2006/relationships/hyperlink" Target="https://www.ncl.ac.uk/postgraduate/" TargetMode="External" Id="rId4" /><Relationship Type="http://schemas.openxmlformats.org/officeDocument/2006/relationships/hyperlink" Target="https://www.ncl.ac.uk/postgraduate/" TargetMode="External" Id="rId5" /><Relationship Type="http://schemas.openxmlformats.org/officeDocument/2006/relationships/hyperlink" Target="https://www.ncl.ac.uk/postgraduate/" TargetMode="External" Id="rId6" /><Relationship Type="http://schemas.openxmlformats.org/officeDocument/2006/relationships/hyperlink" Target="https://www.ncl.ac.uk/postgraduate/" TargetMode="External" Id="rId7" /><Relationship Type="http://schemas.openxmlformats.org/officeDocument/2006/relationships/hyperlink" Target="https://www.york.ac.uk/study/postgraduate-taught/courses/msc-advanced-computer-science/" TargetMode="External" Id="rId8" /><Relationship Type="http://schemas.openxmlformats.org/officeDocument/2006/relationships/hyperlink" Target="https://www.york.ac.uk/study/postgraduate-taught/courses/msc-human-centred-interactive-technologies/" TargetMode="External" Id="rId9" /><Relationship Type="http://schemas.openxmlformats.org/officeDocument/2006/relationships/hyperlink" Target="https://www.york.ac.uk/study/postgraduate-taught/courses/msc-cyber-security/" TargetMode="External" Id="rId10" /><Relationship Type="http://schemas.openxmlformats.org/officeDocument/2006/relationships/hyperlink" Target="https://www.sheffield.ac.uk/postgraduate/taught/courses/2027/advanced-computer-science-msc" TargetMode="External" Id="rId11" /><Relationship Type="http://schemas.openxmlformats.org/officeDocument/2006/relationships/hyperlink" Target="https://www.sheffield.ac.uk/postgraduate/taught/courses/2027/artificial-intelligence-msc" TargetMode="External" Id="rId12" /><Relationship Type="http://schemas.openxmlformats.org/officeDocument/2006/relationships/hyperlink" Target="https://www.sheffield.ac.uk/postgraduate/taught/courses/2027/cybersecurity-and-artificial-intelligence-msc" TargetMode="External" Id="rId13" /><Relationship Type="http://schemas.openxmlformats.org/officeDocument/2006/relationships/hyperlink" Target="https://courses.leeds.ac.uk/" TargetMode="External" Id="rId14" /><Relationship Type="http://schemas.openxmlformats.org/officeDocument/2006/relationships/hyperlink" Target="https://courses.leeds.ac.uk/" TargetMode="External" Id="rId15" /><Relationship Type="http://schemas.openxmlformats.org/officeDocument/2006/relationships/hyperlink" Target="https://www.nottingham.ac.uk/pgstudy/course/taught/computer-science-artificial-intelligence-msc" TargetMode="External" Id="rId16" /><Relationship Type="http://schemas.openxmlformats.org/officeDocument/2006/relationships/hyperlink" Target="https://www.birmingham.ac.uk/postgraduate/courses/taught/computer-science" TargetMode="External" Id="rId17" /><Relationship Type="http://schemas.openxmlformats.org/officeDocument/2006/relationships/hyperlink" Target="https://www.birmingham.ac.uk/postgraduate/courses/taught/computer-science" TargetMode="External" Id="rId18" /><Relationship Type="http://schemas.openxmlformats.org/officeDocument/2006/relationships/hyperlink" Target="https://www.southampton.ac.uk/courses/artificial-intelligence-masters-msc" TargetMode="External" Id="rId19" /><Relationship Type="http://schemas.openxmlformats.org/officeDocument/2006/relationships/hyperlink" Target="https://www.southampton.ac.uk/courses/cyber-security-masters-msc" TargetMode="External" Id="rId20" /><Relationship Type="http://schemas.openxmlformats.org/officeDocument/2006/relationships/hyperlink" Target="https://www.qmul.ac.uk/postgraduate/taught/coursefinder/courses/advanced-computer-science-msc/" TargetMode="External" Id="rId21" /><Relationship Type="http://schemas.openxmlformats.org/officeDocument/2006/relationships/hyperlink" Target="https://www.qmul.ac.uk/postgraduate/taught/coursefinder/courses/computer-games-msc/" TargetMode="External" Id="rId22" /><Relationship Type="http://schemas.openxmlformats.org/officeDocument/2006/relationships/hyperlink" Target="https://www.manchester.ac.uk/study/masters/courses/list/" TargetMode="External" Id="rId23" /><Relationship Type="http://schemas.openxmlformats.org/officeDocument/2006/relationships/hyperlink" Target="https://www.durham.ac.uk/study/courses/advanced-computer-science-g5t609/" TargetMode="External" Id="rId24" /><Relationship Type="http://schemas.openxmlformats.org/officeDocument/2006/relationships/hyperlink" Target="https://www.imperial.ac.uk/study/courses/postgraduate-taught/computing-artificial-intelligence-msc/" TargetMode="External" Id="rId25" /><Relationship Type="http://schemas.openxmlformats.org/officeDocument/2006/relationships/hyperlink" Target="https://www.ucl.ac.uk/prospective-students/graduate/taught-degrees/computer-science-msc-2026" TargetMode="External" Id="rId26" /><Relationship Type="http://schemas.openxmlformats.org/officeDocument/2006/relationships/hyperlink" Target="https://www.kcl.ac.uk/study-legacy/postgraduate/apply/entry-requirements/international" TargetMode="External" Id="rId27" /><Relationship Type="http://schemas.openxmlformats.org/officeDocument/2006/relationships/hyperlink" Target="https://warwick.ac.uk/study/international/countryinformation/middleeast/iran/" TargetMode="External" Id="rId28" /><Relationship Type="http://schemas.openxmlformats.org/officeDocument/2006/relationships/hyperlink" Target="https://www.bristol.ac.uk/study/postgraduate/taught/msc-data-science/" TargetMode="External" Id="rId29" /><Relationship Type="http://schemas.openxmlformats.org/officeDocument/2006/relationships/hyperlink" Target="https://www.usi.ch/en/education/master/informatics" TargetMode="External" Id="rId30" /><Relationship Type="http://schemas.openxmlformats.org/officeDocument/2006/relationships/hyperlink" Target="https://www.usi.ch/en/education/master/artificial-intelligence" TargetMode="External" Id="rId31" /><Relationship Type="http://schemas.openxmlformats.org/officeDocument/2006/relationships/hyperlink" Target="https://www.usi.ch/en/education/master/software-and-data-engineering" TargetMode="External" Id="rId32" /><Relationship Type="http://schemas.openxmlformats.org/officeDocument/2006/relationships/hyperlink" Target="https://www.hslu.ch/en/lucerne-school-of-business/degree-programmes/master/applied-data-science-and-ai/" TargetMode="External" Id="rId33" /><Relationship Type="http://schemas.openxmlformats.org/officeDocument/2006/relationships/hyperlink" Target="https://www.philnat.unibe.ch/studies/study_programs/master_s_in_computer_science/index_eng.html" TargetMode="External" Id="rId34" /><Relationship Type="http://schemas.openxmlformats.org/officeDocument/2006/relationships/hyperlink" Target="https://mcs.unibnf.ch/" TargetMode="External" Id="rId35" /><Relationship Type="http://schemas.openxmlformats.org/officeDocument/2006/relationships/hyperlink" Target="https://www.unifr.ch/inf/en/" TargetMode="External" Id="rId36" /><Relationship Type="http://schemas.openxmlformats.org/officeDocument/2006/relationships/hyperlink" Target="https://dmi.unibas.ch/en/studies/computer-science/masters/" TargetMode="External" Id="rId37" /><Relationship Type="http://schemas.openxmlformats.org/officeDocument/2006/relationships/hyperlink" Target="https://www.ifi.uzh.ch/en/studies/master.html" TargetMode="External" Id="rId38" /><Relationship Type="http://schemas.openxmlformats.org/officeDocument/2006/relationships/hyperlink" Target="https://www.zhaw.ch/en/engineering/study/masters-degree-programme" TargetMode="External" Id="rId39" /><Relationship Type="http://schemas.openxmlformats.org/officeDocument/2006/relationships/hyperlink" Target="https://www.epfl.ch/education/master/programs/computer-science/" TargetMode="External" Id="rId40" /><Relationship Type="http://schemas.openxmlformats.org/officeDocument/2006/relationships/hyperlink" Target="https://www.epfl.ch/education/master/programs/data-science/" TargetMode="External" Id="rId41" /><Relationship Type="http://schemas.openxmlformats.org/officeDocument/2006/relationships/hyperlink" Target="https://ethz.ch/en/studies/master/degree-programmes/engineering-sciences/computer-science.html" TargetMode="External" Id="rId42" /><Relationship Type="http://schemas.openxmlformats.org/officeDocument/2006/relationships/hyperlink" Target="https://ethz.ch/en/studies/master/degree-programmes/engineering-sciences/cyber-security.html" TargetMode="External" Id="rId43" /><Relationship Type="http://schemas.openxmlformats.org/officeDocument/2006/relationships/hyperlink" Target="https://www.uni-stuttgart.de/en/study/study-programs/" TargetMode="External" Id="rId44" /><Relationship Type="http://schemas.openxmlformats.org/officeDocument/2006/relationships/hyperlink" Target="https://www.mygermanuniversity.com/master/information-technology-infotech/678" TargetMode="External" Id="rId45" /><Relationship Type="http://schemas.openxmlformats.org/officeDocument/2006/relationships/hyperlink" Target="https://www.fau.eu/degree-program/artificial-intelligence-m-sc/" TargetMode="External" Id="rId46" /><Relationship Type="http://schemas.openxmlformats.org/officeDocument/2006/relationships/hyperlink" Target="https://www.fau.eu/degree-program/autonomy-technologies-m-sc/" TargetMode="External" Id="rId47" /><Relationship Type="http://schemas.openxmlformats.org/officeDocument/2006/relationships/hyperlink" Target="https://www.tu-darmstadt.de/studieren/" TargetMode="External" Id="rId48" /><Relationship Type="http://schemas.openxmlformats.org/officeDocument/2006/relationships/hyperlink" Target="https://tu-dresden.de/studium/vor-dem-studium/studienangebot" TargetMode="External" Id="rId49" /><Relationship Type="http://schemas.openxmlformats.org/officeDocument/2006/relationships/hyperlink" Target="https://www.uni-saarland.de/en/study/programmes/master/cybersecurity.html" TargetMode="External" Id="rId50" /><Relationship Type="http://schemas.openxmlformats.org/officeDocument/2006/relationships/hyperlink" Target="https://www.uni-saarland.de/en/study/programmes/master/data-science.html" TargetMode="External" Id="rId51" /><Relationship Type="http://schemas.openxmlformats.org/officeDocument/2006/relationships/hyperlink" Target="https://www.mygermanuniversity.com/master/automotive-software-engineering/91" TargetMode="External" Id="rId52" /><Relationship Type="http://schemas.openxmlformats.org/officeDocument/2006/relationships/hyperlink" Target="https://www.uni-passau.de/en/msc-ai-eng" TargetMode="External" Id="rId53" /><Relationship Type="http://schemas.openxmlformats.org/officeDocument/2006/relationships/hyperlink" Target="https://www.dke.ovgu.de/" TargetMode="External" Id="rId54" /><Relationship Type="http://schemas.openxmlformats.org/officeDocument/2006/relationships/hyperlink" Target="https://colognegamelab.de/study-programs/post-graduate-programs/game-development-research-ma/faqs/" TargetMode="External" Id="rId55" /><Relationship Type="http://schemas.openxmlformats.org/officeDocument/2006/relationships/hyperlink" Target="https://www2.daad.de/deutschland/studienangebote/international-programmes/en/detail/4686/" TargetMode="External" Id="rId56" /><Relationship Type="http://schemas.openxmlformats.org/officeDocument/2006/relationships/hyperlink" Target="https://www.h-brs.de/en/inf/admission-application-master-autonomous-systems" TargetMode="External" Id="rId57" /><Relationship Type="http://schemas.openxmlformats.org/officeDocument/2006/relationships/hyperlink" Target="https://sc.informatik.rwth-aachen.de/en/studium/master/sse/" TargetMode="External" Id="rId58"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59" /><Relationship Type="http://schemas.openxmlformats.org/officeDocument/2006/relationships/hyperlink" Target="https://www.tum.de/en/studies/degree-programs/detail/informatics-master-of-science-msc" TargetMode="External" Id="rId60" /><Relationship Type="http://schemas.openxmlformats.org/officeDocument/2006/relationships/hyperlink" Target="https://www.utwente.nl/en/education/master/programmes/computer-science/" TargetMode="External" Id="rId61" /><Relationship Type="http://schemas.openxmlformats.org/officeDocument/2006/relationships/hyperlink" Target="https://www.utwente.nl/en/education/master/programmes/embedded-systems/finance/" TargetMode="External" Id="rId62" /><Relationship Type="http://schemas.openxmlformats.org/officeDocument/2006/relationships/hyperlink" Target="https://www.utwente.nl/en/education/master/programmes/interaction-technology/" TargetMode="External" Id="rId63" /><Relationship Type="http://schemas.openxmlformats.org/officeDocument/2006/relationships/hyperlink" Target="https://www.ru.nl/en/education/masters/computing-science" TargetMode="External" Id="rId64" /><Relationship Type="http://schemas.openxmlformats.org/officeDocument/2006/relationships/hyperlink" Target="https://www.ru.nl/en/education/masters/artificial-intelligence" TargetMode="External" Id="rId65" /><Relationship Type="http://schemas.openxmlformats.org/officeDocument/2006/relationships/hyperlink" Target="https://www.universiteitleiden.nl/en/education/study-programmes/master/computer-science/artificial-intelligence/admission-and-application/tuition-fees" TargetMode="External" Id="rId66" /><Relationship Type="http://schemas.openxmlformats.org/officeDocument/2006/relationships/hyperlink" Target="https://www.rug.nl/masters/artificial-intelligence/?lang=en" TargetMode="External" Id="rId67" /><Relationship Type="http://schemas.openxmlformats.org/officeDocument/2006/relationships/hyperlink" Target="https://www.rug.nl/masters/computing-science/?lang=en" TargetMode="External" Id="rId68" /><Relationship Type="http://schemas.openxmlformats.org/officeDocument/2006/relationships/hyperlink" Target="https://www.uu.nl/en/masters/game-and-media-technology" TargetMode="External" Id="rId69" /><Relationship Type="http://schemas.openxmlformats.org/officeDocument/2006/relationships/hyperlink" Target="https://www.uu.nl/en/masters/artificial-intelligence" TargetMode="External" Id="rId70" /><Relationship Type="http://schemas.openxmlformats.org/officeDocument/2006/relationships/hyperlink" Target="https://www.uva.nl/en/programmes/masters/software-engineering/software-engineering.html" TargetMode="External" Id="rId71" /><Relationship Type="http://schemas.openxmlformats.org/officeDocument/2006/relationships/hyperlink" Target="https://www.uva.nl/en/programmes/masters/artificial-intelligence/artificial-intelligence.html" TargetMode="External" Id="rId72" /><Relationship Type="http://schemas.openxmlformats.org/officeDocument/2006/relationships/hyperlink" Target="https://www.tue.nl/en/education/graduate-school/master-data-science-and-artificial-intelligence" TargetMode="External" Id="rId73" /><Relationship Type="http://schemas.openxmlformats.org/officeDocument/2006/relationships/hyperlink" Target="https://www.tue.nl/en/education/graduate-school/master-embedded-systems" TargetMode="External" Id="rId74" /><Relationship Type="http://schemas.openxmlformats.org/officeDocument/2006/relationships/hyperlink" Target="https://www.tudelft.nl/onderwijs/opleidingen/masters/cs/msc-computer-science" TargetMode="External" Id="rId75" /><Relationship Type="http://schemas.openxmlformats.org/officeDocument/2006/relationships/hyperlink" Target="https://www.topuniversities.com/universities/breda-university-applied-sciences/postgrad/master-game-technology" TargetMode="External" Id="rId76" /><Relationship Type="http://schemas.openxmlformats.org/officeDocument/2006/relationships/hyperlink" Target="https://liu.se/en/education/program/6mics" TargetMode="External" Id="rId77" /><Relationship Type="http://schemas.openxmlformats.org/officeDocument/2006/relationships/hyperlink" Target="https://liu.se/en/education/program/f7msl" TargetMode="External" Id="rId78" /><Relationship Type="http://schemas.openxmlformats.org/officeDocument/2006/relationships/hyperlink" Target="https://www.hh.se/english/education/programmes.html" TargetMode="External" Id="rId79" /><Relationship Type="http://schemas.openxmlformats.org/officeDocument/2006/relationships/hyperlink" Target="https://www.bth.se/eng/programmes/" TargetMode="External" Id="rId80" /><Relationship Type="http://schemas.openxmlformats.org/officeDocument/2006/relationships/hyperlink" Target="https://www.kth.se/en/studies/master/machine-learning" TargetMode="External" Id="rId81" /><Relationship Type="http://schemas.openxmlformats.org/officeDocument/2006/relationships/hyperlink" Target="https://www.kth.se/en/studies/master/cybersecurity" TargetMode="External" Id="rId82" /><Relationship Type="http://schemas.openxmlformats.org/officeDocument/2006/relationships/hyperlink" Target="https://www.kth.se/en/studies/master/software-engineering-of-distributed-systems" TargetMode="External" Id="rId83" /><Relationship Type="http://schemas.openxmlformats.org/officeDocument/2006/relationships/hyperlink" Target="https://www.chalmers.se/en/education/find-masters-programme/data-science-and-ai-msc/" TargetMode="External" Id="rId84" /><Relationship Type="http://schemas.openxmlformats.org/officeDocument/2006/relationships/hyperlink" Target="https://www.chalmers.se/en/education/find-masters-programme/software-engineering-and-technology-msc/" TargetMode="External" Id="rId85" /><Relationship Type="http://schemas.openxmlformats.org/officeDocument/2006/relationships/hyperlink" Target="https://www.chalmers.se/en/education/find-masters-programme/interaction-design-and-technologies-msc/" TargetMode="External" Id="rId86" /><Relationship Type="http://schemas.openxmlformats.org/officeDocument/2006/relationships/hyperlink" Target="https://www.gu.se/en/study-gothenburg/game-design-technology-masters-programme-n2gdt" TargetMode="External" Id="rId87" /><Relationship Type="http://schemas.openxmlformats.org/officeDocument/2006/relationships/hyperlink" Target="https://www.uu.se/en/study/programme/masters-programme-in-computer-science" TargetMode="External" Id="rId88" /><Relationship Type="http://schemas.openxmlformats.org/officeDocument/2006/relationships/hyperlink" Target="https://www.umu.se/en/education/master/masters-programme-in-artificial-intelligence/" TargetMode="External" Id="rId89" /><Relationship Type="http://schemas.openxmlformats.org/officeDocument/2006/relationships/hyperlink" Target="https://www.his.se/en/education/" TargetMode="External" Id="rId90" /><Relationship Type="http://schemas.openxmlformats.org/officeDocument/2006/relationships/hyperlink" Target="https://www.mdu.se/en/malardalen-university/education" TargetMode="External" Id="rId91" /><Relationship Type="http://schemas.openxmlformats.org/officeDocument/2006/relationships/hyperlink" Target="https://www.mdu.se/en/malardalen-university/education" TargetMode="External" Id="rId92" /><Relationship Type="http://schemas.openxmlformats.org/officeDocument/2006/relationships/hyperlink" Target="https://www.en.aau.dk/education/master/computer-science-it" TargetMode="External" Id="rId93" /><Relationship Type="http://schemas.openxmlformats.org/officeDocument/2006/relationships/hyperlink" Target="https://www.en.aau.dk/education/master/software" TargetMode="External" Id="rId94" /><Relationship Type="http://schemas.openxmlformats.org/officeDocument/2006/relationships/hyperlink" Target="https://www.en.aau.dk/education/master/cyber-security/" TargetMode="External" Id="rId95" /><Relationship Type="http://schemas.openxmlformats.org/officeDocument/2006/relationships/hyperlink" Target="https://www.en.aau.dk/education/master/medialogy-aal" TargetMode="External" Id="rId96" /><Relationship Type="http://schemas.openxmlformats.org/officeDocument/2006/relationships/hyperlink" Target="https://www.sdu.dk/en/uddannelse/fees_and_funding/tuition" TargetMode="External" Id="rId97" /><Relationship Type="http://schemas.openxmlformats.org/officeDocument/2006/relationships/hyperlink" Target="https://www.sdu.dk/en/uddannelse/kandidat/softwareengineering" TargetMode="External" Id="rId98" /><Relationship Type="http://schemas.openxmlformats.org/officeDocument/2006/relationships/hyperlink" Target="https://www.sdu.dk/en/studyscience" TargetMode="External" Id="rId99" /><Relationship Type="http://schemas.openxmlformats.org/officeDocument/2006/relationships/hyperlink" Target="https://www.sdu.dk/en/uddannelse/kandidat/alle-kandidatuddannelser" TargetMode="External" Id="rId100" /><Relationship Type="http://schemas.openxmlformats.org/officeDocument/2006/relationships/hyperlink" Target="https://www.sdu.dk/en/uddannelse/kandidat/alle-kandidatuddannelser" TargetMode="External" Id="rId101" /><Relationship Type="http://schemas.openxmlformats.org/officeDocument/2006/relationships/hyperlink" Target="https://en.itu.dk/Programmes/MSc-Programmes/Applying-to-a-MSc-programme/Non-EU-EOES" TargetMode="External" Id="rId102" /><Relationship Type="http://schemas.openxmlformats.org/officeDocument/2006/relationships/hyperlink" Target="https://en.itu.dk/Programmes/MSc-Programmes/Applying-to-a-MSc-programme/Non-EU-EOES"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www.dtu.dk/english/education/graduate/msc-programmes/human-centered-artificial-intelligence" TargetMode="External" Id="rId105" /><Relationship Type="http://schemas.openxmlformats.org/officeDocument/2006/relationships/hyperlink" Target="https://www.dtu.dk/english/education/graduate/msc-programmes/autonomous-systems/prerequisites" TargetMode="External" Id="rId106" /><Relationship Type="http://schemas.openxmlformats.org/officeDocument/2006/relationships/hyperlink" Target="https://www.dtu.dk/english/education/graduate/msc-programmes/computer-science-and-engineering" TargetMode="External" Id="rId107" /><Relationship Type="http://schemas.openxmlformats.org/officeDocument/2006/relationships/hyperlink" Target="https://masters.au.dk/computerscience" TargetMode="External" Id="rId108" /><Relationship Type="http://schemas.openxmlformats.org/officeDocument/2006/relationships/hyperlink" Target="https://www.tuni.fi/en/tau/masters-programmes/ai-native-software-computing-sciences-and-electrical-engineering" TargetMode="External" Id="rId109" /><Relationship Type="http://schemas.openxmlformats.org/officeDocument/2006/relationships/hyperlink" Target="https://www.tuni.fi/en/tau/masters-programmes/data-science-computing-sciences-and-electrical-engineering" TargetMode="External" Id="rId110" /><Relationship Type="http://schemas.openxmlformats.org/officeDocument/2006/relationships/hyperlink" Target="https://www.tuni.fi/en/tau/masters-programmes/information-security-computing-sciences-and-electrical-engineering" TargetMode="External" Id="rId111" /><Relationship Type="http://schemas.openxmlformats.org/officeDocument/2006/relationships/hyperlink" Target="https://www.tuni.fi/en/tau/masters-programmes/human-technology-interaction-computing-sciences-and-electrical-engineering" TargetMode="External" Id="rId112" /><Relationship Type="http://schemas.openxmlformats.org/officeDocument/2006/relationships/hyperlink" Target="https://www.oulu.fi/en/apply/masters-computer-science-and-engineering" TargetMode="External" Id="rId113" /><Relationship Type="http://schemas.openxmlformats.org/officeDocument/2006/relationships/hyperlink" Target="https://www.utu.fi/en/study-at-utu/masters-degree-programme-in-information-and-communication-technology-software-engineering" TargetMode="External" Id="rId114" /><Relationship Type="http://schemas.openxmlformats.org/officeDocument/2006/relationships/hyperlink" Target="https://www.utu.fi/en/study-at-utu/masters-degree-programme-in-information-and-communication-technology-cyber-security" TargetMode="External" Id="rId115" /><Relationship Type="http://schemas.openxmlformats.org/officeDocument/2006/relationships/hyperlink" Target="https://www.lut.fi/en/studies/masters-programmes" TargetMode="External" Id="rId116" /><Relationship Type="http://schemas.openxmlformats.org/officeDocument/2006/relationships/hyperlink" Target="https://www.aalto.fi/en/study-options/computer-science-master-of-science-technology" TargetMode="External" Id="rId117" /><Relationship Type="http://schemas.openxmlformats.org/officeDocument/2006/relationships/hyperlink" Target="https://www.aalto.fi/en/study-options/machine-learning-data-science-and-artificial-intelligence-master-of-science-technology" TargetMode="External" Id="rId118" /><Relationship Type="http://schemas.openxmlformats.org/officeDocument/2006/relationships/hyperlink" Target="https://www.aalto.fi/en/study-options/security-and-cloud-computing-secclo-master-of-science-technology" TargetMode="External" Id="rId119" /><Relationship Type="http://schemas.openxmlformats.org/officeDocument/2006/relationships/hyperlink" Target="https://opintopolku.fi/konfo/en/toteutus/1.2.246.562.17.00000000000000008124" TargetMode="External" Id="rId120" /><Relationship Type="http://schemas.openxmlformats.org/officeDocument/2006/relationships/hyperlink" Target="https://www.helsinki.fi/en/degree-programmes/computer-science-masters-programme" TargetMode="External" Id="rId121" /><Relationship Type="http://schemas.openxmlformats.org/officeDocument/2006/relationships/hyperlink" Target="https://www.helsinki.fi/en/degree-programmes/data-science-masters-programme" TargetMode="External" Id="rId122" /><Relationship Type="http://schemas.openxmlformats.org/officeDocument/2006/relationships/hyperlink" Target="https://www.mun.ca/sgs/media/production/memorial/academic/school-of-graduate-studies/school-of-graduate-studies/media-library/MinimumExpense.pdf" TargetMode="External" Id="rId123" /><Relationship Type="http://schemas.openxmlformats.org/officeDocument/2006/relationships/hyperlink" Target="https://www.mun.ca/sgs/media/production/memorial/academic/school-of-graduate-studies/school-of-graduate-studies/media-library/MinimumExpense.pdf" TargetMode="External" Id="rId124" /><Relationship Type="http://schemas.openxmlformats.org/officeDocument/2006/relationships/hyperlink" Target="https://www.mun.ca/sgs/media/production/memorial/academic/school-of-graduate-studies/school-of-graduate-studies/media-library/MinimumExpense.pdf" TargetMode="External" Id="rId125" /><Relationship Type="http://schemas.openxmlformats.org/officeDocument/2006/relationships/hyperlink" Target="https://umanitoba.ca/registrar/tuition-fees/2025-2026-graduate-tuition-and-fees-archive" TargetMode="External" Id="rId126" /><Relationship Type="http://schemas.openxmlformats.org/officeDocument/2006/relationships/hyperlink" Target="https://grad.usask.ca/funding/tuition.php" TargetMode="External" Id="rId127" /><Relationship Type="http://schemas.openxmlformats.org/officeDocument/2006/relationships/hyperlink" Target="https://www.ualberta.ca/en/graduate-studies/fees-funding/tuition-fees/instructional-fees-international.html" TargetMode="External" Id="rId128" /><Relationship Type="http://schemas.openxmlformats.org/officeDocument/2006/relationships/hyperlink" Target="https://www.ualberta.ca/en/graduate-studies/fees-funding/tuition-fees/instructional-fees-international.html" TargetMode="External" Id="rId129" /><Relationship Type="http://schemas.openxmlformats.org/officeDocument/2006/relationships/hyperlink" Target="https://calendar.ucalgary.ca/pages/bdf3d650a14247e4912def1671b7ba09" TargetMode="External" Id="rId130" /><Relationship Type="http://schemas.openxmlformats.org/officeDocument/2006/relationships/hyperlink" Target="https://www.uvic.ca/graduate/programs/graduate-programs/assets/_common/tuition-fees-degree-intl-meng.php" TargetMode="External" Id="rId131" /><Relationship Type="http://schemas.openxmlformats.org/officeDocument/2006/relationships/hyperlink" Target="https://carleton.ca/studentaccounts/tuition-fees/grad-per-cred_f26w27_intl/" TargetMode="External" Id="rId132" /><Relationship Type="http://schemas.openxmlformats.org/officeDocument/2006/relationships/hyperlink" Target="https://www.uwindsor.ca/finance/fee-estimator" TargetMode="External" Id="rId133" /><Relationship Type="http://schemas.openxmlformats.org/officeDocument/2006/relationships/hyperlink" Target="https://mscac.utoronto.ca/apply/" TargetMode="External" Id="rId134" /><Relationship Type="http://schemas.openxmlformats.org/officeDocument/2006/relationships/hyperlink" Target="https://www.mun.ca/sgs/media/production/memorial/academic/school-of-graduate-studies/school-of-graduate-studies/media-library/MinimumExpense.pdf" TargetMode="External" Id="rId135" /><Relationship Type="http://schemas.openxmlformats.org/officeDocument/2006/relationships/hyperlink" Target="https://uwaterloo.ca/finance/masters-and-phd-program-tuition-fall-2026-international-0" TargetMode="External" Id="rId136" /><Relationship Type="http://schemas.openxmlformats.org/officeDocument/2006/relationships/hyperlink" Target="https://uwaterloo.ca/finance/masters-and-phd-program-tuition-fall-2026-international-0" TargetMode="External" Id="rId137" /><Relationship Type="http://schemas.openxmlformats.org/officeDocument/2006/relationships/hyperlink" Target="https://www.dal.ca/content/dam/www/admissions/cost-and-payment/tuition-and-fee-schedules/masters-tuition-fee-schedule.pdf" TargetMode="External" Id="rId138" /><Relationship Type="http://schemas.openxmlformats.org/officeDocument/2006/relationships/hyperlink" Target="https://www.dal.ca/content/dam/www/admissions/cost-and-payment/tuition-and-fee-schedules/masters-tuition-fee-schedule.pdf" TargetMode="External" Id="rId139" /><Relationship Type="http://schemas.openxmlformats.org/officeDocument/2006/relationships/hyperlink" Target="https://registrar.ontariotechu.ca/fees-and-payment/international-student-tuition/graduate-international-tuition-2026-2027.php" TargetMode="External" Id="rId140" /><Relationship Type="http://schemas.openxmlformats.org/officeDocument/2006/relationships/hyperlink" Target="https://registrar.ontariotechu.ca/fees-and-payment/international-student-tuition/graduate-international-tuition-2026-2027.php" TargetMode="External" Id="rId141" /><Relationship Type="http://schemas.openxmlformats.org/officeDocument/2006/relationships/hyperlink" Target="https://www.uregina.ca/financial-services/assets/pdf/fee-schedules/202630-grad-studies-tuition-schedule-may-15.pdf" TargetMode="External" Id="rId142"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ncl.ac.uk/accommodation/university/" TargetMode="External" Id="rId51" /><Relationship Type="http://schemas.openxmlformats.org/officeDocument/2006/relationships/hyperlink" Target="https://www.durham.ac.uk/colleges-and-student-experience/colleges/university/accommodation/" TargetMode="External" Id="rId52" /><Relationship Type="http://schemas.openxmlformats.org/officeDocument/2006/relationships/hyperlink" Target="https://www.palatinate.org.uk/college-accommodation-prices-increase-by-5/" TargetMode="External" Id="rId53" /><Relationship Type="http://schemas.openxmlformats.org/officeDocument/2006/relationships/hyperlink" Target="https://www.harveywjames.com/news-imperial-college-rent-guarantee-scheme-london" TargetMode="External" Id="rId54" /><Relationship Type="http://schemas.openxmlformats.org/officeDocument/2006/relationships/hyperlink" Target="https://www.svt.se/nyheter/inrikes/rapport-flera-kommuner-med-bostadsgaranti-kan-inte-erbjuda-studenter-bostad" TargetMode="External" Id="rId55" /><Relationship Type="http://schemas.openxmlformats.org/officeDocument/2006/relationships/hyperlink" Target="https://www.kau.se/nyheter/karlstad-fortsatt-gront-i-studentbostadsrapport" TargetMode="External" Id="rId56" /><Relationship Type="http://schemas.openxmlformats.org/officeDocument/2006/relationships/hyperlink" Target="https://de.marketscreener.com/boerse-nachrichten/mlp-studentenwohnreport-2025-wohnen-bleibt-fuer-studierende-zu-teuer-a-und-wird-zunehmend-zum-stan-ce7d5bd9d88ef62c" TargetMode="External" Id="rId57" /><Relationship Type="http://schemas.openxmlformats.org/officeDocument/2006/relationships/hyperlink" Target="https://delta.tudelft.nl/en/article/kences-housing-shortage-remains-severe-delft-believes-it-has-found-a-solution" TargetMode="External" Id="rId58" /><Relationship Type="http://schemas.openxmlformats.org/officeDocument/2006/relationships/hyperlink" Target="https://kamernet.nl/tips/verhuurders/huurprijs/kamernet-verhuurrapportage-q1-2025" TargetMode="External" Id="rId59" /><Relationship Type="http://schemas.openxmlformats.org/officeDocument/2006/relationships/hyperlink" Target="https://www.manchester.ac.uk/study/international/accommodation/guarantee/" TargetMode="External" Id="rId60" /><Relationship Type="http://schemas.openxmlformats.org/officeDocument/2006/relationships/hyperlink" Target="https://de.statista.com/statistik/daten/studie/1447630/umfrage/durchschnittsmiete-in-studierendenwerken/" TargetMode="External" Id="rId61" /><Relationship Type="http://schemas.openxmlformats.org/officeDocument/2006/relationships/hyperlink" Target="https://sheffield.ac.uk/accommodation/rents" TargetMode="External" Id="rId62" /><Relationship Type="http://schemas.openxmlformats.org/officeDocument/2006/relationships/hyperlink" Target="https://www.woko.ch/unser-angebot/liegenschaften" TargetMode="External" Id="rId63" /><Relationship Type="http://schemas.openxmlformats.org/officeDocument/2006/relationships/hyperlink" Target="https://www.exeter.ac.uk/study/postgraduate/courses/computerscience/advancedcsmsc/" TargetMode="External" Id="rId64" /><Relationship Type="http://schemas.openxmlformats.org/officeDocument/2006/relationships/hyperlink" Target="https://www.liverpool.ac.uk/courses/advanced-computer-science-msc" TargetMode="External" Id="rId65" /><Relationship Type="http://schemas.openxmlformats.org/officeDocument/2006/relationships/hyperlink" Target="https://www.sheffield.ac.uk/postgraduate/taught/courses/2027/advanced-computer-science-msc" TargetMode="External" Id="rId66" /><Relationship Type="http://schemas.openxmlformats.org/officeDocument/2006/relationships/hyperlink" Target="https://www.sheffield.ac.uk/international/entry-requirements/iran" TargetMode="External" Id="rId67" /><Relationship Type="http://schemas.openxmlformats.org/officeDocument/2006/relationships/hyperlink" Target="https://www.sheffield.ac.uk/international/fees-and-funding/scholarships" TargetMode="External" Id="rId68" /><Relationship Type="http://schemas.openxmlformats.org/officeDocument/2006/relationships/hyperlink" Target="https://www.york.ac.uk/study/postgraduate-taught/courses/msc-advanced-computer-science/" TargetMode="External" Id="rId69" /><Relationship Type="http://schemas.openxmlformats.org/officeDocument/2006/relationships/hyperlink" Target="https://www.york.ac.uk/ (Study &#8250; International &#8250; Your country &#8250; Iran)" TargetMode="External" Id="rId70" /><Relationship Type="http://schemas.openxmlformats.org/officeDocument/2006/relationships/hyperlink" Target="https://www.southampton.ac.uk/courses/artificial-intelligence-masters-msc" TargetMode="External" Id="rId71" /><Relationship Type="http://schemas.openxmlformats.org/officeDocument/2006/relationships/hyperlink" Target="https://www.southampton.ac.uk/ (International &#8250; Your country &#8250; Iran)" TargetMode="External" Id="rId72" /><Relationship Type="http://schemas.openxmlformats.org/officeDocument/2006/relationships/hyperlink" Target="https://www.nottingham.ac.uk/pgstudy/course/taught/computer-science-artificial-intelligence-msc" TargetMode="External" Id="rId73" /><Relationship Type="http://schemas.openxmlformats.org/officeDocument/2006/relationships/hyperlink" Target="https://www.qmul.ac.uk/postgraduate/taught/coursefinder/courses/advanced-computer-science-msc/" TargetMode="External" Id="rId74" /><Relationship Type="http://schemas.openxmlformats.org/officeDocument/2006/relationships/hyperlink" Target="https://www.qmul.ac.uk/ (International &#8250; Your country &#8250; Iran)" TargetMode="External" Id="rId75" /><Relationship Type="http://schemas.openxmlformats.org/officeDocument/2006/relationships/hyperlink" Target="https://courses.leeds.ac.uk/" TargetMode="External" Id="rId76" /><Relationship Type="http://schemas.openxmlformats.org/officeDocument/2006/relationships/hyperlink" Target="https://www.manchester.ac.uk/study/masters/courses/list/" TargetMode="External" Id="rId77" /><Relationship Type="http://schemas.openxmlformats.org/officeDocument/2006/relationships/hyperlink" Target="https://www.manchester.ac.uk/ (Study &#8250; International &#8250; Country-specific information &#8250; Iran)" TargetMode="External" Id="rId78" /><Relationship Type="http://schemas.openxmlformats.org/officeDocument/2006/relationships/hyperlink" Target="https://www.ncl.ac.uk/postgraduate/" TargetMode="External" Id="rId79" /><Relationship Type="http://schemas.openxmlformats.org/officeDocument/2006/relationships/hyperlink" Target="https://www.ncl.ac.uk/study/global-scholarships/" TargetMode="External" Id="rId80" /><Relationship Type="http://schemas.openxmlformats.org/officeDocument/2006/relationships/hyperlink" Target="https://www.topuniversities.com/universities/university-birmingham" TargetMode="External" Id="rId81" /><Relationship Type="http://schemas.openxmlformats.org/officeDocument/2006/relationships/hyperlink" Target="https://www.exeter.ac.uk/study/funding/" TargetMode="External" Id="rId82" /><Relationship Type="http://schemas.openxmlformats.org/officeDocument/2006/relationships/hyperlink" Target="https://www.southampton.ac.uk/ (Sp&#228;rck AI Scholarship)" TargetMode="External" Id="rId83" /><Relationship Type="http://schemas.openxmlformats.org/officeDocument/2006/relationships/hyperlink" Target="https://www.liverpool.ac.uk/courses/advanced-computer-science-msc" TargetMode="External" Id="rId84" /><Relationship Type="http://schemas.openxmlformats.org/officeDocument/2006/relationships/hyperlink" Target="https://russellgroup.ac.uk/about/our-universities/" TargetMode="External" Id="rId85" /><Relationship Type="http://schemas.openxmlformats.org/officeDocument/2006/relationships/hyperlink" Target="https://warwick.ac.uk/study/international/countryinformation/middleeast/iran/" TargetMode="External" Id="rId86" /><Relationship Type="http://schemas.openxmlformats.org/officeDocument/2006/relationships/hyperlink" Target="https://www.durham.ac.uk/study/courses/advanced-computer-science-g5t609/" TargetMode="External" Id="rId87" /><Relationship Type="http://schemas.openxmlformats.org/officeDocument/2006/relationships/hyperlink" Target="https://www.kcl.ac.uk/study-legacy/postgraduate/apply/entry-requirements/international" TargetMode="External" Id="rId88" /><Relationship Type="http://schemas.openxmlformats.org/officeDocument/2006/relationships/hyperlink" Target="https://www.imperial.ac.uk/study/courses/postgraduate-taught/computing-artificial-intelligence-msc/" TargetMode="External" Id="rId89" /><Relationship Type="http://schemas.openxmlformats.org/officeDocument/2006/relationships/hyperlink" Target="https://www.ucl.ac.uk/prospective-students/graduate/taught-degrees/computer-science-msc-2026" TargetMode="External" Id="rId90" /><Relationship Type="http://schemas.openxmlformats.org/officeDocument/2006/relationships/hyperlink" Target="https://www.bristol.ac.uk/study/postgraduate/taught/msc-data-science/" TargetMode="External" Id="rId91" /><Relationship Type="http://schemas.openxmlformats.org/officeDocument/2006/relationships/hyperlink" Target="https://www.bristol.ac.uk/international/countries/iran.html" TargetMode="External" Id="rId92" /><Relationship Type="http://schemas.openxmlformats.org/officeDocument/2006/relationships/hyperlink" Target="https://www.manchester.ac.uk/about/news/university-of-manchester-tops-uk-rankings-for-graduate-employer-interest/" TargetMode="External" Id="rId93" /><Relationship Type="http://schemas.openxmlformats.org/officeDocument/2006/relationships/hyperlink" Target="https://unilens.co.uk/insights/highest-graduate-earnings-uk-universities-2026" TargetMode="External" Id="rId94" /><Relationship Type="http://schemas.openxmlformats.org/officeDocument/2006/relationships/hyperlink" Target="https://www.gov.uk/guidance/immigration-rules/immigration-rules-appendix-atas-academic-technology-approval-scheme-atas" TargetMode="External" Id="rId95" /><Relationship Type="http://schemas.openxmlformats.org/officeDocument/2006/relationships/hyperlink" Target="https://liu.se/en/article/scholarships" TargetMode="External" Id="rId96" /><Relationship Type="http://schemas.openxmlformats.org/officeDocument/2006/relationships/hyperlink" Target="https://www.chalmers.se/en/education/application-and-admission/scholarships-for-fee-paying-students/" TargetMode="External" Id="rId97" /><Relationship Type="http://schemas.openxmlformats.org/officeDocument/2006/relationships/hyperlink" Target="https://www.mastersportal.com/scholarships/10077/halmstad-university-scholarships.html" TargetMode="External" Id="rId98" /><Relationship Type="http://schemas.openxmlformats.org/officeDocument/2006/relationships/hyperlink" Target="https://daadscholarship.com/malardalen-university-scholarships-2026-to-study-for-free-in-sweden/" TargetMode="External" Id="rId99" /><Relationship Type="http://schemas.openxmlformats.org/officeDocument/2006/relationships/hyperlink" Target="https://si.se/en/apply/scholarships/swedish-institute-scholarships-for-global-professionals/" TargetMode="External" Id="rId100" /><Relationship Type="http://schemas.openxmlformats.org/officeDocument/2006/relationships/hyperlink" Target="https://www.mastersportal.com/scholarships/988/holland-scholarship-for-non-eea-international-students.html" TargetMode="External" Id="rId101" /><Relationship Type="http://schemas.openxmlformats.org/officeDocument/2006/relationships/hyperlink" Target="https://www.en.aau.dk/education/apply/master/finance-and-fees" TargetMode="External" Id="rId102" /><Relationship Type="http://schemas.openxmlformats.org/officeDocument/2006/relationships/hyperlink" Target="https://ethz.ch/en/studies/financial/scholarships/excellencescholarship.html" TargetMode="External" Id="rId103" /><Relationship Type="http://schemas.openxmlformats.org/officeDocument/2006/relationships/hyperlink" Target="https://www.eco.usi.ch/en/feeds/9861" TargetMode="External" Id="rId104" /><Relationship Type="http://schemas.openxmlformats.org/officeDocument/2006/relationships/hyperlink" Target="https://www.chevening.org/scholarships/application-timeline/" TargetMode="External" Id="rId105" /><Relationship Type="http://schemas.openxmlformats.org/officeDocument/2006/relationships/hyperlink" Target="https://www.deutschlandstipendium.de/" TargetMode="External" Id="rId106" /><Relationship Type="http://schemas.openxmlformats.org/officeDocument/2006/relationships/hyperlink" Target="https://ethz.ch/en/studies/master/application/dates.html" TargetMode="External" Id="rId107" /><Relationship Type="http://schemas.openxmlformats.org/officeDocument/2006/relationships/hyperlink" Target="https://www.epfl.ch/education/studies/en/rules-and-procedures/study-taxes/tuition-fee-other-fees/" TargetMode="External" Id="rId108" /><Relationship Type="http://schemas.openxmlformats.org/officeDocument/2006/relationships/hyperlink" Target="https://www.epfl.ch/education/admission/admission-2/master-admission-criteria-application/online-application/" TargetMode="External" Id="rId109" /><Relationship Type="http://schemas.openxmlformats.org/officeDocument/2006/relationships/hyperlink" Target="https://www.uzh.ch/en/studies/application/fees.html" TargetMode="External" Id="rId110" /><Relationship Type="http://schemas.openxmlformats.org/officeDocument/2006/relationships/hyperlink" Target="https://www.oec.uzh.ch/en/studies/general/admission/master/faq-master-admission.html" TargetMode="External" Id="rId111" /><Relationship Type="http://schemas.openxmlformats.org/officeDocument/2006/relationships/hyperlink" Target="https://www.usi.ch/en/education/master/informatics" TargetMode="External" Id="rId112" /><Relationship Type="http://schemas.openxmlformats.org/officeDocument/2006/relationships/hyperlink" Target="https://www.topuniversities.com/universities/usi-universita-della-svizzera-italiana/postgrad/master-science-artificial-intelligence" TargetMode="External" Id="rId113" /><Relationship Type="http://schemas.openxmlformats.org/officeDocument/2006/relationships/hyperlink" Target="https://www.swissuniversities.ch/en/themen/lehre-studium/information-on-studies/tuition-fees/tuition-fees-at-uas" TargetMode="External" Id="rId114" /><Relationship Type="http://schemas.openxmlformats.org/officeDocument/2006/relationships/hyperlink" Target="https://www.zhaw.ch/en/engineering/study/masters-degree-programme" TargetMode="External" Id="rId115" /><Relationship Type="http://schemas.openxmlformats.org/officeDocument/2006/relationships/hyperlink" Target="https://www.hslu.ch/en/lucerne-school-of-business/degree-programmes/master/applied-information-and-data-science/haeufig-gestellte-fragen/" TargetMode="External" Id="rId116" /><Relationship Type="http://schemas.openxmlformats.org/officeDocument/2006/relationships/hyperlink" Target="https://www.philnat.unibe.ch/studies/study_programs/master_s_in_computer_science/index_eng.html" TargetMode="External" Id="rId117" /><Relationship Type="http://schemas.openxmlformats.org/officeDocument/2006/relationships/hyperlink" Target="https://www.unibe.ch/studies/organizational_matters/renewal_of_semester_registration/fees/index_eng.html" TargetMode="External" Id="rId118" /><Relationship Type="http://schemas.openxmlformats.org/officeDocument/2006/relationships/hyperlink" Target="https://mcs.unibnf.ch/faq/" TargetMode="External" Id="rId119" /><Relationship Type="http://schemas.openxmlformats.org/officeDocument/2006/relationships/hyperlink" Target="https://www.unine.ch/admission/taxes-universitaires/" TargetMode="External" Id="rId120" /><Relationship Type="http://schemas.openxmlformats.org/officeDocument/2006/relationships/hyperlink" Target="https://www.unine.ch/admission/admission-master/delais-et-frais-dinscription-pour-les-masters/" TargetMode="External" Id="rId121" /><Relationship Type="http://schemas.openxmlformats.org/officeDocument/2006/relationships/hyperlink" Target="https://www.unifr.ch/studies/en/organisation/administrative-services-unifr-students/university-fees/" TargetMode="External" Id="rId122" /><Relationship Type="http://schemas.openxmlformats.org/officeDocument/2006/relationships/hyperlink" Target="https://www.unifr.ch/studies/en/admission/admission-master/admission-master-foreign.html" TargetMode="External" Id="rId123" /><Relationship Type="http://schemas.openxmlformats.org/officeDocument/2006/relationships/hyperlink" Target="https://dmi.unibas.ch/en/studies/computer-science/masters/" TargetMode="External" Id="rId124" /><Relationship Type="http://schemas.openxmlformats.org/officeDocument/2006/relationships/hyperlink" Target="https://www.unibas.ch/dam/jcr:28672e66-8562-4988-9e38-b1c944ed22bf/COMPUTER%20SCIENCE%202026.2026-02-05-09-53-32.pdf" TargetMode="External" Id="rId125" /><Relationship Type="http://schemas.openxmlformats.org/officeDocument/2006/relationships/hyperlink" Target="https://www.hslu.ch/en/lucerne-school-of-business/degree-programmes/master/applied-data-science-and-ai/" TargetMode="External" Id="rId126" /><Relationship Type="http://schemas.openxmlformats.org/officeDocument/2006/relationships/hyperlink" Target="https://www.usi.ch/en/education/master/informatics/application" TargetMode="External" Id="rId127" /><Relationship Type="http://schemas.openxmlformats.org/officeDocument/2006/relationships/hyperlink" Target="https://www.sem.admin.ch/sem/en/home/themen/arbeit/faq.html" TargetMode="External" Id="rId128" /><Relationship Type="http://schemas.openxmlformats.org/officeDocument/2006/relationships/hyperlink" Target="https://goldblum.ch/knowledgebase/residence-permit-in-switzerland-obtain/" TargetMode="External" Id="rId129" /><Relationship Type="http://schemas.openxmlformats.org/officeDocument/2006/relationships/hyperlink" Target="https://vshcherbakov.com/2025/06/26/Path-to-working-permit-for-Swiss-graduates/" TargetMode="External" Id="rId130" /><Relationship Type="http://schemas.openxmlformats.org/officeDocument/2006/relationships/hyperlink" Target="https://www.study-abroad.org/blog/ch-student-visa-guide/" TargetMode="External" Id="rId131" /><Relationship Type="http://schemas.openxmlformats.org/officeDocument/2006/relationships/hyperlink" Target="https://www.zhaw.ch/storage/sml/master/msc-bf-pie-information-for-international-students.pdf" TargetMode="External" Id="rId132" /><Relationship Type="http://schemas.openxmlformats.org/officeDocument/2006/relationships/hyperlink" Target="https://gradpilot.com/news/switzerland-student-visa-motivation-letter-canton-guide" TargetMode="External" Id="rId133" /><Relationship Type="http://schemas.openxmlformats.org/officeDocument/2006/relationships/hyperlink" Target="https://relofinder.ch/blog/swiss-c-permit-permanent-residence-2026-guide/" TargetMode="External" Id="rId134" /><Relationship Type="http://schemas.openxmlformats.org/officeDocument/2006/relationships/hyperlink" Target="https://www.richmondchambers.ch/post/swiss-c-permit-eligibility-required-years-of-residence-integration-expectations-and-fast-track-pa" TargetMode="External" Id="rId135" /><Relationship Type="http://schemas.openxmlformats.org/officeDocument/2006/relationships/hyperlink" Target="https://www.eda.admin.ch/countries/iran/en/home.html" TargetMode="External" Id="rId136" /><Relationship Type="http://schemas.openxmlformats.org/officeDocument/2006/relationships/hyperlink" Target="https://whatisthesalary.com/it-salaries/software-engineer-salary-in-switzerland/" TargetMode="External" Id="rId137" /><Relationship Type="http://schemas.openxmlformats.org/officeDocument/2006/relationships/hyperlink" Target="https://www.glassdoor.com/Salaries/z%C3%BCrich-junior-software-engineer-salary-SRCH_IL.0,6_IC3297851_KO7,31.htm" TargetMode="External" Id="rId138" /><Relationship Type="http://schemas.openxmlformats.org/officeDocument/2006/relationships/hyperlink" Target="https://upreer.ch/en/salaries/software-engineer-salary-zurich/" TargetMode="External" Id="rId139" /><Relationship Type="http://schemas.openxmlformats.org/officeDocument/2006/relationships/hyperlink" Target="https://www.msfinance.uzh.ch/en/studyinginzurich/accommodation.html" TargetMode="External" Id="rId140" /><Relationship Type="http://schemas.openxmlformats.org/officeDocument/2006/relationships/hyperlink" Target="https://www.iamexpat.ch/education/education-news/eth-zurich-makes-top-universities-world" TargetMode="External" Id="rId141" /><Relationship Type="http://schemas.openxmlformats.org/officeDocument/2006/relationships/hyperlink" Target="https://www.tagesanzeiger.ch/10-millionen-schweiz-resultate-der-svp-initiative-im-ticker-935664202454" TargetMode="External" Id="rId142" /><Relationship Type="http://schemas.openxmlformats.org/officeDocument/2006/relationships/hyperlink" Target="https://www.efd.admin.ch/de/entlastungspaket-27" TargetMode="External" Id="rId143" /><Relationship Type="http://schemas.openxmlformats.org/officeDocument/2006/relationships/hyperlink" Target="https://capiwell.ch/swiss-it-labour-market-2026-specialised-skills-slower-growth-and-new-openings-for-start-ups/" TargetMode="External" Id="rId144" /><Relationship Type="http://schemas.openxmlformats.org/officeDocument/2006/relationships/hyperlink" Target="https://www.xe.com/en-us/currencyconverter/convert/?Amount=1&amp;From=CHF&amp;To=USD" TargetMode="External" Id="rId145" /><Relationship Type="http://schemas.openxmlformats.org/officeDocument/2006/relationships/hyperlink" Target="https://students.leeds.ac.uk/visa-information-after-studies/doc/graduate-visas" TargetMode="External" Id="rId146" /><Relationship Type="http://schemas.openxmlformats.org/officeDocument/2006/relationships/hyperlink" Target="https://www.gov.uk/government/publications/statement-of-changes-to-the-immigration-rules-hc-584-3-september-2026" TargetMode="External" Id="rId147" /><Relationship Type="http://schemas.openxmlformats.org/officeDocument/2006/relationships/hyperlink" Target="https://withrowan.co.uk/guides/skilled-worker-software-engineers" TargetMode="External" Id="rId148" /><Relationship Type="http://schemas.openxmlformats.org/officeDocument/2006/relationships/hyperlink" Target="https://www.ukimmigration.law/earned-settlement-ilr-uk-plans/" TargetMode="External" Id="rId149" /><Relationship Type="http://schemas.openxmlformats.org/officeDocument/2006/relationships/hyperlink" Target="https://www.york.ac.uk/study/postgraduate-taught/courses/msc-advanced-computer-science/" TargetMode="External" Id="rId150" /><Relationship Type="http://schemas.openxmlformats.org/officeDocument/2006/relationships/hyperlink" Target="https://www.researchprofessionalnews.com/rr-news-uk-politics-2025-11-international-levy-to-be-flat-fee-of-925-per-student/" TargetMode="External" Id="rId151" /><Relationship Type="http://schemas.openxmlformats.org/officeDocument/2006/relationships/hyperlink" Target="https://livingintehran.com/2026/02/03/tehran-diplomatic-update-recent-embassy-reopenings-current-status-feb-2026/" TargetMode="External" Id="rId152" /><Relationship Type="http://schemas.openxmlformats.org/officeDocument/2006/relationships/hyperlink" Target="https://tu-dresden.de/tu-dresden/newsportal/news/qs-ranking-2027-tud-gehoert-erneut-zu-den-zehn-besten-universitaeten-deutschlands-und-baut-internationalen-erfolg-weiter-aus" TargetMode="External" Id="rId153"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4" /><Relationship Type="http://schemas.openxmlformats.org/officeDocument/2006/relationships/hyperlink" Target="https://www.ncl.ac.uk/press/articles/latest/2026/06/qs2027/" TargetMode="External" Id="rId155" /><Relationship Type="http://schemas.openxmlformats.org/officeDocument/2006/relationships/hyperlink" Target="https://www.york.ac.uk/about/ranking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york.ac.uk/study/postgraduate-taught/courses/msc-human-centred-interactive-technologies/" TargetMode="External" Id="rId189" /><Relationship Type="http://schemas.openxmlformats.org/officeDocument/2006/relationships/hyperlink" Target="https://www.fau.eu/studying/international-students/application-and-enrollment-for-international-applicants/tuition-fees-for-students-from-non-eu-states/" TargetMode="External" Id="rId190" /><Relationship Type="http://schemas.openxmlformats.org/officeDocument/2006/relationships/hyperlink" Target="https://www.uni-passau.de/en/study/news/news/no-tuition-fees-for-international-students-at-the-university-of-passau" TargetMode="External" Id="rId191" /><Relationship Type="http://schemas.openxmlformats.org/officeDocument/2006/relationships/hyperlink" Target="https://masters.au.dk/tuitionfees/current-tuition-fee-rates" TargetMode="External" Id="rId192" /><Relationship Type="http://schemas.openxmlformats.org/officeDocument/2006/relationships/hyperlink" Target="https://www.en.aau.dk/education/master/computer-science-it" TargetMode="External" Id="rId193" /><Relationship Type="http://schemas.openxmlformats.org/officeDocument/2006/relationships/hyperlink" Target="https://collegedunia.com/sweden/university/769-chalmers-university-of-technology-gothenburg/programs?stream_id=48&amp;degree_type=Master" TargetMode="External" Id="rId194" /><Relationship Type="http://schemas.openxmlformats.org/officeDocument/2006/relationships/hyperlink" Target="https://www.topuniversities.com/universities/newcastle-university/postgrad/msc-computer-game-engineering" TargetMode="External" Id="rId195" /><Relationship Type="http://schemas.openxmlformats.org/officeDocument/2006/relationships/hyperlink" Target="https://www.tue.nl/en/education/become-a-tue-student/tuition-fees" TargetMode="External" Id="rId196" /><Relationship Type="http://schemas.openxmlformats.org/officeDocument/2006/relationships/hyperlink" Target="https://wanaen.com/ielts-testing-to-be-suspended-in-iran/" TargetMode="External" Id="rId197" /><Relationship Type="http://schemas.openxmlformats.org/officeDocument/2006/relationships/hyperlink" Target="https://www.jahantahsil.com/%D8%A2%D8%B2%D9%85%D9%88%D9%86-%D8%A2%DB%8C%D9%84%D8%AA%D8%B3-ielts-%DA%86%DB%8C%D8%B3%D8%AA-%D9%88-%DA%A9%D8%AC%D8%A7-%D8%A8%D8%B1%DA%AF%D8%B2%D8%A7%D8%B1-%D9%85%DB%8C%D8%B4%D9%88%D8%AF/" TargetMode="External" Id="rId198" /><Relationship Type="http://schemas.openxmlformats.org/officeDocument/2006/relationships/hyperlink" Target="https://zandienglish.ir/toefl-in-iran/" TargetMode="External" Id="rId199" /><Relationship Type="http://schemas.openxmlformats.org/officeDocument/2006/relationships/hyperlink" Target="https://www.zoomit.ir/iran-news/464136-exit-permit-bond-sakha-1405/" TargetMode="External" Id="rId200" /><Relationship Type="http://schemas.openxmlformats.org/officeDocument/2006/relationships/hyperlink" Target="https://www.umu.se/en/education/application-and-admission/key-dates-and-deadlines/" TargetMode="External" Id="rId201" /><Relationship Type="http://schemas.openxmlformats.org/officeDocument/2006/relationships/hyperlink" Target="https://www.uni-stuttgart.de/en/study/study-programs/Computer-Science-M.Sc.-00001/" TargetMode="External" Id="rId202" /><Relationship Type="http://schemas.openxmlformats.org/officeDocument/2006/relationships/hyperlink" Target="https://www.uni-passau.de/en/apply/apply-with-intl-qualifications" TargetMode="External" Id="rId203" /><Relationship Type="http://schemas.openxmlformats.org/officeDocument/2006/relationships/hyperlink" Target="https://www.en.aau.dk/education/apply/master/how-and-when-to-apply" TargetMode="External" Id="rId204" /><Relationship Type="http://schemas.openxmlformats.org/officeDocument/2006/relationships/hyperlink" Target="https://www.sdu.dk/en/uddannelse/kandidat/datalogi" TargetMode="External" Id="rId205" /><Relationship Type="http://schemas.openxmlformats.org/officeDocument/2006/relationships/hyperlink" Target="https://www.ru.nl/en/education/application-and-admission/application-procedure-masters/deadlines" TargetMode="External" Id="rId206" /><Relationship Type="http://schemas.openxmlformats.org/officeDocument/2006/relationships/hyperlink" Target="https://www.gov.uk/government/news/national-living-wage-increases-to-1271-per-hour" TargetMode="External" Id="rId207" /><Relationship Type="http://schemas.openxmlformats.org/officeDocument/2006/relationships/hyperlink" Target="https://ind.nl/en/required-amounts-income-requirements" TargetMode="External" Id="rId208" /><Relationship Type="http://schemas.openxmlformats.org/officeDocument/2006/relationships/hyperlink" Target="https://www.nyidanmark.dk/pl-PL/Words-and-concepts/SIRI/Self-support---SIRI" TargetMode="External" Id="rId209" /><Relationship Type="http://schemas.openxmlformats.org/officeDocument/2006/relationships/hyperlink" Target="https://www.wiwo.de/erfolg/trends/werkstudenten-rechner-2026-brutto-netto-gehalt-online-berechnen-wiwo/28979742.html" TargetMode="External" Id="rId210" /><Relationship Type="http://schemas.openxmlformats.org/officeDocument/2006/relationships/hyperlink" Target="https://checkeverything.ch/de/blog/mindestlohn-schweiz-2026" TargetMode="External" Id="rId211" /><Relationship Type="http://schemas.openxmlformats.org/officeDocument/2006/relationships/hyperlink" Target="https://www.cash.ch/news/stadt-luzern-behalt-kommunalen-mindestlohn-bei-971917" TargetMode="External" Id="rId212" /><Relationship Type="http://schemas.openxmlformats.org/officeDocument/2006/relationships/hyperlink" Target="https://www.fedlex.admin.ch/eli/cc/2007/758/en#art_21" TargetMode="External" Id="rId213" /><Relationship Type="http://schemas.openxmlformats.org/officeDocument/2006/relationships/hyperlink" Target="https://www.uva.nl/en/education/fees-and-funding/tuition-fees/tuition-fees.html" TargetMode="External" Id="rId214" /><Relationship Type="http://schemas.openxmlformats.org/officeDocument/2006/relationships/hyperlink" Target="https://www.uva.nl/en/programmes/masters/software-engineering/software-engineering.html" TargetMode="External" Id="rId215" /><Relationship Type="http://schemas.openxmlformats.org/officeDocument/2006/relationships/hyperlink" Target="https://collegedunia.com/netherlands/university/749-university-of-twente-enschede/admission" TargetMode="External" Id="rId216" /><Relationship Type="http://schemas.openxmlformats.org/officeDocument/2006/relationships/hyperlink" Target="https://migri.fi/en/studying-in-finland" TargetMode="External" Id="rId217" /><Relationship Type="http://schemas.openxmlformats.org/officeDocument/2006/relationships/hyperlink" Target="https://migri.fi/en/-/changes-to-finnish-immigration-service-processing-fees-as-of-1-january-2026" TargetMode="External" Id="rId218" /><Relationship Type="http://schemas.openxmlformats.org/officeDocument/2006/relationships/hyperlink" Target="https://migri.fi/en/d-visa" TargetMode="External" Id="rId219" /><Relationship Type="http://schemas.openxmlformats.org/officeDocument/2006/relationships/hyperlink" Target="https://migri.fi/en/residence-permit-to-look-for-work" TargetMode="External" Id="rId220" /><Relationship Type="http://schemas.openxmlformats.org/officeDocument/2006/relationships/hyperlink" Target="https://migri.fi/en/working-in-finland/income-requirement" TargetMode="External" Id="rId221" /><Relationship Type="http://schemas.openxmlformats.org/officeDocument/2006/relationships/hyperlink" Target="https://migri.fi/en/permanent-residence-permit" TargetMode="External" Id="rId222" /><Relationship Type="http://schemas.openxmlformats.org/officeDocument/2006/relationships/hyperlink" Target="https://migri.fi/en/period-of-residence-requirement" TargetMode="External" Id="rId223" /><Relationship Type="http://schemas.openxmlformats.org/officeDocument/2006/relationships/hyperlink" Target="https://migri.fi/en/faq-finnish-citizenship" TargetMode="External" Id="rId224" /><Relationship Type="http://schemas.openxmlformats.org/officeDocument/2006/relationships/hyperlink" Target="https://finlandabroad.fi/web/irn/frontpage" TargetMode="External" Id="rId225" /><Relationship Type="http://schemas.openxmlformats.org/officeDocument/2006/relationships/hyperlink" Target="https://www.tuni.fi/en/tau/masters-programmes/ai-native-software-computing-sciences-and-electrical-engineering" TargetMode="External" Id="rId226" /><Relationship Type="http://schemas.openxmlformats.org/officeDocument/2006/relationships/hyperlink" Target="https://www.oulu.fi/en/apply/masters-computer-science-and-engineering" TargetMode="External" Id="rId227" /><Relationship Type="http://schemas.openxmlformats.org/officeDocument/2006/relationships/hyperlink" Target="https://www.utu.fi/en/study-at-utu/masters-degree-programme-in-information-and-communication-technology-cyber-security" TargetMode="External" Id="rId228" /><Relationship Type="http://schemas.openxmlformats.org/officeDocument/2006/relationships/hyperlink" Target="https://www.utu.fi/en/study-at-utu/scholarships-and-tuition-fees" TargetMode="External" Id="rId229" /><Relationship Type="http://schemas.openxmlformats.org/officeDocument/2006/relationships/hyperlink" Target="https://www.aalto.fi/en/study-at-aalto/apply-to-masters-programmes" TargetMode="External" Id="rId230" /><Relationship Type="http://schemas.openxmlformats.org/officeDocument/2006/relationships/hyperlink" Target="https://opintopolku.fi/konfo/en/toteutus/1.2.246.562.17.00000000000000008124" TargetMode="External" Id="rId231" /><Relationship Type="http://schemas.openxmlformats.org/officeDocument/2006/relationships/hyperlink" Target="https://www.helsinki.fi/en/degree-programmes/computer-science-masters-programme" TargetMode="External" Id="rId232" /><Relationship Type="http://schemas.openxmlformats.org/officeDocument/2006/relationships/hyperlink" Target="https://www.lut.fi/en/studies/masters-programmes" TargetMode="External" Id="rId233" /><Relationship Type="http://schemas.openxmlformats.org/officeDocument/2006/relationships/hyperlink" Target="https://www.studyinfinland.fi/news-events/qs-world-university-rankings-2027" TargetMode="External" Id="rId234" /><Relationship Type="http://schemas.openxmlformats.org/officeDocument/2006/relationships/hyperlink" Target="https://www.glassdoor.com/Salaries/finland-junior-software-developer-salary-SRCH_IL.0,7_IN79_KO8,33_IP2.htm" TargetMode="External" Id="rId235" /><Relationship Type="http://schemas.openxmlformats.org/officeDocument/2006/relationships/hyperlink" Target="https://tradingeconomics.com/finland/unemployment-rate" TargetMode="External" Id="rId236" /><Relationship Type="http://schemas.openxmlformats.org/officeDocument/2006/relationships/hyperlink" Target="https://www.edunation.co/how-much-does-it-cost-to-study-and-live-in-finland-2026-guide/" TargetMode="External" Id="rId237" /><Relationship Type="http://schemas.openxmlformats.org/officeDocument/2006/relationships/hyperlink" Target="https://www.canada.ca/en/immigration-refugees-citizenship/services/study-canada/study-permit/get-documents/financial-support.html" TargetMode="External" Id="rId238" /><Relationship Type="http://schemas.openxmlformats.org/officeDocument/2006/relationships/hyperlink" Target="https://www.canada.ca/en/immigration-refugees-citizenship/services/study-canada/work/work-off-campus.html" TargetMode="External" Id="rId239" /><Relationship Type="http://schemas.openxmlformats.org/officeDocument/2006/relationships/hyperlink" Target="https://www.canada.ca/en/immigration-refugees-citizenship/services/study-canada/work/after-graduation/eligibility.html" TargetMode="External" Id="rId240" /><Relationship Type="http://schemas.openxmlformats.org/officeDocument/2006/relationships/hyperlink" Target="https://www.canada.ca/en/immigration-refugees-citizenship/services/study-canada/study-permit/provincial-attestation-letter.html" TargetMode="External" Id="rId241" /><Relationship Type="http://schemas.openxmlformats.org/officeDocument/2006/relationships/hyperlink" Target="https://www.canada.ca/en/immigration-refugees-citizenship/corporate/mandate/policies-operational-instructions-agreements/ministerial-instructions/express-entry-rounds.html" TargetMode="External" Id="rId242" /><Relationship Type="http://schemas.openxmlformats.org/officeDocument/2006/relationships/hyperlink" Target="https://www.canada.ca/en/immigration-refugees-citizenship/services/application/check-processing-times.html" TargetMode="External" Id="rId243" /><Relationship Type="http://schemas.openxmlformats.org/officeDocument/2006/relationships/hyperlink" Target="https://www.mun.ca/sgs/media/production/memorial/academic/school-of-graduate-studies/school-of-graduate-studies/media-library/MinimumExpense.pdf" TargetMode="External" Id="rId244" /><Relationship Type="http://schemas.openxmlformats.org/officeDocument/2006/relationships/hyperlink" Target="https://umanitoba.ca/registrar/tuition-fees/2025-2026-graduate-tuition-and-fees-archive" TargetMode="External" Id="rId245" /><Relationship Type="http://schemas.openxmlformats.org/officeDocument/2006/relationships/hyperlink" Target="https://umanitoba.ca/graduate-studies/admissions/requirements/international" TargetMode="External" Id="rId246" /><Relationship Type="http://schemas.openxmlformats.org/officeDocument/2006/relationships/hyperlink" Target="https://grad.usask.ca/funding/tuition.php" TargetMode="External" Id="rId247" /><Relationship Type="http://schemas.openxmlformats.org/officeDocument/2006/relationships/hyperlink" Target="https://livewithus.usask.ca/currentstudents/rates.php" TargetMode="External" Id="rId248" /><Relationship Type="http://schemas.openxmlformats.org/officeDocument/2006/relationships/hyperlink" Target="https://www.ualberta.ca/en/graduate-studies/fees-funding/tuition-fees/instructional-fees-international.html" TargetMode="External" Id="rId249" /><Relationship Type="http://schemas.openxmlformats.org/officeDocument/2006/relationships/hyperlink" Target="https://www.ualberta.ca/en/registrar/costs-tuition-fees/tuition-increases.html" TargetMode="External" Id="rId250" /><Relationship Type="http://schemas.openxmlformats.org/officeDocument/2006/relationships/hyperlink" Target="https://www.ualberta.ca/en/computing-science/graduate-studies/programs-and-admissions/applications-and-admissions/frequently-asked-questions.html" TargetMode="External" Id="rId251" /><Relationship Type="http://schemas.openxmlformats.org/officeDocument/2006/relationships/hyperlink" Target="https://calendar.ucalgary.ca/pages/bdf3d650a14247e4912def1671b7ba09" TargetMode="External" Id="rId252" /><Relationship Type="http://schemas.openxmlformats.org/officeDocument/2006/relationships/hyperlink" Target="https://grad.ucalgary.ca/awards-and-funding/funding-TB-students" TargetMode="External" Id="rId253" /><Relationship Type="http://schemas.openxmlformats.org/officeDocument/2006/relationships/hyperlink" Target="https://www.ucalgary.ca/ancillary/residence/live-us/places-live/rates-2026-2027" TargetMode="External" Id="rId254" /><Relationship Type="http://schemas.openxmlformats.org/officeDocument/2006/relationships/hyperlink" Target="https://www.uvic.ca/science/physics/prospective/graduate/FAQ/index.php" TargetMode="External" Id="rId255" /><Relationship Type="http://schemas.openxmlformats.org/officeDocument/2006/relationships/hyperlink" Target="https://carleton.ca/studentaccounts/tuition-fees/grad-per-cred_f26w27_intl/" TargetMode="External" Id="rId256" /><Relationship Type="http://schemas.openxmlformats.org/officeDocument/2006/relationships/hyperlink" Target="https://mscac.utoronto.ca/apply/" TargetMode="External" Id="rId257" /><Relationship Type="http://schemas.openxmlformats.org/officeDocument/2006/relationships/hyperlink" Target="https://uwaterloo.ca/finance/masters-and-phd-program-tuition-fall-2026-international-0" TargetMode="External" Id="rId258" /><Relationship Type="http://schemas.openxmlformats.org/officeDocument/2006/relationships/hyperlink" Target="https://uwaterloo.ca/data-science/current-graduate-students/courses" TargetMode="External" Id="rId259" /><Relationship Type="http://schemas.openxmlformats.org/officeDocument/2006/relationships/hyperlink" Target="https://uwaterloo.ca/future-graduate-students/programs/by-faculty/math/computer-science-master-math-mmath" TargetMode="External" Id="rId260" /><Relationship Type="http://schemas.openxmlformats.org/officeDocument/2006/relationships/hyperlink" Target="https://www.dal.ca/content/dam/www/admissions/cost-and-payment/tuition-and-fee-schedules/masters-tuition-fee-schedule.pdf" TargetMode="External" Id="rId261" /><Relationship Type="http://schemas.openxmlformats.org/officeDocument/2006/relationships/hyperlink" Target="https://www.dal.ca/admissions/cost-and-payment/tuition/graduate-program-tuition.html" TargetMode="External" Id="rId262" /><Relationship Type="http://schemas.openxmlformats.org/officeDocument/2006/relationships/hyperlink" Target="https://registrar.ontariotechu.ca/fees-and-payment/international-student-tuition/graduate-international-tuition-2026-2027.php" TargetMode="External" Id="rId263" /><Relationship Type="http://schemas.openxmlformats.org/officeDocument/2006/relationships/hyperlink" Target="https://www.uregina.ca/financial-services/assets/pdf/fee-schedules/202630-grad-studies-tuition-schedule-may-15.pdf" TargetMode="External" Id="rId264" /><Relationship Type="http://schemas.openxmlformats.org/officeDocument/2006/relationships/hyperlink" Target="https://www.uregina.ca/science/computer-science/graduate-programs/msc-cs-thesis.html" TargetMode="External" Id="rId265" /><Relationship Type="http://schemas.openxmlformats.org/officeDocument/2006/relationships/hyperlink" Target="https://www.mcinnescooper.com/publications/2026-minimum-wage-increases-in-atlantic-canada/" TargetMode="External" Id="rId266" /><Relationship Type="http://schemas.openxmlformats.org/officeDocument/2006/relationships/hyperlink" Target="https://halifaxpartnership.com/research-strategy/halifax-index/real-estate/" TargetMode="External" Id="rId267" /><Relationship Type="http://schemas.openxmlformats.org/officeDocument/2006/relationships/hyperlink" Target="https://www.sgs.utoronto.ca/future-students/admission-application-requirements/international-credentials-equivalencies/" TargetMode="External" Id="rId268" /><Relationship Type="http://schemas.openxmlformats.org/officeDocument/2006/relationships/hyperlink" Target="https://www.grad.ubc.ca/prospective-students/application-admission/country/iran" TargetMode="External" Id="rId269" /><Relationship Type="http://schemas.openxmlformats.org/officeDocument/2006/relationships/hyperlink" Target="https://www.uwindsor.ca/finance/fee-estimator" TargetMode="External" Id="rId270" /><Relationship Type="http://schemas.openxmlformats.org/officeDocument/2006/relationships/hyperlink" Target="https://www.workforce.com/ca/resources/minimum-wage-by-province-canada" TargetMode="External" Id="rId271" /><Relationship Type="http://schemas.openxmlformats.org/officeDocument/2006/relationships/hyperlink" Target="https://www150.statcan.gc.ca/t1/tbl1/en/tv.action?pid=3410013301" TargetMode="External" Id="rId272" /><Relationship Type="http://schemas.openxmlformats.org/officeDocument/2006/relationships/hyperlink" Target="https://www150.statcan.gc.ca/n1/daily-quotidien/260904/dq260904a-eng.htm" TargetMode="External" Id="rId273" /><Relationship Type="http://schemas.openxmlformats.org/officeDocument/2006/relationships/hyperlink" Target="https://www.glassdoor.ca/Salaries/junior-software-developer-salary-SRCH_KO0,25.htm" TargetMode="External" Id="rId274" /><Relationship Type="http://schemas.openxmlformats.org/officeDocument/2006/relationships/hyperlink" Target="https://www.workbc.ca/career-profiles/software-developers-and-programmers" TargetMode="External" Id="rId275" /></Relationships>
</file>

<file path=xl/worksheets/sheet1.xml><?xml version="1.0" encoding="utf-8"?>
<worksheet xmlns="http://schemas.openxmlformats.org/spreadsheetml/2006/main">
  <sheetPr>
    <tabColor rgb="0000B050"/>
    <outlinePr summaryBelow="0" summaryRight="0"/>
    <pageSetUpPr fitToPage="1"/>
  </sheetPr>
  <dimension ref="A1:O157"/>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84.8461538461538" customHeight="1">
      <c r="A2" s="2" t="inlineStr">
        <is>
          <t>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
رنگ هر کشور در همهٔ شیت‌ها یکی است (ردیف زیر)؛
دکمه‌های − / + کنار شمارهٔ سطرها هر بخش را می‌بندند و باز می‌کنند؛
در شیت «برنامه‌ها» با فلش ستون «کشور» می‌توانید فقط یک کشور را ببینید — چیزی حذف نشده است.</t>
        </is>
      </c>
    </row>
    <row r="3" ht="46" customHeight="1">
      <c r="A3" s="3" t="inlineStr">
        <is>
          <t>راهنمای رنگ‌ها — ✅ سبز = شدنی / تأیید</t>
        </is>
      </c>
      <c r="B3" s="4" t="inlineStr">
        <is>
          <t>⚠️ زرد = مشروط یا سر مرز</t>
        </is>
      </c>
      <c r="C3" s="5" t="inlineStr">
        <is>
          <t>❌ قرمز = نمی‌شود</t>
        </is>
      </c>
      <c r="D3" s="6" t="inlineStr">
        <is>
          <t>سوئیس</t>
        </is>
      </c>
      <c r="E3" s="7" t="inlineStr">
        <is>
          <t>آلمان</t>
        </is>
      </c>
      <c r="F3" s="8" t="inlineStr">
        <is>
          <t>کانادا</t>
        </is>
      </c>
      <c r="G3" s="9" t="inlineStr">
        <is>
          <t>فنلاند</t>
        </is>
      </c>
      <c r="H3" s="10" t="inlineStr">
        <is>
          <t>انگلستان</t>
        </is>
      </c>
      <c r="I3" s="11" t="inlineStr">
        <is>
          <t>سوئد</t>
        </is>
      </c>
      <c r="J3" s="12" t="inlineStr">
        <is>
          <t>هلند</t>
        </is>
      </c>
      <c r="K3" s="13" t="inlineStr">
        <is>
          <t>دانمارک</t>
        </is>
      </c>
    </row>
    <row r="4">
      <c r="A4" s="14" t="inlineStr">
        <is>
          <t>الف) هشت کشور در یک نگاه — اول کشورهایی که با مدل «$40,000 = شهریه + زندگی تا کار» جا می‌شوند (سوئیس، آلمان، کانادا بدون کبک، فنلاند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کانادا (بدون کبک)</t>
        </is>
      </c>
      <c r="E5" s="19" t="inlineStr">
        <is>
          <t>فنلاند</t>
        </is>
      </c>
      <c r="F5" s="20" t="inlineStr">
        <is>
          <t>انگلستان</t>
        </is>
      </c>
      <c r="G5" s="21" t="inlineStr">
        <is>
          <t>سوئد</t>
        </is>
      </c>
      <c r="H5" s="22" t="inlineStr">
        <is>
          <t>هلند</t>
        </is>
      </c>
      <c r="I5" s="23" t="inlineStr">
        <is>
          <t>دانمارک</t>
        </is>
      </c>
    </row>
    <row r="6" outlineLevel="1">
      <c r="A6" s="24" t="inlineStr">
        <is>
          <t>طول دورهٔ ارشد</t>
        </is>
      </c>
      <c r="B6" s="25" t="inlineStr">
        <is>
          <t>۱.۵ یا ۲ سال</t>
        </is>
      </c>
      <c r="C6" s="26" t="inlineStr">
        <is>
          <t>۲ سال</t>
        </is>
      </c>
      <c r="D6" s="27" t="inlineStr">
        <is>
          <t>۲ سال (پایان‌نامه‌ای/درسی)
۱۶ ماه (Memorial MAI، Windsor MAC، Dal MACS، Ontario Tech MITS، Waterloo MDSAI، Toronto MScAC)</t>
        </is>
      </c>
      <c r="E6" s="28" t="inlineStr">
        <is>
          <t>۲ سال</t>
        </is>
      </c>
      <c r="F6" s="29" t="inlineStr">
        <is>
          <t>۱ سال</t>
        </is>
      </c>
      <c r="G6" s="30" t="inlineStr">
        <is>
          <t>۲ سال</t>
        </is>
      </c>
      <c r="H6" s="31" t="inlineStr">
        <is>
          <t>۲ سال</t>
        </is>
      </c>
      <c r="I6" s="32" t="inlineStr">
        <is>
          <t>۲ سال</t>
        </is>
      </c>
    </row>
    <row r="7" outlineLevel="1">
      <c r="A7" s="24" t="inlineStr">
        <is>
          <t>شهریهٔ هر سال</t>
        </is>
      </c>
      <c r="B7" s="33" t="inlineStr">
        <is>
          <t>$1,900–9,700
(Neuchâtel $1,900 · USI $9,700)</t>
        </is>
      </c>
      <c r="C7" s="34" t="inlineStr">
        <is>
          <t>$350–900
(Stuttgart $3,400)</t>
        </is>
      </c>
      <c r="D7" s="27" t="inlineStr">
        <is>
          <t>$3,400–9,000 پایان‌نامه‌ای
(Memorial $3,400 · UVic $5,800 · Manitoba $5,800 · Calgary $6,000 · Alberta $7,000 · Regina $7,000 · USask $9,000؛ فقط با فاندینگ: Dalhousie $13,700 · Ontario Tech $14,200 · Waterloo $16,300)
درسی: Memorial $5,500
Alberta $9,200
Carleton $18,800
Windsor $21,600
Dal MACS $25,400
Ontario Tech MITS $25,600
Waterloo MDSAI $29,800
Toronto $47,600</t>
        </is>
      </c>
      <c r="E7" s="35" t="inlineStr">
        <is>
          <t>$11,400–19,400
(Oulu $11,400 · Tampere/Turku $13,700 · Aalto $19,400)</t>
        </is>
      </c>
      <c r="F7" s="36" t="inlineStr">
        <is>
          <t>$39,900–61,000
(Exeter $39,900 · Newcastle ≈ $42,000 · York $43,600 · لندن $49,000–61,000)</t>
        </is>
      </c>
      <c r="G7" s="30" t="inlineStr">
        <is>
          <t>$14,100–16,800</t>
        </is>
      </c>
      <c r="H7" s="31" t="inlineStr">
        <is>
          <t>$22,500–24,700</t>
        </is>
      </c>
      <c r="I7" s="32" t="inlineStr">
        <is>
          <t>$17,000–19,700</t>
        </is>
      </c>
    </row>
    <row r="8" outlineLevel="1">
      <c r="A8" s="24" t="inlineStr">
        <is>
          <t>هزینهٔ زندگی هر ماه (با اجاره)</t>
        </is>
      </c>
      <c r="B8" s="25" t="inlineStr">
        <is>
          <t>$1,650–2,200
(زوریخ تا $3,000)</t>
        </is>
      </c>
      <c r="C8" s="26" t="inlineStr">
        <is>
          <t>$1,100–1,400</t>
        </is>
      </c>
      <c r="D8" s="37" t="inlineStr">
        <is>
          <t>$1,000–1,300
(Regina $950–1,150 · St. John's / Winnipeg / Saskatoon $1,000–1,250 · Edmonton / Calgary $1,050–1,400 · Halifax / Waterloo / Oshawa $1,150–1,400 · Ottawa / Victoria $1,300–1,600 · تورنتو $1,500–1,850)</t>
        </is>
      </c>
      <c r="E8" s="28" t="inlineStr">
        <is>
          <t>$850–1,150
(هلسینکی/اسپو تا $1,500)</t>
        </is>
      </c>
      <c r="F8" s="29" t="inlineStr">
        <is>
          <t>$1,250–1,900
(لندن تا $2,500)</t>
        </is>
      </c>
      <c r="G8" s="30" t="inlineStr">
        <is>
          <t>$1,100–1,300</t>
        </is>
      </c>
      <c r="H8" s="31" t="inlineStr">
        <is>
          <t>$1,250–1,700</t>
        </is>
      </c>
      <c r="I8" s="32" t="inlineStr">
        <is>
          <t>$1,200–1,500</t>
        </is>
      </c>
    </row>
    <row r="9" outlineLevel="1">
      <c r="A9" s="24" t="inlineStr">
        <is>
          <t>هزینهٔ سال اول (شهریه + ۱۲ ماه زندگی)</t>
        </is>
      </c>
      <c r="B9" s="25" t="inlineStr">
        <is>
          <t>$23,000–42,000</t>
        </is>
      </c>
      <c r="C9" s="26" t="inlineStr">
        <is>
          <t>$13,000–18,000</t>
        </is>
      </c>
      <c r="D9" s="27" t="inlineStr">
        <is>
          <t>$17,000–23,500 پایان‌نامه‌ای
(Memorial $17k · Manitoba $19k · Regina $19.7k · Alberta $21k · Calgary $21.5k · USask $22k · UVic $23.5k؛ Dalhousie $29k · Ontario Tech $29.6k · Waterloo $31.7k)</t>
        </is>
      </c>
      <c r="E9" s="28" t="inlineStr">
        <is>
          <t>$23,000–34,000</t>
        </is>
      </c>
      <c r="F9" s="36" t="inlineStr">
        <is>
          <t>$56,600–91,200
(Exeter/Newcastle/York $57–65k)</t>
        </is>
      </c>
      <c r="G9" s="30" t="inlineStr">
        <is>
          <t>$27,000–32,500</t>
        </is>
      </c>
      <c r="H9" s="31" t="inlineStr">
        <is>
          <t>$37,500–45,000</t>
        </is>
      </c>
      <c r="I9" s="32" t="inlineStr">
        <is>
          <t>$31,500–38,000</t>
        </is>
      </c>
    </row>
    <row r="10" outlineLevel="1">
      <c r="A10" s="38" t="inlineStr">
        <is>
          <t>★ کل هزینه تا گرفتن مدرک</t>
        </is>
      </c>
      <c r="B10" s="39" t="inlineStr">
        <is>
          <t>$35,000–84,000
(Neuchâtel/Fribourg $35–47k)</t>
        </is>
      </c>
      <c r="C10" s="40" t="inlineStr">
        <is>
          <t>$27,000–36,000
(Stuttgart تا $45,000)</t>
        </is>
      </c>
      <c r="D10" s="38" t="inlineStr">
        <is>
          <t>$34,000–47,000 پایان‌نامه‌ای بدون فاندینگ
(Memorial $34k · Manitoba $38k · Regina $39k · Alberta $42k · Calgary $43k · USask $44k · UVic $47k؛ با TA/RA معمول $10–30k؛ Dalhousie $58k · Ontario Tech $59k · Waterloo $63k فقط با فاندینگ)
درسی: Memorial $38–39k
Alberta $46k
Windsor $47k
Dal MACS $54k
Ontario Tech MITS $55k
Waterloo MDSAI $60k
Carleton $71k
Toronto $90k</t>
        </is>
      </c>
      <c r="E10" s="39" t="inlineStr">
        <is>
          <t>$46,000–68,000
(Oulu $46k · Tampere/Turku $52k)</t>
        </is>
      </c>
      <c r="F10" s="41" t="inlineStr">
        <is>
          <t>$56,600–91,200
(۱ سال)</t>
        </is>
      </c>
      <c r="G10" s="41" t="inlineStr">
        <is>
          <t>$54,000–65,000</t>
        </is>
      </c>
      <c r="H10" s="41" t="inlineStr">
        <is>
          <t>$75,000–90,000</t>
        </is>
      </c>
      <c r="I10" s="41" t="inlineStr">
        <is>
          <t>$63,000–76,000</t>
        </is>
      </c>
    </row>
    <row r="11" outlineLevel="1">
      <c r="A11" s="24" t="inlineStr">
        <is>
          <t>گام ۱: شهریهٔ کل + تمکن یک‌سال ≤ $40,000؟ (آنچه سفارت می‌بیند)
گام ۲: شهریه + n ماه زندگی واقعی، بعد کار با حداکثر ساعت مجاز</t>
        </is>
      </c>
      <c r="B11" s="42"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43" t="inlineStr">
        <is>
          <t>گام ۱ ✅ همه (حساب مسدود $13.6k: Stuttgart $21.3k، بقیه ≈ $15k).
گام ۲ ✅ شهریه + تمام ۲۴ ماه (Stuttgart ۲۳.۱)؛
کار ۲۰ ساعت × $16.6 ≈ $1,305 ≥ زندگی</t>
        </is>
      </c>
      <c r="D11" s="27" t="inlineStr">
        <is>
          <t>گام ۱ (تمکن $16,500 + شهریهٔ کل): MSc پایان‌نامه‌ای ارزان همه ✅ — Memorial $23.3k
UVic $28.1k
Manitoba $28.2k
Calgary $28.6k (با فاندینگ تضمینی $16.5k)
Regina $30.5k
Alberta $30.5k
USask $34.6k؛
درسی Memorial $27.5k / MAI $37.6k و Alberta $35k ✅؛
بدون نامهٔ فاندینگ ❌: Dalhousie $43.8k
Ontario Tech $44.9k
Windsor $45.3k
Waterloo $49.1k
Carleton $54–57k (پایان‌نامه‌ای‌ها با فاندینگ ✅)
Dal MACS / Ontario Tech MITS ≈ $50.5k
Waterloo MDSAI $56.3k
Toronto $80k ❌.
گام ۲ (بدون احتساب TA/RA): Memorial / Manitoba / Regina شهریه + تمام ۲۴ ماه ✅ حتی بدون کار
Calgary / Alberta / USask ۲۰–۲۲ ماه + ۲۴ ساعت × $10.6–11.1 ≈ زندگی ✅
UVic ⚠️ (ویکتوریا گران)
Memorial MAI تمام ۱۶ ماه ✅</t>
        </is>
      </c>
      <c r="E11" s="44" t="inlineStr">
        <is>
          <t>گام ۱ (تمکن $10,900 در حساب خودتان، هر بانکی): Oulu $33.7k ✅، Tampere/Turku $38.3k ✅، LUT $45.1k ❌ (با بورس $5.7k ≈ $39.4k)، Helsinki $45.1k / Aalto $49.7k ❌.
گام ۲ ✅ روی کاغذ: Tampere شهریه $27.4k + ۱۲.۳ ماه، Oulu $22.8k + ۱۷.۸ ماه؛
بعد ۳۰ ساعت × $14.2 ≈ $1,590 ≥ زندگی؛
عملاً ⚠️ بدون فنلاندی ۱۵–۲۰ ساعت (باز هم کافی)</t>
        </is>
      </c>
      <c r="F11" s="45" t="inlineStr">
        <is>
          <t>گام ۱ ❌ همهٔ Russell Group: Exeter $54.2k (کمترین کسری $14.2k)، Newcastle ≈ $56.3k، York $57.9k، Liverpool $59.4k، Sheffield/Durham/Leeds $60k، QMUL لندن $67.7k، Imperial $79.7k. گام ۲ ❌ شهریه به‌تنهایی $39.9–61k → صفر ماه زندگی؛
فقط با بورس (Exeter Excellence $13k → ⚠️ $41k؛ Spärck / VC Excellence ۵۰٪ / Chevening ✅)</t>
        </is>
      </c>
      <c r="G11" s="46" t="inlineStr">
        <is>
          <t>گام ۱: BTH $39k ✅، MDU $38k ✅، LiU $44.3k ❌ (تمکن $10,800 در حساب خودتان).
گام ۲ ⚠️ روی کاغذ صفر کسری با ۲۰ ساعت × $15، عملاً کار انگلیسی‌زبان نایاب → فقط با بورس</t>
        </is>
      </c>
      <c r="H11" s="47" t="inlineStr">
        <is>
          <t>❌ گام ۱: Twente $65k، Radboud $60k، UvA $54.6k (شهریه + $15,500)</t>
        </is>
      </c>
      <c r="I11" s="48" t="inlineStr">
        <is>
          <t>گام ۱ روی کاغذ ✅ (با پرداخت شهریه از تمکن معاف)؛
گام ۲ ❌ AAU ۳.۸ ماه؛
+ ویزا از تهران</t>
        </is>
      </c>
    </row>
    <row r="12" outlineLevel="1">
      <c r="A12" s="24" t="inlineStr">
        <is>
          <t>شانس پذیرش با معدل ۱۵.۷۷</t>
        </is>
      </c>
      <c r="B12" s="42" t="inlineStr">
        <is>
          <t>متوسط
(USI/HSLU/Joint MSc Target؛ ETH/EPFL/UZH بعید)</t>
        </is>
      </c>
      <c r="C12" s="43" t="inlineStr">
        <is>
          <t>متوسط تا خوب
(Passau/Saarland/Chemnitz راحت؛ Stuttgart/Darmstadt Target)</t>
        </is>
      </c>
      <c r="D12" s="27" t="inlineStr">
        <is>
          <t>متوسط
(پایان‌نامه‌ای‌ها = استاد راهنما؛ Manitoba کف رسمی ۱۵/۲۰ دو سال آخر ✓ (شما ۱۶.۹۲)؛ Alberta / Calgary / UVic Target/Reach؛ Memorial / USask / Regina / Dalhousie / Ontario Tech Target؛ Windsor Safe؛ Waterloo / Toronto Reach؛ UBC / SFU بسته: ۱۶/۲۰ کل دوره)</t>
        </is>
      </c>
      <c r="E12" s="44" t="inlineStr">
        <is>
          <t>متوسط
(Tampere/Oulu/Turku Target؛ Aalto/Helsinki Reach)</t>
        </is>
      </c>
      <c r="F12" s="45" t="inlineStr">
        <is>
          <t>متوسط تا خوب
(Liverpool 2:2، York 2:2 = ۱۳/۲۰ و Sheffield 2:1 = ۱۴/۲۰ راحت‌تر؛ Manchester/Warwick/Bristol Reach؛ KCL ۱۷/۲۰ و Imperial بعید)</t>
        </is>
      </c>
      <c r="G12" s="30" t="inlineStr">
        <is>
          <t>خوب
(BTH/Halmstad راحت؛ LiU Target)</t>
        </is>
      </c>
      <c r="H12" s="31" t="inlineStr">
        <is>
          <t>متوسط
(Twente/Radboud Target)</t>
        </is>
      </c>
      <c r="I12" s="32" t="inlineStr">
        <is>
          <t>متوسط
(AAU/SDU Target)</t>
        </is>
      </c>
    </row>
    <row r="13" outlineLevel="1">
      <c r="A13" s="24" t="inlineStr">
        <is>
          <t>بورسی که واقعاً می‌گیرید</t>
        </is>
      </c>
      <c r="B13" s="49" t="inlineStr">
        <is>
          <t>USI $4,850 (مرزی)
بقیه هیچ</t>
        </is>
      </c>
      <c r="C13" s="43" t="inlineStr">
        <is>
          <t>تقریباً هیچ
(Deutschlandstipendium $340/ماه، رقابتی)</t>
        </is>
      </c>
      <c r="D13" s="37" t="inlineStr">
        <is>
          <t>TA/RA به‌جای بورس: Calgary حداقل تضمینی $17,900/سال
Alberta «بیشتر پایان‌نامه‌ای‌ها»
بقیه بسته به استاد ($11–18k)
(درسی‌ها: هیچ؛ MScAC کارآموزی ۸ ماههٔ با حقوق)</t>
        </is>
      </c>
      <c r="E13" s="35" t="inlineStr">
        <is>
          <t>Turku ۵۰٪ سال دوم برای همه با ۵۵ واحد + Early-bird $2,280
Oulu ۳۰٪ سال دوم
(Tampere ۵۰٪ کل دوره، گزینشی)</t>
        </is>
      </c>
      <c r="F13" s="45" t="inlineStr">
        <is>
          <t>تقریباً هیچ خودکار
(Newcastle VC $10,600 اگر ایران در فهرست ۲۰۲۷ باشد · Exeter Excellence تا $13,300 رقابتی · Spärck ۱۱ بورس کامل · Chevening تا ۶ اکتبر ۲۰۲۶ با تعهد بازگشت)</t>
        </is>
      </c>
      <c r="G13" s="50" t="inlineStr">
        <is>
          <t>Halmstad ۲۵–۵۰٪
MDU تا ۱۰۰٪
(LiU ۵۰٪ فقط با معدل بالاتر)</t>
        </is>
      </c>
      <c r="H13" s="51" t="inlineStr">
        <is>
          <t>NL Scholarship $5,700 (یک‌بار)</t>
        </is>
      </c>
      <c r="I13" s="32" t="inlineStr">
        <is>
          <t>≈ ۱۵ بورس AAU (بعید)</t>
        </is>
      </c>
    </row>
    <row r="14" outlineLevel="1">
      <c r="A14" s="24" t="inlineStr">
        <is>
          <t>کار دانشجویی (درآمد ماهانه)</t>
        </is>
      </c>
      <c r="B14" s="25" t="inlineStr">
        <is>
          <t>۶ ماه اول: صفر
بعد $1,550–2,200</t>
        </is>
      </c>
      <c r="C14" s="26" t="inlineStr">
        <is>
          <t>$1,150–1,800
(۲۰ ساعت؛ کار فنی فراوان)</t>
        </is>
      </c>
      <c r="D14" s="27" t="inlineStr">
        <is>
          <t>تا $1,010–1,230
(۲۴ ساعت × $10.6–12.9؛ تابستان تمام‌وقت؛ TA/RA جدا)</t>
        </is>
      </c>
      <c r="E14" s="28" t="inlineStr">
        <is>
          <t>تا $1,590
(۳۰ ساعت؛ بدون فنلاندی کمیاب)</t>
        </is>
      </c>
      <c r="F14" s="29" t="inlineStr">
        <is>
          <t>تا $1,450
(۲۰ ساعت)</t>
        </is>
      </c>
      <c r="G14" s="30" t="inlineStr">
        <is>
          <t>$350–900
(۱۵ ساعت؛ کمیاب)</t>
        </is>
      </c>
      <c r="H14" s="31" t="inlineStr">
        <is>
          <t>تا $1,150
(۱۶ ساعت؛ مجوز TWV)</t>
        </is>
      </c>
      <c r="I14" s="32" t="inlineStr">
        <is>
          <t>$1,200–1,850
(اگر پیدا شود)</t>
        </is>
      </c>
    </row>
    <row r="15" outlineLevel="1">
      <c r="A15" s="24" t="inlineStr">
        <is>
          <t>تحصیل + کار + زندگی فقط با انگلیسی (از ۱۰)</t>
        </is>
      </c>
      <c r="B15" s="25" t="inlineStr">
        <is>
          <t>۶</t>
        </is>
      </c>
      <c r="C15" s="26" t="inlineStr">
        <is>
          <t>۴</t>
        </is>
      </c>
      <c r="D15" s="52" t="inlineStr">
        <is>
          <t>۱۰</t>
        </is>
      </c>
      <c r="E15" s="28" t="inlineStr">
        <is>
          <t>۸</t>
        </is>
      </c>
      <c r="F15" s="29" t="inlineStr">
        <is>
          <t>۱۰</t>
        </is>
      </c>
      <c r="G15" s="30" t="inlineStr">
        <is>
          <t>۸</t>
        </is>
      </c>
      <c r="H15" s="31" t="inlineStr">
        <is>
          <t>۸</t>
        </is>
      </c>
      <c r="I15" s="32" t="inlineStr">
        <is>
          <t>۶</t>
        </is>
      </c>
    </row>
    <row r="16" outlineLevel="1">
      <c r="A16" s="24" t="inlineStr">
        <is>
          <t>اجازهٔ ماندن برای کاریابی بعد از مدرک</t>
        </is>
      </c>
      <c r="B16" s="25" t="inlineStr">
        <is>
          <t>۶ ماه ⚠️</t>
        </is>
      </c>
      <c r="C16" s="26" t="inlineStr">
        <is>
          <t>۱۸ ماه</t>
        </is>
      </c>
      <c r="D16" s="52" t="inlineStr">
        <is>
          <t>۳ سال (PGWP، اجازهٔ کار باز)</t>
        </is>
      </c>
      <c r="E16" s="28" t="inlineStr">
        <is>
          <t>۲ سال</t>
        </is>
      </c>
      <c r="F16" s="29" t="inlineStr">
        <is>
          <t>۱۸ ماه</t>
        </is>
      </c>
      <c r="G16" s="30" t="inlineStr">
        <is>
          <t>۱۲ ماه</t>
        </is>
      </c>
      <c r="H16" s="31" t="inlineStr">
        <is>
          <t>۱۲ ماه</t>
        </is>
      </c>
      <c r="I16" s="32" t="inlineStr">
        <is>
          <t>۳ سال</t>
        </is>
      </c>
    </row>
    <row r="17" outlineLevel="1">
      <c r="A17" s="24" t="inlineStr">
        <is>
          <t>حقوق شروع برنامه‌نویس (ناخالص سالانه)</t>
        </is>
      </c>
      <c r="B17" s="25" t="inlineStr">
        <is>
          <t>$103,000–127,000</t>
        </is>
      </c>
      <c r="C17" s="26" t="inlineStr">
        <is>
          <t>$55,000–63,000</t>
        </is>
      </c>
      <c r="D17" s="37" t="inlineStr">
        <is>
          <t>$38,000–51,000
($38–51k؛ تورنتو / کلگری بالاتر، آتلانتیک پایین‌تر)</t>
        </is>
      </c>
      <c r="E17" s="28" t="inlineStr">
        <is>
          <t>$35,000–49,000
(میانه ≈ $43k)</t>
        </is>
      </c>
      <c r="F17" s="29" t="inlineStr">
        <is>
          <t>$37,000–46,000
(لندن $42–60k)</t>
        </is>
      </c>
      <c r="G17" s="30" t="inlineStr">
        <is>
          <t>$42,000–55,000</t>
        </is>
      </c>
      <c r="H17" s="31" t="inlineStr">
        <is>
          <t>$46,000–57,000</t>
        </is>
      </c>
      <c r="I17" s="32" t="inlineStr">
        <is>
          <t>$76,000–82,000</t>
        </is>
      </c>
    </row>
    <row r="18" outlineLevel="1">
      <c r="A18" s="24" t="inlineStr">
        <is>
          <t>خالص ماهانه بعد از مالیات</t>
        </is>
      </c>
      <c r="B18" s="42" t="inlineStr">
        <is>
          <t>$6,900–8,100
(منهای بیمهٔ درمانی $420–540)</t>
        </is>
      </c>
      <c r="C18" s="26" t="inlineStr">
        <is>
          <t>$3,100–3,400</t>
        </is>
      </c>
      <c r="D18" s="52" t="inlineStr">
        <is>
          <t>$2,550–3,250</t>
        </is>
      </c>
      <c r="E18" s="28" t="inlineStr">
        <is>
          <t>$2,300–3,050</t>
        </is>
      </c>
      <c r="F18" s="29" t="inlineStr">
        <is>
          <t>$2,650–3,300</t>
        </is>
      </c>
      <c r="G18" s="30" t="inlineStr">
        <is>
          <t>$2,850–3,300</t>
        </is>
      </c>
      <c r="H18" s="31" t="inlineStr">
        <is>
          <t>$3,100–3,550</t>
        </is>
      </c>
      <c r="I18" s="32" t="inlineStr">
        <is>
          <t>$3,750–4,200</t>
        </is>
      </c>
    </row>
    <row r="19" outlineLevel="1">
      <c r="A19" s="24" t="inlineStr">
        <is>
          <t>پس‌انداز ماهانه (شاغل، مجرد)</t>
        </is>
      </c>
      <c r="B19" s="25" t="inlineStr">
        <is>
          <t>$1,800–3,600</t>
        </is>
      </c>
      <c r="C19" s="26" t="inlineStr">
        <is>
          <t>$1,150–1,700</t>
        </is>
      </c>
      <c r="D19" s="52" t="inlineStr">
        <is>
          <t>$700–1,600
(پریری بیشتر، تورنتو کمتر)</t>
        </is>
      </c>
      <c r="E19" s="28" t="inlineStr">
        <is>
          <t>$450–1,250</t>
        </is>
      </c>
      <c r="F19" s="29" t="inlineStr">
        <is>
          <t>$530–1,200</t>
        </is>
      </c>
      <c r="G19" s="30" t="inlineStr">
        <is>
          <t>$1,050–1,600</t>
        </is>
      </c>
      <c r="H19" s="31" t="inlineStr">
        <is>
          <t>$800–1,350</t>
        </is>
      </c>
      <c r="I19" s="32" t="inlineStr">
        <is>
          <t>$1,250–1,800</t>
        </is>
      </c>
    </row>
    <row r="20" outlineLevel="1">
      <c r="A20" s="24" t="inlineStr">
        <is>
          <t>کار پیدا کردن برای جونیورِ فقط‌انگلیسی (از ۱۰؛ حقوق جدا حساب شده)</t>
        </is>
      </c>
      <c r="B20" s="25" t="inlineStr">
        <is>
          <t>۵</t>
        </is>
      </c>
      <c r="C20" s="26" t="inlineStr">
        <is>
          <t>۶</t>
        </is>
      </c>
      <c r="D20" s="52" t="inlineStr">
        <is>
          <t>۶</t>
        </is>
      </c>
      <c r="E20" s="28" t="inlineStr">
        <is>
          <t>۴</t>
        </is>
      </c>
      <c r="F20" s="29" t="inlineStr">
        <is>
          <t>۵</t>
        </is>
      </c>
      <c r="G20" s="30" t="inlineStr">
        <is>
          <t>۴</t>
        </is>
      </c>
      <c r="H20" s="31" t="inlineStr">
        <is>
          <t>۸</t>
        </is>
      </c>
      <c r="I20" s="32" t="inlineStr">
        <is>
          <t>۵</t>
        </is>
      </c>
    </row>
    <row r="21" outlineLevel="1">
      <c r="A21" s="24" t="inlineStr">
        <is>
          <t>ویزا از تهران (وضعیت سپتامبر ۲۰۲۶)</t>
        </is>
      </c>
      <c r="B21" s="25" t="inlineStr">
        <is>
          <t>ممکن (سفارت باز؛ ویزای D با نوبت)</t>
        </is>
      </c>
      <c r="C21" s="26" t="inlineStr">
        <is>
          <t>سخت (سفارت فقط موارد اضطراری)</t>
        </is>
      </c>
      <c r="D21" s="27" t="inlineStr">
        <is>
          <t>ممکن ولی کند (بدون سفارت در تهران؛ آنکارا؛ بیومتریک / پزشکی در ترکیه / امارات / ارمنستان؛ ۲۰–۳۰+ هفته)</t>
        </is>
      </c>
      <c r="E21" s="44" t="inlineStr">
        <is>
          <t>ممکن (Enter Finland + VFS تهران، اولویت دانشجویان)</t>
        </is>
      </c>
      <c r="F21" s="29" t="inlineStr">
        <is>
          <t>متغیر (VAC تهران)</t>
        </is>
      </c>
      <c r="G21" s="30" t="inlineStr">
        <is>
          <t>ممکن (آنلاین، بدون بیومتریک)</t>
        </is>
      </c>
      <c r="H21" s="31" t="inlineStr">
        <is>
          <t>سخت (از باکو)</t>
        </is>
      </c>
      <c r="I21" s="32" t="inlineStr">
        <is>
          <t>تقریباً غیرممکن</t>
        </is>
      </c>
    </row>
    <row r="22" outlineLevel="1">
      <c r="A22" s="38" t="inlineStr">
        <is>
          <t>★ امتیاز با وزن‌های شما (از ۱۰۰)
کار ۲۸.۳ = حقوق ۲۸.۳ = انگلیسی ۲۸.۳ / هزینه ۱۵</t>
        </is>
      </c>
      <c r="B22" s="41" t="inlineStr">
        <is>
          <t>۶۷
(۵ / ۱۰ / ۶ / ۵)</t>
        </is>
      </c>
      <c r="C22" s="41" t="inlineStr">
        <is>
          <t>۶۰.۳
(۶ / ۶ / ۴ / ۱۰)</t>
        </is>
      </c>
      <c r="D22" s="41" t="inlineStr">
        <is>
          <t>۶۵.۷
(۶ / ۴ / ۱۰ / ۶)</t>
        </is>
      </c>
      <c r="E22" s="41" t="inlineStr">
        <is>
          <t>۵۸.۷
(۴ / ۵ / ۸ / ۷)</t>
        </is>
      </c>
      <c r="F22" s="41" t="inlineStr">
        <is>
          <t>۵۵.۵
(۵ / ۳ / ۱۰ / ۳)</t>
        </is>
      </c>
      <c r="G22" s="41" t="inlineStr">
        <is>
          <t>۵۷.۲
(۴ / ۵ / ۸ / ۶)</t>
        </is>
      </c>
      <c r="H22" s="41" t="inlineStr">
        <is>
          <t>۶۲.۵
(۸ / ۵ / ۸ / ۲)</t>
        </is>
      </c>
      <c r="I22" s="41" t="inlineStr">
        <is>
          <t>۵۷
(۵ / ۷ / ۶ / ۴)</t>
        </is>
      </c>
    </row>
    <row r="23" outlineLevel="1">
      <c r="A23" s="24" t="inlineStr">
        <is>
          <t>امتیاز قدیمی با وزن برابر (از ۳۰: هزینه / انگلیسی / بازار)</t>
        </is>
      </c>
      <c r="B23" s="25" t="inlineStr">
        <is>
          <t>۱۸</t>
        </is>
      </c>
      <c r="C23" s="26" t="inlineStr">
        <is>
          <t>۲۲</t>
        </is>
      </c>
      <c r="D23" s="52" t="inlineStr">
        <is>
          <t>۲۱</t>
        </is>
      </c>
      <c r="E23" s="28" t="inlineStr">
        <is>
          <t>۱۸</t>
        </is>
      </c>
      <c r="F23" s="29" t="inlineStr">
        <is>
          <t>۱۷</t>
        </is>
      </c>
      <c r="G23" s="30" t="inlineStr">
        <is>
          <t>۱۹</t>
        </is>
      </c>
      <c r="H23" s="31" t="inlineStr">
        <is>
          <t>۱۸</t>
        </is>
      </c>
      <c r="I23" s="32" t="inlineStr">
        <is>
          <t>۱۶</t>
        </is>
      </c>
    </row>
    <row r="24" outlineLevel="1">
      <c r="A24" s="24" t="inlineStr">
        <is>
          <t>حکم در یک جمله</t>
        </is>
      </c>
      <c r="B24" s="42" t="inlineStr">
        <is>
          <t>اول در امتیاز (حقوق ۱۰/۱۰) — Neuchâtel / Fribourg / Basel / HSLU گام ۱ ✅؛
۶ ماه بی‌درآمد، پول به نام خودتان در بانک سوئیسی، ۶ ماه بعد از مدرک = ریسک</t>
        </is>
      </c>
      <c r="C24" s="43" t="inlineStr">
        <is>
          <t>امن‌ترین — هر دو گام ✅ با فاصله؛
Werkstudent (۲۰ ساعت، $16.6+) هم پول است هم راه استخدام؛
بهایش آلمانی B1</t>
        </is>
      </c>
      <c r="D24" s="27" t="inlineStr">
        <is>
          <t>تنها کشور ۱۰۰٪ انگلیسی که MSc پایان‌نامه‌ایِ ارزانش هر دو گام را با فاصله رد می‌کند (Memorial / Manitoba / Regina حتی بدون کار) و PGWP ۳ ساله + PR بدون زبان دوم دارد؛
بهایش: وابستگی به استاد راهنما، ویزای کند از ایران (برنامهٔ B: ژانویه ۲۰۲۸)، بازار جونیور ۲۰۲۶ اشباع و حقوق شروع کمتر از سوئیس / آلمان</t>
        </is>
      </c>
      <c r="E24" s="44" t="inlineStr">
        <is>
          <t>پشتوانهٔ ارزانِ ۱۰۰٪ انگلیسی: Oulu/Tampere/Turku هر دو گام ✅ روی کاغذ (۳۰ ساعت کار، تمکن فقط $10,900)، ۲ سال کاریابی، PR با مدرک فنلاندی + A2 بدون شرط سال؛
ولی بیکاری ۹٪ و بازار جونیورِ فقط‌انگلیسی کوچک → بیمهٔ سه گزینهٔ اول، نه جایگزین</t>
        </is>
      </c>
      <c r="F24" s="45" t="inlineStr">
        <is>
          <t>با شرط Russell Group هیچ برنامه‌ای در $40k جا نمی‌شود (کمترین کسری Exeter $14.2k) — فقط با بورس بزرگ یا Chevening؛
۱۰۰٪ انگلیسی، ولی بازار جونیور و حقوق ضعیف‌ترین</t>
        </is>
      </c>
      <c r="G24" s="50" t="inlineStr">
        <is>
          <t>BTH/MDU گام ۱ را رد می‌کنند ولی بدون سوئدی کار پیدا نمی‌شود → فقط با بورس</t>
        </is>
      </c>
      <c r="H24" s="47" t="inlineStr">
        <is>
          <t>❌ شهریه + تمکن $55–65k؛ فقط با بورس Reach</t>
        </is>
      </c>
      <c r="I24" s="53"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کانادا (بدون کبک)</t>
        </is>
      </c>
      <c r="F27" s="19" t="inlineStr">
        <is>
          <t>فنلاند</t>
        </is>
      </c>
      <c r="G27" s="20" t="inlineStr">
        <is>
          <t>انگلستان</t>
        </is>
      </c>
      <c r="H27" s="21" t="inlineStr">
        <is>
          <t>سوئد</t>
        </is>
      </c>
      <c r="I27" s="22" t="inlineStr">
        <is>
          <t>هلند</t>
        </is>
      </c>
      <c r="J27" s="23" t="inlineStr">
        <is>
          <t>دانمارک</t>
        </is>
      </c>
    </row>
    <row r="28" outlineLevel="1">
      <c r="A28" s="24" t="inlineStr">
        <is>
          <t>کار پیدا کردن برای جونیورِ فقط‌انگلیسی (بازار + مدت اقامت کاریابی + دست‌یافتنی بودن کف اسپانسری)</t>
        </is>
      </c>
      <c r="B28" s="54" t="n">
        <v>28.33333333333333</v>
      </c>
      <c r="C28" s="25" t="n">
        <v>5</v>
      </c>
      <c r="D28" s="26" t="n">
        <v>6</v>
      </c>
      <c r="E28" s="52" t="n">
        <v>6</v>
      </c>
      <c r="F28" s="28" t="n">
        <v>4</v>
      </c>
      <c r="G28" s="29" t="n">
        <v>5</v>
      </c>
      <c r="H28" s="30" t="n">
        <v>4</v>
      </c>
      <c r="I28" s="31" t="n">
        <v>8</v>
      </c>
      <c r="J28" s="32" t="n">
        <v>5</v>
      </c>
    </row>
    <row r="29" outlineLevel="1">
      <c r="A29" s="24" t="inlineStr">
        <is>
          <t>حقوق (ناخالص شروع، خالص ماهانه، پس‌انداز)</t>
        </is>
      </c>
      <c r="B29" s="54" t="n">
        <v>28.33333333333333</v>
      </c>
      <c r="C29" s="25" t="n">
        <v>10</v>
      </c>
      <c r="D29" s="26" t="n">
        <v>6</v>
      </c>
      <c r="E29" s="52" t="n">
        <v>4</v>
      </c>
      <c r="F29" s="28" t="n">
        <v>5</v>
      </c>
      <c r="G29" s="29" t="n">
        <v>3</v>
      </c>
      <c r="H29" s="30" t="n">
        <v>5</v>
      </c>
      <c r="I29" s="31" t="n">
        <v>5</v>
      </c>
      <c r="J29" s="32" t="n">
        <v>7</v>
      </c>
    </row>
    <row r="30" outlineLevel="1">
      <c r="A30" s="24" t="inlineStr">
        <is>
          <t>فقط انگلیسی (تحصیل، کار، زندگی روزمره، اقامت)</t>
        </is>
      </c>
      <c r="B30" s="54" t="n">
        <v>28.33333333333333</v>
      </c>
      <c r="C30" s="25" t="n">
        <v>6</v>
      </c>
      <c r="D30" s="26" t="n">
        <v>4</v>
      </c>
      <c r="E30" s="52" t="n">
        <v>10</v>
      </c>
      <c r="F30" s="28" t="n">
        <v>8</v>
      </c>
      <c r="G30" s="29" t="n">
        <v>10</v>
      </c>
      <c r="H30" s="30" t="n">
        <v>8</v>
      </c>
      <c r="I30" s="31" t="n">
        <v>8</v>
      </c>
      <c r="J30" s="32" t="n">
        <v>6</v>
      </c>
    </row>
    <row r="31" outlineLevel="1">
      <c r="A31" s="24" t="inlineStr">
        <is>
          <t>هزینهٔ کل تا مدرک</t>
        </is>
      </c>
      <c r="B31" s="54" t="n">
        <v>15</v>
      </c>
      <c r="C31" s="25" t="n">
        <v>5</v>
      </c>
      <c r="D31" s="26" t="n">
        <v>10</v>
      </c>
      <c r="E31" s="52" t="n">
        <v>6</v>
      </c>
      <c r="F31" s="28" t="n">
        <v>7</v>
      </c>
      <c r="G31" s="29" t="n">
        <v>3</v>
      </c>
      <c r="H31" s="30" t="n">
        <v>6</v>
      </c>
      <c r="I31" s="31" t="n">
        <v>2</v>
      </c>
      <c r="J31" s="32" t="n">
        <v>4</v>
      </c>
    </row>
    <row r="32" outlineLevel="1">
      <c r="A32" s="38" t="inlineStr">
        <is>
          <t>★ امتیاز با وزن‌های بالا (از ۱۰۰) — فرمول</t>
        </is>
      </c>
      <c r="B32" s="55">
        <f>SUM(B28:B31)</f>
        <v/>
      </c>
      <c r="C32" s="39">
        <f>ROUND(SUMPRODUCT($B$28:$B$31,C28:C31)/SUM($B$28:$B$31)*10,1)</f>
        <v/>
      </c>
      <c r="D32" s="39">
        <f>ROUND(SUMPRODUCT($B$28:$B$31,D28:D31)/SUM($B$28:$B$31)*10,1)</f>
        <v/>
      </c>
      <c r="E32" s="39">
        <f>ROUND(SUMPRODUCT($B$28:$B$31,E28:E31)/SUM($B$28:$B$31)*10,1)</f>
        <v/>
      </c>
      <c r="F32" s="39">
        <f>ROUND(SUMPRODUCT($B$28:$B$31,F28:F31)/SUM($B$28:$B$31)*10,1)</f>
        <v/>
      </c>
      <c r="G32" s="39">
        <f>ROUND(SUMPRODUCT($B$28:$B$31,G28:G31)/SUM($B$28:$B$31)*10,1)</f>
        <v/>
      </c>
      <c r="H32" s="39">
        <f>ROUND(SUMPRODUCT($B$28:$B$31,H28:H31)/SUM($B$28:$B$31)*10,1)</f>
        <v/>
      </c>
      <c r="I32" s="39">
        <f>ROUND(SUMPRODUCT($B$28:$B$31,I28:I31)/SUM($B$28:$B$31)*10,1)</f>
        <v/>
      </c>
      <c r="J32" s="39">
        <f>ROUND(SUMPRODUCT($B$28:$B$31,J28:J31)/SUM($B$28:$B$31)*10,1)</f>
        <v/>
      </c>
    </row>
    <row r="33" outlineLevel="1">
      <c r="A33" s="38" t="inlineStr">
        <is>
          <t>همان امتیاز، حساب‌شده با وزن‌های پیش‌فرض (اگر نرم‌افزار فرمول را نشان نداد)</t>
        </is>
      </c>
      <c r="B33" s="56" t="n">
        <v>100</v>
      </c>
      <c r="C33" s="41" t="n">
        <v>67</v>
      </c>
      <c r="D33" s="41" t="n">
        <v>60.3</v>
      </c>
      <c r="E33" s="41" t="n">
        <v>65.7</v>
      </c>
      <c r="F33" s="41" t="n">
        <v>58.7</v>
      </c>
      <c r="G33" s="41" t="n">
        <v>55.5</v>
      </c>
      <c r="H33" s="41" t="n">
        <v>57.2</v>
      </c>
      <c r="I33" s="41" t="n">
        <v>62.5</v>
      </c>
      <c r="J33" s="41" t="n">
        <v>57</v>
      </c>
    </row>
    <row r="34" outlineLevel="1">
      <c r="A34" s="24" t="inlineStr">
        <is>
          <t>رتبه با وزن‌های پیش‌فرض</t>
        </is>
      </c>
      <c r="B34" s="57" t="inlineStr"/>
      <c r="C34" s="25" t="n">
        <v>1</v>
      </c>
      <c r="D34" s="26" t="n">
        <v>4</v>
      </c>
      <c r="E34" s="52" t="n">
        <v>2</v>
      </c>
      <c r="F34" s="28" t="n">
        <v>5</v>
      </c>
      <c r="G34" s="29" t="n">
        <v>8</v>
      </c>
      <c r="H34" s="30" t="n">
        <v>6</v>
      </c>
      <c r="I34" s="31" t="n">
        <v>3</v>
      </c>
      <c r="J34" s="32" t="n">
        <v>7</v>
      </c>
    </row>
    <row r="35" outlineLevel="1">
      <c r="A35" s="24" t="inlineStr">
        <is>
          <t>امتیاز قدیمی با وزن برابر (از ۳۰)</t>
        </is>
      </c>
      <c r="B35" s="57" t="inlineStr"/>
      <c r="C35" s="25" t="n">
        <v>18</v>
      </c>
      <c r="D35" s="26" t="n">
        <v>22</v>
      </c>
      <c r="E35" s="52" t="n">
        <v>21</v>
      </c>
      <c r="F35" s="28" t="n">
        <v>18</v>
      </c>
      <c r="G35" s="29" t="n">
        <v>17</v>
      </c>
      <c r="H35" s="30" t="n">
        <v>19</v>
      </c>
      <c r="I35" s="31" t="n">
        <v>18</v>
      </c>
      <c r="J35" s="32" t="n">
        <v>16</v>
      </c>
    </row>
    <row r="36" outlineLevel="1">
      <c r="A36" s="24" t="inlineStr">
        <is>
          <t>گام ۱ (شهریه + تمکن یک‌سال) و گام ۲ (زندگی واقعی + کار)؟</t>
        </is>
      </c>
      <c r="B36" s="57" t="inlineStr"/>
      <c r="C36" s="42" t="inlineStr">
        <is>
          <t>گام ۱ ✅ (جز USI)؛
گام ۲ ⚠️ ۶ ماه بدون کار؛
HSLU با کار تعطیلات</t>
        </is>
      </c>
      <c r="D36" s="58" t="inlineStr">
        <is>
          <t>✅ ✅ حتی بدون کار</t>
        </is>
      </c>
      <c r="E36" s="59" t="inlineStr">
        <is>
          <t>✅ ✅ MSc پایان‌نامه‌ای Memorial/Manitoba/USask/Alberta/Calgary (بدون احتساب TA/RA)؛
UVic گام ۲ ⚠️؛
Windsor/Carleton/Toronto گام ۱ ❌</t>
        </is>
      </c>
      <c r="F36" s="44" t="inlineStr">
        <is>
          <t>گام ۱ Oulu/Tampere/Turku ✅ (LUT/Aalto/Helsinki ❌)؛
گام ۲ ✅ روی کاغذ با ۳۰ ساعت، عملاً ⚠️ بدون فنلاندی</t>
        </is>
      </c>
      <c r="G36" s="47" t="inlineStr">
        <is>
          <t>❌ گام ۱ همهٔ Russell Group (Exeter $14.2k کسری)؛
فقط با بورس/Chevening</t>
        </is>
      </c>
      <c r="H36" s="30" t="inlineStr">
        <is>
          <t>گام ۱ BTH/MDU ✅؛ گام ۲ ⚠️ فقط با بورس</t>
        </is>
      </c>
      <c r="I36" s="53" t="inlineStr">
        <is>
          <t>❌ گام ۱</t>
        </is>
      </c>
      <c r="J36" s="53" t="inlineStr">
        <is>
          <t>❌ گام ۲ + ویزا</t>
        </is>
      </c>
    </row>
    <row r="37" outlineLevel="1" ht="236" customHeight="1">
      <c r="A37" s="60"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فنلاند ۴ (بیکاری ۹.۱٪ و بازار جونیور ضعیف، ولی ۲ سال مجوز کاریابی و کف اسپانسری = توافق جمعی/$1,820 که جونیور می‌گیرد؛ هلسینکی برای بازی‌سازی انگلیسی‌زبان)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کانادا (بدون کبک) ۶ (۱۰۰٪ انگلیسی، PGWP ۳ ساله = طولانی‌ترین فرصت کاریابی جدول، بدون کف حقوقی، PR بدون زبان دوم و سابقهٔ کار شما هم امتیاز دارد؛ ولی بیکاری ۶.۴٪ / جوانان ۱۲.۹٪ و بازار جونیور تک ۲۰۲۵–۲۶ اشباع، به‌ویژه تورنتو/ونکوور — هم‌سطح آلمان، پایین‌تر از هلند).
حقوق: سوئیس ۱۰ ($103–127k) · دانمارک ۷ ($76–82k) · آلمان ۶ ($55–63k) · هلند ۵ ($46–57k) · سوئد ۵ ($42–55k) · فنلاند ۵ ($35–49k، میانه $43k) · کانادا ۴ ($38–51k؛ بین انگلستان و هلند/سوئد) · انگلستان ۳ ($37–46k).
کانادا هزینه ۶: پایان‌نامه‌ای‌ها هم‌سطح آلمان/سوئیس ارزان ($34–47k بدون فاندینگ، عملاً کمتر) ولی درسی‌ها و تورنتو گران؛
کانادا انگلیسی ۱۰ = انگلستان.
انگلیسی و هزینه: همان ردیف ۲۸ جدول اصلی (هزینه نسبی است؛ بودجهٔ جدید فقط ردیف «جور درمی‌آید؟» را عوض می‌کند).
انگلستان از نسخهٔ ۳.۱۱ فقط Russell Group است: هزینه ۵ → ۳ (شهریه $40–61k، کل دوره $57–91k ≈ دانمارک/هلند) و امتیاز ۵۸.۵ → ۵۵.۵؛
«کار» ۵ و «حقوق» ۳ عوض نشدند چون گلوگاه، اسپانسری و حقوق جونیور است نه برند دانشگاه — اگر برند RG را +۱ در «کار» حساب کنید، ۵۸.۳ (پنجم).</t>
        </is>
      </c>
    </row>
    <row r="38" outlineLevel="1" ht="236" customHeight="1">
      <c r="A38" s="60" t="inlineStr">
        <is>
          <t>حساسیت: (۱) همین وزن‌ها ولی «کار» سوئیس = ۴ (مثل نسخهٔ قبل): کانادا ۶۵.۷ › سوئیس ۶۴.۲ › هلند ۶۲.۵ › آلمان ۶۰.۳ › فنلاند ۵۸.۷ › سوئد ۵۷.۲ › دانمارک ۵۷ › انگلستان ۵۵.۵. (۲) کار ۳۰ / حقوق ۳۰ / انگلیسی ۳۰ / هزینه ۱۰ (هزینه سبک‌تر چون بودجه بالا رفت): سوئیس ۶۸ › کانادا ۶۶ › هلند ۶۵ › آلمان ۵۸ = دانمارک ۵۸ = فنلاند ۵۸ › انگلستان ۵۷ = سوئد ۵۷.
کانادا (اضافه‌شده ۲۹ سپتامبر، نسخهٔ ۳.۱۲) با ۶ / ۴ / ۱۰ / ۶ در همهٔ وزن‌بندی‌ها دوم است و در دو حالت اول می‌شود (کار ۳۰ / حقوق ۳۰ / انگلیسی ۳۰ / هزینه ۱۰: ۶۶.۰ در برابر سوئیس ۶۸.۰؛ کار = حقوق ۲۷.۵ / انگلیسی ۳۰ / هزینه ۱۵: ۶۶.۵ در برابر ۶۶.۸؛ حالت (۱) و «کار ۳۰ / حقوق ۲۵»: اول؛ حتی با «کار» ۵ به‌جای ۶: ۶۲.۸، هنوز بالاتر از هلند ۶۲.۵) — یعنی سوئیس و کانادا با ۱–۳ امتیاز اختلاف دو فینالیست امتیازی‌اند و کانادا جای هلند را می‌گیرد، چون هلند با بودجهٔ شما بسته است؛
فرق واقعی‌شان در امتیاز نیست: سوئیس = حقوق دو برابر ولی زبان محلی برای PR و ۶ ماه بی‌کار؛
کانادا = ۱۰۰٪ انگلیسی و PR روشن ولی حقوق کمتر و وابستگی به استاد راهنما و ویزای کند. (۳) وزن‌های نسخهٔ قبل (کار = حقوق ۲۷.۵ / انگلیسی ۳۰ / هزینه ۱۵؛ انگلستان در آن نسخه‌ها با گزینه‌های غیر-RG و هزینه ۵ حساب شده بود): سوئیس ۶۶.۸ › کانادا ۶۶.۵ › هلند ۶۲.۸ › آلمان ۶۰ › انگلستان ۵۹.۵ › فنلاند ۵۹.۳ › سوئد ۵۷.۸ › دانمارک ۵۷؛
نسخهٔ قبل‌تر (کار ۳۰ / حقوق ۲۵ / انگلیسی ۳۰ / هزینه ۱۵): کانادا ۶۷ › سوئیس ۶۵.۵ › هلند ۶۳.۵ › آلمان ۶۰ = انگلستان ۶۰ › فنلاند ۵۹.
فنلاند (اضافه‌شده ۲۸ سپتامبر) در همهٔ حالت‌ها چهارم تا ششم است: ارزان و انگلیسی، ولی بازار و حقوق متوسط.
در همهٔ حالت‌ها سوئیس، کانادا و هلند سه کشور بالای جدول‌اند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کانادا (بدون کبک؛ MSc پایان‌نامه‌ای) به‌عنوان گزینهٔ ۱۰۰٪ انگلیسیِ داخل بودجه و انگلستان فقط با بورس.</t>
        </is>
      </c>
    </row>
    <row r="39" outlineLevel="1" ht="274" customHeight="1">
      <c r="A39" s="60"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(فقط Russell Group) بیرون مگر با بورس — هیچ برنامه‌ای گام ۱ (شهریه + ۹ × $1,590) را رد نمی‌کند، کمترین کسری Exeter $14.2k؛
۲۰ ساعت × $16.8 ≈ زندگی فقط بعد از حل شهریه کمک می‌کند؛
فنلاند Oulu/Tampere/Turku هر دو گام ✅ روی کاغذ (۳۰ ساعت × $14.2 ≥ زندگی)، عملاً بدون فنلاندی ⚠️ (LUT/Helsinki/Aalto گام ۱ ❌)؛
کانادا (بدون کبک): MSc پایان‌نامه‌ای Memorial/Manitoba/USask/Alberta/Calgary هر دو گام ✅ حتی بدون TA/RA (Memorial/Manitoba تمام ۲۴ ماه از $40k)، UVic گام ۲ ⚠️، Windsor/Carleton/Toronto گام ۱ ❌ — ولی پذیرش پایان‌نامه‌ای بدون «بلهٔ» استاد راهنما وجود ندارد.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 فنلاند $10,900 در حساب خودتان، هر بانکی، گردش ۶ ماه (آسان‌ترین) · کانادا $16,500 + شهریهٔ سال اول در حساب خارج از ایران به نام خودتان یا نامهٔ فاندینگ (GIC از ایران باز نمی‌شود؛ حساب بانک ایرانی پذیرفته نیست). (۳) پذیرش — سوئیس و Stuttgart/Darmstadt Target؛
Saarland/Passau امن‌تر؛
انگلستان RG: Liverpool (2:2 رسمی) و York (2:2 = ۱۳/۲۰) و Sheffield (2:1 = ۱۴/۲۰) Target، Manchester/Warwick/Bristol Reach؛
Tampere/Oulu/Turku Target؛
کانادا: Manitoba (کف رسمی ۱۵/۲۰ دو سال آخر ✓) و Memorial/USask Target، Alberta/Calgary/UVic Target/Reach (استاد راهنما + ≈ 3.3–3.5)، Windsor Safe، Toronto MScAC Reach، UBC/SFU بسته.</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61" t="inlineStr">
        <is>
          <t>1 ✅</t>
        </is>
      </c>
      <c r="B43" s="62" t="inlineStr">
        <is>
          <t>University of Basel – Basel</t>
        </is>
      </c>
      <c r="C43" s="63" t="inlineStr">
        <is>
          <t>MSc Computer Science (۱.۵ سال)</t>
        </is>
      </c>
      <c r="D43" s="64" t="inlineStr">
        <is>
          <t>✅ شهریه $3,090 + تمکن یک‌سال $29,000 = $32,100 ≤ $40,000 ($7,870 زیر سقف) — Basel: $29,000 در بانک به نام خودتان</t>
        </is>
      </c>
      <c r="E43" s="65" t="inlineStr">
        <is>
          <t>✅ شهریه $3,090 + ۱۶.۵ ماه زندگی ($2,240/ماه) از ۱۸ ماه → از ماه ۱۷ باید کار کنید</t>
        </is>
      </c>
      <c r="F43" s="65"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6" t="inlineStr">
        <is>
          <t>5 / 10 / 6 / 8 → 71.5</t>
        </is>
      </c>
      <c r="H43" s="67">
        <f>ROUND(($B$28*L43+$B$29*M43+$B$30*N43+$B$31*O43)/SUM($B$28:$B$31)*10,1)</f>
        <v/>
      </c>
      <c r="I43" s="68" t="inlineStr">
        <is>
          <t>Target/Reach</t>
        </is>
      </c>
      <c r="J43" s="69" t="inlineStr">
        <is>
          <t>۳۰ آوریل ۲۰۲۷</t>
        </is>
      </c>
      <c r="K43" s="63" t="inlineStr">
        <is>
          <t>Roche / Novartis / IT و ۱ ساعت تا زوریخ؛
آلمانی‌زبان؛
پذیرش سخت‌تر؛
اثبات $29,000؛
۶ ماه مجوز L بعد از مدرک</t>
        </is>
      </c>
      <c r="L43" s="70" t="n">
        <v>5</v>
      </c>
      <c r="M43" s="70" t="n">
        <v>10</v>
      </c>
      <c r="N43" s="70" t="n">
        <v>6</v>
      </c>
      <c r="O43" s="70" t="n">
        <v>8</v>
      </c>
    </row>
    <row r="44" outlineLevel="1">
      <c r="A44" s="61" t="inlineStr">
        <is>
          <t>2 ✅</t>
        </is>
      </c>
      <c r="B44" s="71" t="inlineStr">
        <is>
          <t>University of Calgary (UCalgary) – Calgary</t>
        </is>
      </c>
      <c r="C44" s="63" t="inlineStr">
        <is>
          <t>MSc Computer Science — thesis-based (۲ سال)</t>
        </is>
      </c>
      <c r="D44" s="64" t="inlineStr">
        <is>
          <t>✅ شهریه $0 + تمکن یک‌سال $16,500 = $16,500 ≤ $40,000 ($23,500 زیر سقف) — $16,500 (IRCC از ۱ سپتامبر ۲۰۲۶، خارج کبک) + شهریهٔ سال اول + سفر؛
حساب خارج از ایران به نام خودتان یا نامهٔ فاندینگ دانشگاه؛
GIC از ایران باز نمی‌شود</t>
        </is>
      </c>
      <c r="E44" s="65" t="inlineStr">
        <is>
          <t>✅ شهریه $0 + تمام ۲۴ ماه زندگی ($1,290/ماه) — و $9,130 اضافه می‌ماند</t>
        </is>
      </c>
      <c r="F44" s="65" t="inlineStr">
        <is>
          <t>✅ نیازی به کار نیست؛
اگر کار کنید (۲۴ ساعت/هفته × $11 (حداقل آلبرتا (از ۲۰۱۸ ثابت)) ≈ $1,010 خالص/ماه) همه پس‌انداز می‌شود؛
⚠️ فاندینگ فقط با پذیرش پایان‌نامه‌ای (استاد راهنما) می‌آید؛
اینجا فقط به اندازهٔ شهریه حساب شده</t>
        </is>
      </c>
      <c r="G44" s="66" t="inlineStr">
        <is>
          <t>6 / 4 / 10 / 9 → 70.2</t>
        </is>
      </c>
      <c r="H44" s="67">
        <f>ROUND(($B$28*L44+$B$29*M44+$B$30*N44+$B$31*O44)/SUM($B$28:$B$31)*10,1)</f>
        <v/>
      </c>
      <c r="I44" s="68" t="inlineStr">
        <is>
          <t>Target/Reach</t>
        </is>
      </c>
      <c r="J44" s="69" t="inlineStr">
        <is>
          <t>≈ اول تا اواسط ژانویه ۲۰۲۷ (چک شود)</t>
        </is>
      </c>
      <c r="K44" s="69" t="inlineStr">
        <is>
          <t>حداقل فاندینگ تضمینی $17,900/سال برای ارشد پایان‌نامه‌ای بین‌المللی (رسمی، ورودی‌های ۲۰۲۶+) ≥ شهریه $6,040 + ≈ $985/ماه زندگی؛
قطب تک آلبرتا؛
AAIP Accelerated Tech Pathway؛
بیمهٔ استانی رایگان؛
شرط: استاد راهنما + 3.0 روی نیمهٔ دوم</t>
        </is>
      </c>
      <c r="L44" s="70" t="n">
        <v>6</v>
      </c>
      <c r="M44" s="70" t="n">
        <v>4</v>
      </c>
      <c r="N44" s="70" t="n">
        <v>10</v>
      </c>
      <c r="O44" s="70" t="n">
        <v>9</v>
      </c>
    </row>
    <row r="45" outlineLevel="1">
      <c r="A45" s="61" t="inlineStr">
        <is>
          <t>3 ✅</t>
        </is>
      </c>
      <c r="B45" s="71" t="inlineStr">
        <is>
          <t>University of Alberta (UAlberta) – Edmonton</t>
        </is>
      </c>
      <c r="C45" s="63" t="inlineStr">
        <is>
          <t>MSc Computing Science — thesis-based (۲ سال)</t>
        </is>
      </c>
      <c r="D45" s="64" t="inlineStr">
        <is>
          <t>✅ شهریه $14,000 + تمکن یک‌سال $16,500 = $30,500 ≤ $40,000 ($9,470 زیر سقف) — $16,500 (IRCC از ۱ سپتامبر ۲۰۲۶، خارج کبک) + شهریهٔ سال اول + سفر؛
حساب خارج از ایران به نام خودتان یا نامهٔ فاندینگ دانشگاه؛
GIC از ایران باز نمی‌شود</t>
        </is>
      </c>
      <c r="E45" s="65" t="inlineStr">
        <is>
          <t>✅ شهریه $14,000 + ۲۲.۴ ماه زندگی ($1,160/ماه) از ۲۴ ماه → از ماه ۲۳ باید کار کنید</t>
        </is>
      </c>
      <c r="F45" s="65" t="inlineStr">
        <is>
          <t>✅ ۲۴ ساعت/هفته × $11 (حداقل آلبرتا (از ۲۰۱۸ ثابت)) ≈ $1,010 خالص/ماه در برابر زندگی $1,160 → کسری $150/ماه × ۲ ماه = $305؛
باقی‌ماندهٔ بودجه $410 → بدون کسری (≈ $105 اضافه)</t>
        </is>
      </c>
      <c r="G45" s="66" t="inlineStr">
        <is>
          <t>6 / 4 / 10 / 9 → 70.2</t>
        </is>
      </c>
      <c r="H45" s="67">
        <f>ROUND(($B$28*L45+$B$29*M45+$B$30*N45+$B$31*O45)/SUM($B$28:$B$31)*10,1)</f>
        <v/>
      </c>
      <c r="I45" s="68" t="inlineStr">
        <is>
          <t>Target/Reach</t>
        </is>
      </c>
      <c r="J45" s="69" t="inlineStr">
        <is>
          <t>۱۵ دسامبر ۲۰۲۶ (فاندینگ) / ۱۵ ژانویه ۲۰۲۷</t>
        </is>
      </c>
      <c r="K45" s="63" t="inlineStr">
        <is>
          <t>Top-100 (QS ≈ 94؛ Amii/RL)؛
«بیشتر دانشجویان پایان‌نامه‌ای با TA/RA تضمینی ۵ ترم» (FAQ رسمی) — اینجا صفر فرض شده؛
شهریهٔ ورودی ۲۰۲۷ ≈ $7,000 (−۵.۵٪)؛
AHCIP رایگان؛
کف عملی گروه ≈ 3.5 → با ۱۶.۹۲ مرزی</t>
        </is>
      </c>
      <c r="L45" s="70" t="n">
        <v>6</v>
      </c>
      <c r="M45" s="70" t="n">
        <v>4</v>
      </c>
      <c r="N45" s="70" t="n">
        <v>10</v>
      </c>
      <c r="O45" s="70" t="n">
        <v>9</v>
      </c>
    </row>
    <row r="46" outlineLevel="1">
      <c r="A46" s="61" t="inlineStr">
        <is>
          <t>4 ✅</t>
        </is>
      </c>
      <c r="B46" s="71" t="inlineStr">
        <is>
          <t>University of Victoria (UVic) – Victoria</t>
        </is>
      </c>
      <c r="C46" s="63" t="inlineStr">
        <is>
          <t>MSc Computer Science (thesis) (۲ سال)</t>
        </is>
      </c>
      <c r="D46" s="64" t="inlineStr">
        <is>
          <t>✅ شهریه $11,600 + تمکن یک‌سال $16,500 = $28,100 ≤ $40,000 ($11,900 زیر سقف) — $16,500 (IRCC از ۱ سپتامبر ۲۰۲۶، خارج کبک) + شهریهٔ سال اول + سفر؛
حساب خارج از ایران به نام خودتان یا نامهٔ فاندینگ دانشگاه؛
GIC از ایران باز نمی‌شود</t>
        </is>
      </c>
      <c r="E46" s="65" t="inlineStr">
        <is>
          <t>✅ شهریه $11,600 + ۱۹.۲ ماه زندگی ($1,480/ماه) از ۲۴ ماه → از ماه ۲۰ باید کار کنید</t>
        </is>
      </c>
      <c r="F46" s="65" t="inlineStr">
        <is>
          <t>✅ ۲۴ ساعت/هفته × $12.9 (حداقل BC از ژوئن ۲۰۲۶) ≈ $1,230 خالص/ماه در برابر زندگی $1,480 → کسری $250/ماه × ۵ ماه = $1,250؛
باقی‌ماندهٔ بودجه $270 → کسری کل ≈ $980؛
قانوناً: تمام‌وقت در تعطیلات رسمی (تابستان ۴ ماه + کریسمس ≈ +۱۶ ساعت × ۱۷ هفته → تا ≈ +$3,300 در سال)؛
کار داخل کمپوس (TA/RA) بدون سقف؛
⚠️ شهریهٔ 2026/27 و کف ایرانی را با گروه چک کنید</t>
        </is>
      </c>
      <c r="G46" s="66" t="inlineStr">
        <is>
          <t>6 / 4 / 10 / 8 → 68.7</t>
        </is>
      </c>
      <c r="H46" s="67">
        <f>ROUND(($B$28*L46+$B$29*M46+$B$30*N46+$B$31*O46)/SUM($B$28:$B$31)*10,1)</f>
        <v/>
      </c>
      <c r="I46" s="68" t="inlineStr">
        <is>
          <t>Target/Reach</t>
        </is>
      </c>
      <c r="J46" s="69" t="inlineStr">
        <is>
          <t>≈ ۱۵ دسامبر ۲۰۲۶ (چک شود)</t>
        </is>
      </c>
      <c r="K46" s="63" t="inlineStr">
        <is>
          <t>BC PNP International Post-Graduate (ارشد STEM در BC → PR بدون پیشنهاد کار)؛
حداقل دستمزد BC $12.9؛
شهر گران و بازار کوچک؛
رقم شهریه 2025/26 (≈)</t>
        </is>
      </c>
      <c r="L46" s="70" t="n">
        <v>6</v>
      </c>
      <c r="M46" s="70" t="n">
        <v>4</v>
      </c>
      <c r="N46" s="70" t="n">
        <v>10</v>
      </c>
      <c r="O46" s="70" t="n">
        <v>8</v>
      </c>
    </row>
    <row r="47" outlineLevel="1">
      <c r="A47" s="72" t="inlineStr">
        <is>
          <t>5 ⚠️</t>
        </is>
      </c>
      <c r="B47" s="62" t="inlineStr">
        <is>
          <t>Hochschule Luzern (HSLU) – Lucerne / Luzern</t>
        </is>
      </c>
      <c r="C47" s="63" t="inlineStr">
        <is>
          <t>MSc Applied Data Science and AI (نام جدید از اوت ۲۰۲۶؛ قبلاً Applied Information and Data Science) (۲ سال)</t>
        </is>
      </c>
      <c r="D47" s="64" t="inlineStr">
        <is>
          <t>✅ شهریه $7,620 + تمکن یک‌سال $25,400 = $33,000 ≤ $40,000 ($6,970 زیر سقف) — $25,400 در بانک به نام خودتان (زوریخ فقط بانک سوئیسی)</t>
        </is>
      </c>
      <c r="E47" s="73" t="inlineStr">
        <is>
          <t>⚠️ شهریه $7,620 + ۱۵.۳ ماه زندگی ($2,120/ماه) از ۲۴ ماه → از ماه ۱۶ باید کار کنید</t>
        </is>
      </c>
      <c r="F47" s="73"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7" s="66" t="inlineStr">
        <is>
          <t>5 / 10 / 6 / 6 → 68.5</t>
        </is>
      </c>
      <c r="H47" s="67">
        <f>ROUND(($B$28*L47+$B$29*M47+$B$30*N47+$B$31*O47)/SUM($B$28:$B$31)*10,1)</f>
        <v/>
      </c>
      <c r="I47" s="74" t="inlineStr">
        <is>
          <t>Safe/Target</t>
        </is>
      </c>
      <c r="J47" s="69" t="inlineStr">
        <is>
          <t>۱ آوریل ۲۰۲۷</t>
        </is>
      </c>
      <c r="K47" s="69" t="inlineStr">
        <is>
          <t>۴۵ دقیقه تا زوریخ/زوگ؛
هر کارشناسی را می‌پذیرد (Safe/Target)؛
کار دانشجویی IT به انگلیسی هست ولی کمتر از زوریخ؛
۶ ماه مجوز L</t>
        </is>
      </c>
      <c r="L47" s="70" t="n">
        <v>5</v>
      </c>
      <c r="M47" s="70" t="n">
        <v>10</v>
      </c>
      <c r="N47" s="70" t="n">
        <v>6</v>
      </c>
      <c r="O47" s="70" t="n">
        <v>6</v>
      </c>
    </row>
    <row r="48" outlineLevel="1">
      <c r="A48" s="61" t="inlineStr">
        <is>
          <t>6 ✅</t>
        </is>
      </c>
      <c r="B48" s="62" t="inlineStr">
        <is>
          <t>University of Neuchâtel – Neuchâtel</t>
        </is>
      </c>
      <c r="C48" s="63" t="inlineStr">
        <is>
          <t>Swiss Joint MSc Computer Science (ثبت‌نام در Neuchâtel) (۱.۵ سال)</t>
        </is>
      </c>
      <c r="D48" s="64" t="inlineStr">
        <is>
          <t>✅ شهریه $2,870 + تمکن یک‌سال $25,400 = $28,300 ≤ $40,000 ($11,700 زیر سقف) — $25,400 در بانک به نام خودتان (زوریخ فقط بانک سوئیسی)</t>
        </is>
      </c>
      <c r="E48" s="65" t="inlineStr">
        <is>
          <t>✅ شهریه $2,870 + تمام ۱۸ ماه زندگی ($1,880/ماه) — و $3,370 اضافه می‌ماند</t>
        </is>
      </c>
      <c r="F48" s="65" t="inlineStr">
        <is>
          <t>✅ نیازی به کار نیست؛
اگر کار کنید (۱۵ ساعت/هفته × $25.8 (کف قانونی کانتون Neuchâtel ۲۰۲۶) ≈ $1,530 خالص/ماه) همه پس‌انداز می‌شود</t>
        </is>
      </c>
      <c r="G48" s="66" t="inlineStr">
        <is>
          <t>4 / 10 / 5 / 9 → 67.3</t>
        </is>
      </c>
      <c r="H48" s="67">
        <f>ROUND(($B$28*L48+$B$29*M48+$B$30*N48+$B$31*O48)/SUM($B$28:$B$31)*10,1)</f>
        <v/>
      </c>
      <c r="I48" s="40" t="inlineStr">
        <is>
          <t>Target</t>
        </is>
      </c>
      <c r="J48" s="69" t="inlineStr">
        <is>
          <t>۳۱ مارس ۲۰۲۷</t>
        </is>
      </c>
      <c r="K48" s="69" t="inlineStr">
        <is>
          <t>ارزان‌ترین سوئیس؛
بدون مدرک زبان؛
فرانسه‌زبان در زندگی روزمره؛
بازار ملی ولی رقابت با ETH/EPFL؛
۶ ماه مجوز L</t>
        </is>
      </c>
      <c r="L48" s="70" t="n">
        <v>4</v>
      </c>
      <c r="M48" s="70" t="n">
        <v>10</v>
      </c>
      <c r="N48" s="70" t="n">
        <v>5</v>
      </c>
      <c r="O48" s="70" t="n">
        <v>9</v>
      </c>
    </row>
    <row r="49" outlineLevel="1">
      <c r="A49" s="61" t="inlineStr">
        <is>
          <t>7 ✅</t>
        </is>
      </c>
      <c r="B49" s="62" t="inlineStr">
        <is>
          <t>University of Fribourg – Fribourg</t>
        </is>
      </c>
      <c r="C49" s="63" t="inlineStr">
        <is>
          <t>Swiss Joint MSc Computer Science (ثبت‌نام در Fribourg) (۱.۵ سال)</t>
        </is>
      </c>
      <c r="D49" s="64" t="inlineStr">
        <is>
          <t>✅ شهریه $3,580 + تمکن یک‌سال $25,400 = $29,000 ≤ $40,000 ($11,000 زیر سقف) — $25,400 در بانک به نام خودتان (زوریخ فقط بانک سوئیسی)</t>
        </is>
      </c>
      <c r="E49" s="65" t="inlineStr">
        <is>
          <t>✅ شهریه $3,580 + تمام ۱۸ ماه زندگی ($1,970/ماه) — و $1,030 اضافه می‌ماند</t>
        </is>
      </c>
      <c r="F49" s="65" t="inlineStr">
        <is>
          <t>✅ نیازی به کار نیست؛
اگر کار کنید (۱۵ ساعت/هفته × $27 (بدون کف قانونی؛ $27 فرض) ≈ $1,570 خالص/ماه) همه پس‌انداز می‌شود</t>
        </is>
      </c>
      <c r="G49" s="66" t="inlineStr">
        <is>
          <t>4 / 10 / 5 / 8 → 65.8</t>
        </is>
      </c>
      <c r="H49" s="67">
        <f>ROUND(($B$28*L49+$B$29*M49+$B$30*N49+$B$31*O49)/SUM($B$28:$B$31)*10,1)</f>
        <v/>
      </c>
      <c r="I49" s="40" t="inlineStr">
        <is>
          <t>Target</t>
        </is>
      </c>
      <c r="J49" s="69" t="inlineStr">
        <is>
          <t>۲۸ فوریه ۲۰۲۷ (ویزایی‌ها)</t>
        </is>
      </c>
      <c r="K49" s="69" t="inlineStr">
        <is>
          <t>همان مدرک مشترک؛
شهر دوزبانه (فرانسه/آلمانی)؛
۲۰ دقیقه تا برن</t>
        </is>
      </c>
      <c r="L49" s="70" t="n">
        <v>4</v>
      </c>
      <c r="M49" s="70" t="n">
        <v>10</v>
      </c>
      <c r="N49" s="70" t="n">
        <v>5</v>
      </c>
      <c r="O49" s="70" t="n">
        <v>8</v>
      </c>
    </row>
    <row r="50" outlineLevel="1">
      <c r="A50" s="61" t="inlineStr">
        <is>
          <t>8 ✅</t>
        </is>
      </c>
      <c r="B50" s="71" t="inlineStr">
        <is>
          <t>University of Alberta (UAlberta) – Edmonton</t>
        </is>
      </c>
      <c r="C50" s="63" t="inlineStr">
        <is>
          <t>MSc Computing Science — course-based (۲ سال)</t>
        </is>
      </c>
      <c r="D50" s="64" t="inlineStr">
        <is>
          <t>✅ شهریه $18,400 + تمکن یک‌سال $16,500 = $35,000 ≤ $40,000 ($5,040 زیر سقف) — $16,500 (IRCC از ۱ سپتامبر ۲۰۲۶، خارج کبک) + شهریهٔ سال اول + سفر؛
حساب خارج از ایران به نام خودتان یا نامهٔ فاندینگ دانشگاه؛
GIC از ایران باز نمی‌شود</t>
        </is>
      </c>
      <c r="E50" s="65" t="inlineStr">
        <is>
          <t>✅ شهریه $18,400 + ۱۸.۵ ماه زندگی ($1,160/ماه) از ۲۴ ماه → از ماه ۱۹ باید کار کنید</t>
        </is>
      </c>
      <c r="F50" s="65" t="inlineStr">
        <is>
          <t>✅ ۲۴ ساعت/هفته × $11 (حداقل آلبرتا (از ۲۰۱۸ ثابت)) ≈ $1,010 خالص/ماه در برابر زندگی $1,160 → کسری $150/ماه × ۶ ماه = $915؛
باقی‌ماندهٔ بودجه $640 → کسری کل ≈ $275؛
قانوناً: تمام‌وقت در تعطیلات رسمی (تابستان ۴ ماه + کریسمس ≈ +۱۶ ساعت × ۱۷ هفته → تا ≈ +$3,300 در سال)؛
کار داخل کمپوس (TA/RA) بدون سقف؛
⚠️ تعداد واحد دقیق را با گروه چک کنید</t>
        </is>
      </c>
      <c r="G50" s="66" t="inlineStr">
        <is>
          <t>6 / 4 / 10 / 6 → 65.7</t>
        </is>
      </c>
      <c r="H50" s="67">
        <f>ROUND(($B$28*L50+$B$29*M50+$B$30*N50+$B$31*O50)/SUM($B$28:$B$31)*10,1)</f>
        <v/>
      </c>
      <c r="I50" s="40" t="inlineStr">
        <is>
          <t>Target</t>
        </is>
      </c>
      <c r="J50" s="69" t="inlineStr">
        <is>
          <t>۱۵ ژانویه ۲۰۲۷</t>
        </is>
      </c>
      <c r="K50" s="69" t="inlineStr">
        <is>
          <t>همان دانشگاه بدون نیاز به استاد راهنما (پذیرش آسان‌تر)؛
≈ ۳۰ واحد × $580 (+۵.۵٪ در ۲۰۲۷) ≈ $18k کل؛
بدون TA/RA</t>
        </is>
      </c>
      <c r="L50" s="70" t="n">
        <v>6</v>
      </c>
      <c r="M50" s="70" t="n">
        <v>4</v>
      </c>
      <c r="N50" s="70" t="n">
        <v>10</v>
      </c>
      <c r="O50" s="70" t="n">
        <v>6</v>
      </c>
    </row>
    <row r="51" outlineLevel="1">
      <c r="A51" s="61" t="inlineStr">
        <is>
          <t>9 ✅</t>
        </is>
      </c>
      <c r="B51" s="75" t="inlineStr">
        <is>
          <t>Universität Stuttgart – Stuttgart</t>
        </is>
      </c>
      <c r="C51" s="63" t="inlineStr">
        <is>
          <t>M.Sc. Computer Science (انگلیسی، بدون NC) (۲ سال)</t>
        </is>
      </c>
      <c r="D51" s="64" t="inlineStr">
        <is>
          <t>✅ شهریه $7,750 + تمکن یک‌سال $13,600 = $21,300 ≤ $40,000 ($18,700 زیر سقف) — حساب مسدود $13,600 = $1,130/ماه (Auswärtiges Amt ۲۰۲۶)</t>
        </is>
      </c>
      <c r="E51" s="65" t="inlineStr">
        <is>
          <t>✅ شهریه $7,750 + ۲۳.۱ ماه زندگی ($1,400/ماه) از ۲۴ ماه → از ماه ۲۴ باید کار کنید</t>
        </is>
      </c>
      <c r="F51" s="65"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51" s="66" t="inlineStr">
        <is>
          <t>7 / 7 / 4 / 9 → 64.5</t>
        </is>
      </c>
      <c r="H51" s="67">
        <f>ROUND(($B$28*L51+$B$29*M51+$B$30*N51+$B$31*O51)/SUM($B$28:$B$31)*10,1)</f>
        <v/>
      </c>
      <c r="I51" s="40" t="inlineStr">
        <is>
          <t>Target</t>
        </is>
      </c>
      <c r="J51" s="69" t="inlineStr">
        <is>
          <t>۱۵ ژانویه ۲۰۲۷</t>
        </is>
      </c>
      <c r="K51" s="69" t="inlineStr">
        <is>
          <t>بزرگ‌ترین بازار مهندسی/IT (Bosch، Mercedes، Porsche)؛
حقوق BW بالاتر؛
۱۸ ماه؛
IELTS 7؛
آلمانی برای نیمی از بازار؛
صف خوابگاه ۶–۸ ماه؛
اثبات $13,600</t>
        </is>
      </c>
      <c r="L51" s="70" t="n">
        <v>7</v>
      </c>
      <c r="M51" s="70" t="n">
        <v>7</v>
      </c>
      <c r="N51" s="70" t="n">
        <v>4</v>
      </c>
      <c r="O51" s="70" t="n">
        <v>9</v>
      </c>
    </row>
    <row r="52" outlineLevel="1">
      <c r="A52" s="61" t="inlineStr">
        <is>
          <t>10 ✅</t>
        </is>
      </c>
      <c r="B52" s="71" t="inlineStr">
        <is>
          <t>University of Manitoba – Winnipeg</t>
        </is>
      </c>
      <c r="C52" s="63" t="inlineStr">
        <is>
          <t>MSc Computer Science (thesis یا course-based) (۲ سال)</t>
        </is>
      </c>
      <c r="D52" s="64" t="inlineStr">
        <is>
          <t>✅ شهریه $11,600 + تمکن یک‌سال $16,500 = $28,200 ≤ $40,000 ($11,800 زیر سقف) — $16,500 (IRCC از ۱ سپتامبر ۲۰۲۶، خارج کبک) + شهریهٔ سال اول + سفر؛
حساب خارج از ایران به نام خودتان یا نامهٔ فاندینگ دانشگاه؛
GIC از ایران باز نمی‌شود</t>
        </is>
      </c>
      <c r="E52" s="65" t="inlineStr">
        <is>
          <t>✅ شهریه $11,600 + تمام ۲۴ ماه زندگی ($1,090/ماه) — و $2,140 اضافه می‌ماند</t>
        </is>
      </c>
      <c r="F52" s="65" t="inlineStr">
        <is>
          <t>✅ نیازی به کار نیست؛
اگر کار کنید (۲۴ ساعت/هفته × $11.6 (حداقل منیتوبا از اکتبر ۲۰۲۶) ≈ $1,100 خالص/ماه) همه پس‌انداز می‌شود</t>
        </is>
      </c>
      <c r="G52" s="66" t="inlineStr">
        <is>
          <t>5 / 3 / 10 / 9 → 64.5</t>
        </is>
      </c>
      <c r="H52" s="67">
        <f>ROUND(($B$28*L52+$B$29*M52+$B$30*N52+$B$31*O52)/SUM($B$28:$B$31)*10,1)</f>
        <v/>
      </c>
      <c r="I52" s="40" t="inlineStr">
        <is>
          <t>Target</t>
        </is>
      </c>
      <c r="J52" s="69" t="inlineStr">
        <is>
          <t>≈ ژانویه ۲۰۲۷ (چک شود)</t>
        </is>
      </c>
      <c r="K52" s="69" t="inlineStr">
        <is>
          <t>تنها کف ایرانی رسمیِ «۱۵/۲۰ در دو سال آخر» (شما ۱۶.۹۲ ✓)؛
شهریه فقط سال اول ($4,870 × ۲) + هزینهٔ ادامه $475/ترم؛
MPNP Graduate Internship (ارشد + Mitacs → PR بدون پیشنهاد کار)؛
وینیپگ ارزان و سرد؛
بیمهٔ درمانی خصوصی ≈ $495/سال</t>
        </is>
      </c>
      <c r="L52" s="70" t="n">
        <v>5</v>
      </c>
      <c r="M52" s="70" t="n">
        <v>3</v>
      </c>
      <c r="N52" s="70" t="n">
        <v>10</v>
      </c>
      <c r="O52" s="70" t="n">
        <v>9</v>
      </c>
    </row>
    <row r="53" outlineLevel="1">
      <c r="A53" s="61" t="inlineStr">
        <is>
          <t>11 ✅</t>
        </is>
      </c>
      <c r="B53" s="71" t="inlineStr">
        <is>
          <t>University of Saskatchewan (USask) – Saskatoon</t>
        </is>
      </c>
      <c r="C53" s="63" t="inlineStr">
        <is>
          <t>MSc Computer Science (thesis) (۲ سال)</t>
        </is>
      </c>
      <c r="D53" s="64" t="inlineStr">
        <is>
          <t>✅ شهریه $18,100 + تمکن یک‌سال $16,500 = $34,600 ≤ $40,000 ($5,380 زیر سقف) — $16,500 (IRCC از ۱ سپتامبر ۲۰۲۶، خارج کبک) + شهریهٔ سال اول + سفر؛
حساب خارج از ایران به نام خودتان یا نامهٔ فاندینگ دانشگاه؛
GIC از ایران باز نمی‌شود</t>
        </is>
      </c>
      <c r="E53" s="65" t="inlineStr">
        <is>
          <t>✅ شهریه $18,100 + ۲۰.۱ ماه زندگی ($1,090/ماه) از ۲۴ ماه → از ماه ۲۱ باید کار کنید</t>
        </is>
      </c>
      <c r="F53" s="65" t="inlineStr">
        <is>
          <t>✅ ۲۴ ساعت/هفته × $11.1 (حداقل ساسکاچوان از اکتبر ۲۰۲۶) ≈ $1,060 خالص/ماه در برابر زندگی $1,090 → کسری $35/ماه × ۴ ماه = $140؛
باقی‌ماندهٔ بودجه $61 → کسری کل ≈ $77؛
قانوناً: تمام‌وقت در تعطیلات رسمی (تابستان ۴ ماه + کریسمس ≈ +۱۶ ساعت × ۱۷ هفته → تا ≈ +$3,300 در سال)؛
کار داخل کمپوس (TA/RA) بدون سقف</t>
        </is>
      </c>
      <c r="G53" s="66" t="inlineStr">
        <is>
          <t>5 / 3 / 10 / 9 → 64.5</t>
        </is>
      </c>
      <c r="H53" s="67">
        <f>ROUND(($B$28*L53+$B$29*M53+$B$30*N53+$B$31*O53)/SUM($B$28:$B$31)*10,1)</f>
        <v/>
      </c>
      <c r="I53" s="40" t="inlineStr">
        <is>
          <t>Target</t>
        </is>
      </c>
      <c r="J53" s="69" t="inlineStr">
        <is>
          <t>≈ ژانویه–فوریه ۲۰۲۷ (چک شود)</t>
        </is>
      </c>
      <c r="K53" s="69" t="inlineStr">
        <is>
          <t>نرخ رسمی 2026/27 ($3,020/ترم)؛
Graduate House ۱۲ ماهه؛
بیمهٔ استانی رایگان؛
شهر کوچک، بازار کوچک؛
حداقل دستمزد $11.1</t>
        </is>
      </c>
      <c r="L53" s="70" t="n">
        <v>5</v>
      </c>
      <c r="M53" s="70" t="n">
        <v>3</v>
      </c>
      <c r="N53" s="70" t="n">
        <v>10</v>
      </c>
      <c r="O53" s="70" t="n">
        <v>9</v>
      </c>
    </row>
    <row r="54" outlineLevel="1">
      <c r="A54" s="61" t="inlineStr">
        <is>
          <t>12 ✅</t>
        </is>
      </c>
      <c r="B54" s="71" t="inlineStr">
        <is>
          <t>Memorial University of Newfoundland (MUN) – St. John's</t>
        </is>
      </c>
      <c r="C54" s="63" t="inlineStr">
        <is>
          <t>MSc Computer Science — thesis route (۲ سال)</t>
        </is>
      </c>
      <c r="D54" s="64" t="inlineStr">
        <is>
          <t>✅ شهریه $6,810 + تمکن یک‌سال $16,500 = $23,300 ≤ $40,000 ($16,700 زیر سقف) — $16,500 (IRCC از ۱ سپتامبر ۲۰۲۶، خارج کبک) + شهریهٔ سال اول + سفر؛
حساب خارج از ایران به نام خودتان یا نامهٔ فاندینگ دانشگاه؛
GIC از ایران باز نمی‌شود</t>
        </is>
      </c>
      <c r="E54" s="65" t="inlineStr">
        <is>
          <t>✅ شهریه $6,810 + تمام ۲۴ ماه زندگی ($1,130/ماه) — و $6,130 اضافه می‌ماند</t>
        </is>
      </c>
      <c r="F54" s="65" t="inlineStr">
        <is>
          <t>✅ نیازی به کار نیست؛
اگر کار کنید (۲۴ ساعت/هفته × $11.5 (حداقل نیوفاندلند از آوریل ۲۰۲۶) ≈ $1,100 خالص/ماه) همه پس‌انداز می‌شود</t>
        </is>
      </c>
      <c r="G54" s="66" t="inlineStr">
        <is>
          <t>4 / 3 / 10 / 10 → 63.2</t>
        </is>
      </c>
      <c r="H54" s="67">
        <f>ROUND(($B$28*L54+$B$29*M54+$B$30*N54+$B$31*O54)/SUM($B$28:$B$31)*10,1)</f>
        <v/>
      </c>
      <c r="I54" s="40" t="inlineStr">
        <is>
          <t>Target</t>
        </is>
      </c>
      <c r="J54" s="69" t="inlineStr">
        <is>
          <t>≈ فوریه ۲۰۲۷ (چک شود)</t>
        </is>
      </c>
      <c r="K54" s="69" t="inlineStr">
        <is>
          <t>ارزان‌ترین ارشد ۸ کشور: $1,140 × ۶ ترم = $6,810 ($6.8k) برای کل دوره؛
MCP رایگان؛
خوابگاه با غذا $3,700/ترم؛
ولی جزیره‌ای دور با بازار IT کوچک (Verafin) → بعد از مدرک به تورنتو/کلگری بروید</t>
        </is>
      </c>
      <c r="L54" s="70" t="n">
        <v>4</v>
      </c>
      <c r="M54" s="70" t="n">
        <v>3</v>
      </c>
      <c r="N54" s="70" t="n">
        <v>10</v>
      </c>
      <c r="O54" s="70" t="n">
        <v>10</v>
      </c>
    </row>
    <row r="55" outlineLevel="1">
      <c r="A55" s="61" t="inlineStr">
        <is>
          <t>13 ✅</t>
        </is>
      </c>
      <c r="B55" s="71" t="inlineStr">
        <is>
          <t>University of Regina – Regina</t>
        </is>
      </c>
      <c r="C55" s="63" t="inlineStr">
        <is>
          <t>MSc Computer Science — thesis route (۱۵ واحد درس + ۱۵ واحد پایان‌نامه) (۲ سال)</t>
        </is>
      </c>
      <c r="D55" s="64" t="inlineStr">
        <is>
          <t>✅ شهریه $14,000 + تمکن یک‌سال $16,500 = $30,500 ≤ $40,000 ($9,460 زیر سقف) — $16,500 (IRCC از ۱ سپتامبر ۲۰۲۶، خارج کبک) + شهریهٔ سال اول + سفر؛
حساب خارج از ایران به نام خودتان یا نامهٔ فاندینگ دانشگاه؛
GIC از ایران باز نمی‌شود</t>
        </is>
      </c>
      <c r="E55" s="65" t="inlineStr">
        <is>
          <t>✅ شهریه $14,000 + تمام ۲۴ ماه زندگی ($1,060/ماه) — و $615 اضافه می‌ماند</t>
        </is>
      </c>
      <c r="F55" s="65" t="inlineStr">
        <is>
          <t>✅ نیازی به کار نیست؛
اگر کار کنید (۲۴ ساعت/هفته × $11.1 (حداقل ساسکاچوان از اکتبر ۲۰۲۶) ≈ $1,060 خالص/ماه) همه پس‌انداز می‌شود؛
⚠️ کف ۷۰٪ دو سال آخر بدون معادل ایرانی رسمی — با گروه چک شود</t>
        </is>
      </c>
      <c r="G55" s="66" t="inlineStr">
        <is>
          <t>4 / 3 / 10 / 9 → 61.7</t>
        </is>
      </c>
      <c r="H55" s="67">
        <f>ROUND(($B$28*L55+$B$29*M55+$B$30*N55+$B$31*O55)/SUM($B$28:$B$31)*10,1)</f>
        <v/>
      </c>
      <c r="I55" s="40" t="inlineStr">
        <is>
          <t>Target</t>
        </is>
      </c>
      <c r="J55" s="69" t="inlineStr">
        <is>
          <t>≈ فوریه–مارس ۲۰۲۷ (چک شود)</t>
        </is>
      </c>
      <c r="K55" s="69" t="inlineStr">
        <is>
          <t>اضافه‌شده در نسخهٔ ۳.۱۳ (به خواست شما): جدول رسمی پاییز ۲۰۲۶ — $260/واحد × ۳۰ + سورشارژ بین‌المللی $1,050/ترم ≈ $14,000 کل دوره ($14k)؛
داخل هر دو گام حتی بدون کار؛
بیمهٔ استانی رایگان؛
SINP؛
ولی شهر و بازار IT کوچک (SaskTel، ISC، دولت استانی) و رتبهٔ پایین</t>
        </is>
      </c>
      <c r="L55" s="70" t="n">
        <v>4</v>
      </c>
      <c r="M55" s="70" t="n">
        <v>3</v>
      </c>
      <c r="N55" s="70" t="n">
        <v>10</v>
      </c>
      <c r="O55" s="70" t="n">
        <v>9</v>
      </c>
    </row>
    <row r="56" outlineLevel="1">
      <c r="A56" s="61" t="inlineStr">
        <is>
          <t>14 ✅</t>
        </is>
      </c>
      <c r="B56" s="75" t="inlineStr">
        <is>
          <t>TU Darmstadt – Darmstadt</t>
        </is>
      </c>
      <c r="C56" s="63" t="inlineStr">
        <is>
          <t>M.Sc. Distributed Software Systems (انگلیسی) (۲ سال)</t>
        </is>
      </c>
      <c r="D56" s="64" t="inlineStr">
        <is>
          <t>✅ شهریه $1,370 + تمکن یک‌سال $13,600 = $14,900 ≤ $40,000 ($25,100 زیر سقف) — حساب مسدود $13,600 = $1,130/ماه (Auswärtiges Amt ۲۰۲۶)</t>
        </is>
      </c>
      <c r="E56" s="65" t="inlineStr">
        <is>
          <t>✅ شهریه $1,370 + تمام ۲۴ ماه زندگی ($1,340/ماه) — و $6,480 اضافه می‌ماند</t>
        </is>
      </c>
      <c r="F56" s="65" t="inlineStr">
        <is>
          <t>✅ نیازی به کار نیست؛
اگر کار کنید (۲۰ ساعت/هفته × $16.6 (حداقل قانونی از ژانویه ۲۰۲۷؛ Werkstudent IT معمولاً $19–23) ≈ $1,300 خالص/ماه) همه پس‌انداز می‌شود</t>
        </is>
      </c>
      <c r="G56" s="66" t="inlineStr">
        <is>
          <t>6 / 6 / 4 / 10 → 60.3</t>
        </is>
      </c>
      <c r="H56" s="67">
        <f>ROUND(($B$28*L56+$B$29*M56+$B$30*N56+$B$31*O56)/SUM($B$28:$B$31)*10,1)</f>
        <v/>
      </c>
      <c r="I56" s="68" t="inlineStr">
        <is>
          <t>Target/Reach</t>
        </is>
      </c>
      <c r="J56" s="69" t="inlineStr">
        <is>
          <t>≈ ۱۵ می – ۱۵ ژوئیه ۲۰۲۷ (چک شود)</t>
        </is>
      </c>
      <c r="K56" s="69" t="inlineStr">
        <is>
          <t>۲۵ دقیقه تا فرانکفورت (شرکت‌های بین‌المللی انگلیسی‌زبان)؛
تقریباً رایگان؛
لیست انتظار خوابگاه</t>
        </is>
      </c>
      <c r="L56" s="70" t="n">
        <v>6</v>
      </c>
      <c r="M56" s="70" t="n">
        <v>6</v>
      </c>
      <c r="N56" s="70" t="n">
        <v>4</v>
      </c>
      <c r="O56" s="70" t="n">
        <v>10</v>
      </c>
    </row>
    <row r="57" outlineLevel="1">
      <c r="A57" s="61" t="inlineStr">
        <is>
          <t>15 ✅</t>
        </is>
      </c>
      <c r="B57" s="71" t="inlineStr">
        <is>
          <t>Memorial University of Newfoundland (MUN) – St. John's</t>
        </is>
      </c>
      <c r="C57" s="63" t="inlineStr">
        <is>
          <t>MSc Computer Science — non-thesis (course) route (۲ سال)</t>
        </is>
      </c>
      <c r="D57" s="64" t="inlineStr">
        <is>
          <t>✅ شهریه $11,000 + تمکن یک‌سال $16,500 = $27,500 ≤ $40,000 ($12,500 زیر سقف) — $16,500 (IRCC از ۱ سپتامبر ۲۰۲۶، خارج کبک) + شهریهٔ سال اول + سفر؛
حساب خارج از ایران به نام خودتان یا نامهٔ فاندینگ دانشگاه؛
GIC از ایران باز نمی‌شود</t>
        </is>
      </c>
      <c r="E57" s="65" t="inlineStr">
        <is>
          <t>✅ شهریه $11,000 + تمام ۲۴ ماه زندگی ($1,130/ماه) — و $1,950 اضافه می‌ماند</t>
        </is>
      </c>
      <c r="F57" s="65" t="inlineStr">
        <is>
          <t>✅ نیازی به کار نیست؛
اگر کار کنید (۲۴ ساعت/هفته × $11.5 (حداقل نیوفاندلند از آوریل ۲۰۲۶) ≈ $1,100 خالص/ماه) همه پس‌انداز می‌شود</t>
        </is>
      </c>
      <c r="G57" s="66" t="inlineStr">
        <is>
          <t>4 / 3 / 10 / 8 → 60.2</t>
        </is>
      </c>
      <c r="H57" s="67">
        <f>ROUND(($B$28*L57+$B$29*M57+$B$30*N57+$B$31*O57)/SUM($B$28:$B$31)*10,1)</f>
        <v/>
      </c>
      <c r="I57" s="74" t="inlineStr">
        <is>
          <t>Safe/Target</t>
        </is>
      </c>
      <c r="J57" s="69" t="inlineStr">
        <is>
          <t>≈ فوریه ۲۰۲۷ (چک شود)</t>
        </is>
      </c>
      <c r="K57" s="69" t="inlineStr">
        <is>
          <t>همان مدرک بدون استاد راهنما (پذیرش آسان‌تر): $1,830 × ۶ = $11,000 کل؛
PGWP ۳ ساله</t>
        </is>
      </c>
      <c r="L57" s="70" t="n">
        <v>4</v>
      </c>
      <c r="M57" s="70" t="n">
        <v>3</v>
      </c>
      <c r="N57" s="70" t="n">
        <v>10</v>
      </c>
      <c r="O57" s="70" t="n">
        <v>8</v>
      </c>
    </row>
    <row r="58" outlineLevel="1">
      <c r="A58" s="61" t="inlineStr">
        <is>
          <t>16 ✅</t>
        </is>
      </c>
      <c r="B58" s="76" t="inlineStr">
        <is>
          <t>Tampere University – Tampere</t>
        </is>
      </c>
      <c r="C58" s="63" t="inlineStr">
        <is>
          <t>MSc Computing Sciences and Electrical Engineering — AI-native Software (Software, Web &amp; Cloud) (۲ سال)</t>
        </is>
      </c>
      <c r="D58" s="64" t="inlineStr">
        <is>
          <t>✅ شهریه $27,400 + تمکن یک‌سال $10,900 = $38,300 ≤ $40,000 ($1,700 زیر سقف) — $910 × ۱۲ = $10,900 در حساب به نام خودتان (هر کشوری؛ گردش ۶ ماه) + شهریهٔ سال اول پرداخت‌شده یا در حساب — Migri ۲۰۲۶</t>
        </is>
      </c>
      <c r="E58" s="65" t="inlineStr">
        <is>
          <t>✅ شهریه $27,400 + ۱۲.۳ ماه زندگی ($1,030/ماه) از ۲۴ ماه → از ماه ۱۳ باید کار کنید</t>
        </is>
      </c>
      <c r="F58" s="65"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8" s="66" t="inlineStr">
        <is>
          <t>4 / 5 / 8 / 7 → 58.7</t>
        </is>
      </c>
      <c r="H58" s="67">
        <f>ROUND(($B$28*L58+$B$29*M58+$B$30*N58+$B$31*O58)/SUM($B$28:$B$31)*10,1)</f>
        <v/>
      </c>
      <c r="I58" s="40" t="inlineStr">
        <is>
          <t>Target</t>
        </is>
      </c>
      <c r="J58" s="69" t="inlineStr">
        <is>
          <t>۷–۲۱ ژانویه ۲۰۲۷ (درخواست مشترک)</t>
        </is>
      </c>
      <c r="K58" s="69" t="inlineStr">
        <is>
          <t>ارزان‌ترین گزینهٔ ۱۰۰٪ انگلیسی بعد از آلمان؛
Nokia/Unity/Intel در شهر؛
۳۰ ساعت کار مجاز؛
۲ سال مجوز کاریابی؛
PR با مدرک فنلاندی + فنلاندی A2 بدون شرط سال؛
تمکن فقط $10,900 در حساب خودتان؛
ولی بیکاری ۹٪ و بدون فنلاندی کار غیر-IT کم</t>
        </is>
      </c>
      <c r="L58" s="70" t="n">
        <v>4</v>
      </c>
      <c r="M58" s="70" t="n">
        <v>5</v>
      </c>
      <c r="N58" s="70" t="n">
        <v>8</v>
      </c>
      <c r="O58" s="70" t="n">
        <v>7</v>
      </c>
    </row>
    <row r="59" outlineLevel="1">
      <c r="A59" s="61" t="inlineStr">
        <is>
          <t>17 ✅</t>
        </is>
      </c>
      <c r="B59" s="75" t="inlineStr">
        <is>
          <t>Saarland University (UdS) – Saarbrücken</t>
        </is>
      </c>
      <c r="C59" s="63" t="inlineStr">
        <is>
          <t>M.Sc. Data Science and Artificial Intelligence (۲ سال)</t>
        </is>
      </c>
      <c r="D59" s="64" t="inlineStr">
        <is>
          <t>✅ شهریه $1,800 + تمکن یک‌سال $13,600 = $15,400 ≤ $40,000 ($24,600 زیر سقف) — حساب مسدود $13,600 = $1,130/ماه (Auswärtiges Amt ۲۰۲۶)</t>
        </is>
      </c>
      <c r="E59" s="65" t="inlineStr">
        <is>
          <t>✅ شهریه $1,800 + تمام ۲۴ ماه زندگی ($1,140/ماه) — و $11k اضافه می‌ماند</t>
        </is>
      </c>
      <c r="F59" s="65" t="inlineStr">
        <is>
          <t>✅ نیازی به کار نیست؛
اگر کار کنید (۲۰ ساعت/هفته × $16.6 (حداقل قانونی از ژانویه ۲۰۲۷؛ Werkstudent IT معمولاً $19–23) ≈ $1,300 خالص/ماه) همه پس‌انداز می‌شود</t>
        </is>
      </c>
      <c r="G59" s="66" t="inlineStr">
        <is>
          <t>5 / 6 / 4 / 10 → 57.5</t>
        </is>
      </c>
      <c r="H59" s="67">
        <f>ROUND(($B$28*L59+$B$29*M59+$B$30*N59+$B$31*O59)/SUM($B$28:$B$31)*10,1)</f>
        <v/>
      </c>
      <c r="I59" s="40" t="inlineStr">
        <is>
          <t>Target</t>
        </is>
      </c>
      <c r="J59" s="69" t="inlineStr">
        <is>
          <t>≈ ۱۵ می – ۱۵ ژوئیه ۲۰۲۷ (چک شود)</t>
        </is>
      </c>
      <c r="K59" s="63" t="inlineStr">
        <is>
          <t>AI کنار CISPA/DFKI؛
ارزان‌ترین زندگی؛
شهر کوچک (لوکزامبورگ ۱ ساعت)</t>
        </is>
      </c>
      <c r="L59" s="70" t="n">
        <v>5</v>
      </c>
      <c r="M59" s="70" t="n">
        <v>6</v>
      </c>
      <c r="N59" s="70" t="n">
        <v>4</v>
      </c>
      <c r="O59" s="70" t="n">
        <v>10</v>
      </c>
    </row>
    <row r="60" outlineLevel="1">
      <c r="A60" s="61" t="inlineStr">
        <is>
          <t>18 ✅</t>
        </is>
      </c>
      <c r="B60" s="76" t="inlineStr">
        <is>
          <t>University of Oulu – Oulu</t>
        </is>
      </c>
      <c r="C60" s="63" t="inlineStr">
        <is>
          <t>MSc (Tech) Computer Science and Engineering — Artificial Intelligence / Applied Computing (۲ سال)</t>
        </is>
      </c>
      <c r="D60" s="64" t="inlineStr">
        <is>
          <t>✅ شهریه $22,800 + تمکن یک‌سال $10,900 = $33,700 ≤ $40,000 ($6,260 زیر سقف) — $910 × ۱۲ = $10,900 در حساب به نام خودتان (هر کشوری؛ گردش ۶ ماه) + شهریهٔ سال اول پرداخت‌شده یا در حساب — Migri ۲۰۲۶</t>
        </is>
      </c>
      <c r="E60" s="65" t="inlineStr">
        <is>
          <t>✅ شهریه $22,800 + ۱۷.۸ ماه زندگی ($970/ماه) از ۲۴ ماه → از ماه ۱۸ باید کار کنید</t>
        </is>
      </c>
      <c r="F60" s="65" t="inlineStr">
        <is>
          <t>✅ ۳۰ ساعت/هفته × $14.2 (بدون حداقل قانونی؛ کف توافق جمعی (TES) خدمات/خرده‌فروشی ≈ $14–15 فرض) ≈ $1,590 خالص/ماه ≥ زندگی $970 → از ماه ۱۸ کسری صفر و $725 از بودجه می‌ماند؛
⚠️ بدون فنلاندی کار خدماتی کم است؛
۱۵–۲۰ ساعت واقع‌بینانه‌تر از ۳۰</t>
        </is>
      </c>
      <c r="G60" s="66" t="inlineStr">
        <is>
          <t>4 / 5 / 7 / 8 → 57.3</t>
        </is>
      </c>
      <c r="H60" s="67">
        <f>ROUND(($B$28*L60+$B$29*M60+$B$30*N60+$B$31*O60)/SUM($B$28:$B$31)*10,1)</f>
        <v/>
      </c>
      <c r="I60" s="40" t="inlineStr">
        <is>
          <t>Target</t>
        </is>
      </c>
      <c r="J60" s="69" t="inlineStr">
        <is>
          <t>۷–۲۱ ژانویه ۲۰۲۷ (درخواست مشترک)</t>
        </is>
      </c>
      <c r="K60" s="69" t="inlineStr">
        <is>
          <t>ارزان‌ترین شهریهٔ فنلاند ($11,400؛ ۳۰٪ معافیت سال دوم)؛
Nokia و خوشهٔ 6G؛
شهر کوچک شمالی و سرد؛
بازار محلی کوچک‌تر از تامپره</t>
        </is>
      </c>
      <c r="L60" s="70" t="n">
        <v>4</v>
      </c>
      <c r="M60" s="70" t="n">
        <v>5</v>
      </c>
      <c r="N60" s="70" t="n">
        <v>7</v>
      </c>
      <c r="O60" s="70" t="n">
        <v>8</v>
      </c>
    </row>
    <row r="61" outlineLevel="1">
      <c r="A61" s="61" t="inlineStr">
        <is>
          <t>19 ✅</t>
        </is>
      </c>
      <c r="B61" s="71" t="inlineStr">
        <is>
          <t>Memorial University of Newfoundland (MUN) – St. John's</t>
        </is>
      </c>
      <c r="C61" s="63" t="inlineStr">
        <is>
          <t>Master of Artificial Intelligence (MAI، درسی) (۱۶ ماه)</t>
        </is>
      </c>
      <c r="D61" s="64" t="inlineStr">
        <is>
          <t>✅ شهریه $21,100 + تمکن یک‌سال $16,500 = $37,600 ≤ $40,000 ($2,370 زیر سقف) — $16,500 (IRCC از ۱ سپتامبر ۲۰۲۶، خارج کبک) + شهریهٔ سال اول + سفر؛
حساب خارج از ایران به نام خودتان یا نامهٔ فاندینگ دانشگاه؛
GIC از ایران باز نمی‌شود</t>
        </is>
      </c>
      <c r="E61" s="65" t="inlineStr">
        <is>
          <t>✅ شهریه $21,100 + تمام ۱۶ ماه زندگی ($1,130/ماه) — و $855 اضافه می‌ماند</t>
        </is>
      </c>
      <c r="F61" s="65" t="inlineStr">
        <is>
          <t>✅ نیازی به کار نیست؛
اگر کار کنید (۲۴ ساعت/هفته × $11.5 (حداقل نیوفاندلند از آوریل ۲۰۲۶) ≈ $1,100 خالص/ماه) همه پس‌انداز می‌شود</t>
        </is>
      </c>
      <c r="G61" s="66" t="inlineStr">
        <is>
          <t>4 / 3 / 10 / 6 → 57.2</t>
        </is>
      </c>
      <c r="H61" s="67">
        <f>ROUND(($B$28*L61+$B$29*M61+$B$30*N61+$B$31*O61)/SUM($B$28:$B$31)*10,1)</f>
        <v/>
      </c>
      <c r="I61" s="40" t="inlineStr">
        <is>
          <t>Target</t>
        </is>
      </c>
      <c r="J61" s="69" t="inlineStr">
        <is>
          <t>≈ فوریه ۲۰۲۷ (چک شود)</t>
        </is>
      </c>
      <c r="K61" s="69" t="inlineStr">
        <is>
          <t>تنها ارشد AI ۸ کشور که در بودجه جا می‌شود و ۱۰۰٪ انگلیسی است ($21,100 برای ۱۶ ماه)؛
درسی، بدون فاندینگ</t>
        </is>
      </c>
      <c r="L61" s="70" t="n">
        <v>4</v>
      </c>
      <c r="M61" s="70" t="n">
        <v>3</v>
      </c>
      <c r="N61" s="70" t="n">
        <v>10</v>
      </c>
      <c r="O61" s="70" t="n">
        <v>6</v>
      </c>
    </row>
    <row r="62" outlineLevel="1">
      <c r="A62" s="61" t="inlineStr">
        <is>
          <t>20 ✅</t>
        </is>
      </c>
      <c r="B62" s="76" t="inlineStr">
        <is>
          <t>University of Turku – Turku</t>
        </is>
      </c>
      <c r="C62" s="63" t="inlineStr">
        <is>
          <t>MSc (Tech) Information and Communication Technology — Software Engineering (۲ سال)</t>
        </is>
      </c>
      <c r="D62" s="64" t="inlineStr">
        <is>
          <t>✅ شهریه $27,400 + تمکن یک‌سال $10,900 = $38,300 ≤ $40,000 ($1,700 زیر سقف) — $910 × ۱۲ = $10,900 در حساب به نام خودتان (هر کشوری؛ گردش ۶ ماه) + شهریهٔ سال اول پرداخت‌شده یا در حساب — Migri ۲۰۲۶</t>
        </is>
      </c>
      <c r="E62" s="65" t="inlineStr">
        <is>
          <t>✅ شهریه $27,400 + ۱۲.۳ ماه زندگی ($1,030/ماه) از ۲۴ ماه → از ماه ۱۳ باید کار کنید</t>
        </is>
      </c>
      <c r="F62" s="65"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62" s="66" t="inlineStr">
        <is>
          <t>4 / 5 / 7 / 7 → 55.8</t>
        </is>
      </c>
      <c r="H62" s="67">
        <f>ROUND(($B$28*L62+$B$29*M62+$B$30*N62+$B$31*O62)/SUM($B$28:$B$31)*10,1)</f>
        <v/>
      </c>
      <c r="I62" s="40" t="inlineStr">
        <is>
          <t>Target</t>
        </is>
      </c>
      <c r="J62" s="69" t="inlineStr">
        <is>
          <t>۷–۲۱ ژانویه ۲۰۲۷ (درخواست مشترک)</t>
        </is>
      </c>
      <c r="K62" s="63" t="inlineStr">
        <is>
          <t>Early-bird −$2,280 و ۵۰٪ سال دوم برای همه با ۵۵ واحد → کل شهریه می‌تواند $18,200 شود؛
سومین شهر؛
سهمیهٔ ICT فقط ۵۵ نفر</t>
        </is>
      </c>
      <c r="L62" s="70" t="n">
        <v>4</v>
      </c>
      <c r="M62" s="70" t="n">
        <v>5</v>
      </c>
      <c r="N62" s="70" t="n">
        <v>7</v>
      </c>
      <c r="O62" s="70" t="n">
        <v>7</v>
      </c>
    </row>
    <row r="63" outlineLevel="1">
      <c r="A63" s="72" t="inlineStr">
        <is>
          <t>21 ⚠️</t>
        </is>
      </c>
      <c r="B63" s="77" t="inlineStr">
        <is>
          <t>Blekinge Institute of Technology (BTH) – Karlskrona</t>
        </is>
      </c>
      <c r="C63" s="63" t="inlineStr">
        <is>
          <t>MSc Software Engineering (120 cr) (۲ سال)</t>
        </is>
      </c>
      <c r="D63" s="64" t="inlineStr">
        <is>
          <t>✅ شهریه $28,300 + تمکن یک‌سال $10,800 = $39,000 ≤ $40,000 ($955 زیر سقف) — $1,080 × ۱۰ ماه در حساب خودتان + قسط اول شهریه پرداخت‌شده</t>
        </is>
      </c>
      <c r="E63" s="73" t="inlineStr">
        <is>
          <t>⚠️ شهریه $28,300 + ۱۱ ماه زندگی ($1,060/ماه) از ۲۴ ماه → از ماه ۱۲ باید کار کنید</t>
        </is>
      </c>
      <c r="F63" s="73"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63" s="66" t="inlineStr">
        <is>
          <t>3 / 5 / 8 / 6 → 54.3</t>
        </is>
      </c>
      <c r="H63" s="67">
        <f>ROUND(($B$28*L63+$B$29*M63+$B$30*N63+$B$31*O63)/SUM($B$28:$B$31)*10,1)</f>
        <v/>
      </c>
      <c r="I63" s="74" t="inlineStr">
        <is>
          <t>Safe/Target</t>
        </is>
      </c>
      <c r="J63" s="69" t="inlineStr">
        <is>
          <t>۱۵ ژانویه ۲۰۲۷</t>
        </is>
      </c>
      <c r="K63" s="69" t="inlineStr">
        <is>
          <t>پشتوانهٔ ارزانِ ۱۰۰٪ انگلیسی؛
Ericsson در شهر؛
اثبات $10,800 سال اول؛
بازار سوئد ضعیف</t>
        </is>
      </c>
      <c r="L63" s="70" t="n">
        <v>3</v>
      </c>
      <c r="M63" s="70" t="n">
        <v>5</v>
      </c>
      <c r="N63" s="70" t="n">
        <v>8</v>
      </c>
      <c r="O63" s="70" t="n">
        <v>6</v>
      </c>
    </row>
    <row r="64" outlineLevel="1">
      <c r="A64" s="72" t="inlineStr">
        <is>
          <t>22 ⚠️</t>
        </is>
      </c>
      <c r="B64" s="77" t="inlineStr">
        <is>
          <t>Mälardalen University (MDU) – Västerås</t>
        </is>
      </c>
      <c r="C64" s="63" t="inlineStr">
        <is>
          <t>MSc Software Engineering (۲ سال)</t>
        </is>
      </c>
      <c r="D64" s="64" t="inlineStr">
        <is>
          <t>✅ شهریه $27,300 + تمکن یک‌سال $10,800 = $38,000 ≤ $40,000 ($1,960 زیر سقف) — $1,080 × ۱۰ ماه در حساب خودتان + قسط اول شهریه پرداخت‌شده</t>
        </is>
      </c>
      <c r="E64" s="73" t="inlineStr">
        <is>
          <t>⚠️ شهریه $27,300 + ۱۱.۵ ماه زندگی ($1,110/ماه) از ۲۴ ماه → از ماه ۱۲ باید کار کنید</t>
        </is>
      </c>
      <c r="F64" s="73"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64" s="66" t="inlineStr">
        <is>
          <t>3 / 5 / 8 / 6 → 54.3</t>
        </is>
      </c>
      <c r="H64" s="67">
        <f>ROUND(($B$28*L64+$B$29*M64+$B$30*N64+$B$31*O64)/SUM($B$28:$B$31)*10,1)</f>
        <v/>
      </c>
      <c r="I64" s="78" t="inlineStr">
        <is>
          <t>Safe</t>
        </is>
      </c>
      <c r="J64" s="69" t="inlineStr">
        <is>
          <t>۱۵ ژانویه ۲۰۲۷</t>
        </is>
      </c>
      <c r="K64" s="63" t="inlineStr">
        <is>
          <t>Västerås (ABB)؛
خوابگاه تضمینی؛
بورس MDU تا ۱۰۰٪ (رقابتی)</t>
        </is>
      </c>
      <c r="L64" s="70" t="n">
        <v>3</v>
      </c>
      <c r="M64" s="70" t="n">
        <v>5</v>
      </c>
      <c r="N64" s="70" t="n">
        <v>8</v>
      </c>
      <c r="O64" s="70" t="n">
        <v>6</v>
      </c>
    </row>
    <row r="65" outlineLevel="1">
      <c r="A65" s="61" t="inlineStr">
        <is>
          <t>23 ✅</t>
        </is>
      </c>
      <c r="B65" s="75" t="inlineStr">
        <is>
          <t>Universität Passau – Passau</t>
        </is>
      </c>
      <c r="C65" s="63" t="inlineStr">
        <is>
          <t>M.Sc. Artificial Intelligence Engineering (۲ سال)</t>
        </is>
      </c>
      <c r="D65" s="64" t="inlineStr">
        <is>
          <t>✅ شهریه $685 + تمکن یک‌سال $13,600 = $14,300 ≤ $40,000 ($25,700 زیر سقف) — حساب مسدود $13,600 = $1,130/ماه (Auswärtiges Amt ۲۰۲۶)</t>
        </is>
      </c>
      <c r="E65" s="65" t="inlineStr">
        <is>
          <t>✅ شهریه $685 + تمام ۲۴ ماه زندگی ($1,140/ماه) — و $12k اضافه می‌ماند</t>
        </is>
      </c>
      <c r="F65" s="65" t="inlineStr">
        <is>
          <t>✅ نیازی به کار نیست؛
اگر کار کنید (۲۰ ساعت/هفته × $16.6 (حداقل قانونی از ژانویه ۲۰۲۷؛ Werkstudent IT معمولاً $19–23) ≈ $1,300 خالص/ماه) همه پس‌انداز می‌شود</t>
        </is>
      </c>
      <c r="G65" s="66" t="inlineStr">
        <is>
          <t>4 / 6 / 3 / 10 → 51.8</t>
        </is>
      </c>
      <c r="H65" s="67">
        <f>ROUND(($B$28*L65+$B$29*M65+$B$30*N65+$B$31*O65)/SUM($B$28:$B$31)*10,1)</f>
        <v/>
      </c>
      <c r="I65" s="78" t="inlineStr">
        <is>
          <t>Safe</t>
        </is>
      </c>
      <c r="J65" s="69" t="inlineStr">
        <is>
          <t>۳۱ می ۲۰۲۷</t>
        </is>
      </c>
      <c r="K65" s="63" t="inlineStr">
        <is>
          <t>Safe آلمان (معدل ۲.۳ ≤ ۲.۷ ✓)؛
شهر کوچک؛
آلمانی A1 اجباری در سال اول؛
مونیخ ۲ ساعت</t>
        </is>
      </c>
      <c r="L65" s="70" t="n">
        <v>4</v>
      </c>
      <c r="M65" s="70" t="n">
        <v>6</v>
      </c>
      <c r="N65" s="70" t="n">
        <v>3</v>
      </c>
      <c r="O65" s="70" t="n">
        <v>10</v>
      </c>
    </row>
    <row r="66" outlineLevel="1" ht="249.1538461538462" customHeight="1">
      <c r="A66"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فنلاند $910 × ۱۲ = $10,900 در حساب خودتان (هر بانکی) + شهریهٔ سال اول.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 فنلاند ۳۰ ساعت × $14.2 توافق جمعی)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7"/>
    <row r="68">
      <c r="A68" s="14" t="inlineStr">
        <is>
          <t>پ-۲) برای مقایسه: برنامه‌هایی که گام ۱ را رد نمی‌کنند (شهریه + تمکن یک‌سال › $40,000) یا در گام ۲ می‌مانند</t>
        </is>
      </c>
    </row>
    <row r="69" outlineLevel="1" ht="44" customHeight="1">
      <c r="A69" s="15" t="inlineStr">
        <is>
          <t>حکم</t>
        </is>
      </c>
      <c r="B69" s="15" t="inlineStr">
        <is>
          <t>دانشگاه – شهر</t>
        </is>
      </c>
      <c r="C69" s="15" t="inlineStr">
        <is>
          <t>برنامه (طول)</t>
        </is>
      </c>
      <c r="D69" s="15" t="inlineStr">
        <is>
          <t>گام ۱ — شهریهٔ کل + تمکن یک‌سال ≤ $40,000؟</t>
        </is>
      </c>
      <c r="E69" s="15" t="inlineStr">
        <is>
          <t>گام ۲ — شهریه + n ماه زندگی واقعی</t>
        </is>
      </c>
      <c r="F69" s="15" t="inlineStr">
        <is>
          <t>گام ۲ — کار در حداکثر ساعت مجاز → چرا باز هم نه</t>
        </is>
      </c>
      <c r="G69" s="15" t="inlineStr">
        <is>
          <t>چه چیزی می‌توانست ببندد؟</t>
        </is>
      </c>
      <c r="H69" s="15" t="inlineStr"/>
      <c r="I69" s="15" t="inlineStr">
        <is>
          <t>شانس</t>
        </is>
      </c>
      <c r="J69" s="15" t="inlineStr"/>
      <c r="K69" s="15" t="inlineStr">
        <is>
          <t>چرا جذاب بود</t>
        </is>
      </c>
    </row>
    <row r="70" outlineLevel="1">
      <c r="A70" s="79" t="inlineStr">
        <is>
          <t>❌</t>
        </is>
      </c>
      <c r="B70" s="80" t="inlineStr">
        <is>
          <t>USI – Università della Svizzera italiana – Lugano</t>
        </is>
      </c>
      <c r="C70" s="81" t="inlineStr">
        <is>
          <t>MSc Artificial Intelligence (با IDSIA) (۲ سال)</t>
        </is>
      </c>
      <c r="D70" s="82" t="inlineStr">
        <is>
          <t>❌ شهریه $19,400 + تمکن یک‌سال $25,400 = $44,800 → $4,770 بیشتر از $40,000 — $25,400 در بانک به نام خودتان (زوریخ فقط بانک سوئیسی)</t>
        </is>
      </c>
      <c r="E70" s="73" t="inlineStr">
        <is>
          <t>⚠️ شهریه $19,400 + ۱۰.۷ ماه زندگی ($1,940/ماه) از ۲۴ ماه → از ماه ۱۱ باید کار کنید</t>
        </is>
      </c>
      <c r="F70" s="73"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70" s="83" t="inlineStr">
        <is>
          <t>بورس Fondazione $4,840 → باز هم ≈ $800 بالای سقف</t>
        </is>
      </c>
      <c r="H70" s="83" t="inlineStr"/>
      <c r="I70" s="84" t="inlineStr">
        <is>
          <t>Target</t>
        </is>
      </c>
      <c r="J70" s="83" t="inlineStr"/>
      <c r="K70" s="81" t="inlineStr">
        <is>
          <t>AI با IDSIA؛ ورود با B2؛ حقوق سوئیس</t>
        </is>
      </c>
    </row>
    <row r="71" outlineLevel="1">
      <c r="A71" s="79" t="inlineStr">
        <is>
          <t>❌</t>
        </is>
      </c>
      <c r="B71" s="85" t="inlineStr">
        <is>
          <t>University of Waterloo – Waterloo</t>
        </is>
      </c>
      <c r="C71" s="81" t="inlineStr">
        <is>
          <t>MMath Computer Science — thesis (Cheriton School of CS) (۲ سال)</t>
        </is>
      </c>
      <c r="D71" s="82" t="inlineStr">
        <is>
          <t>❌ شهریه $32,500 + تمکن یک‌سال $16,500 = $49,100 → $9,070 بیشتر از $40,000 — $16,500 (IRCC از ۱ سپتامبر ۲۰۲۶، خارج کبک) + شهریهٔ سال اول + سفر؛
حساب خارج از ایران به نام خودتان یا نامهٔ فاندینگ دانشگاه؛
GIC از ایران باز نمی‌شود</t>
        </is>
      </c>
      <c r="E71" s="73" t="inlineStr">
        <is>
          <t>⚠️ شهریه $32,500 + ۵.۸ ماه زندگی ($1,290/ماه) از ۲۴ ماه → از ماه ۶ باید کار کنید</t>
        </is>
      </c>
      <c r="F71" s="73" t="inlineStr">
        <is>
          <t>⚠️ ۲۴ ساعت/هفته × $12.6 (حداقل انتاریو از اکتبر ۲۰۲۶) ≈ $1,210 خالص/ماه در برابر زندگی $1,290 → کسری $77/ماه × ۱۹ ماه = $1,460؛
باقی‌ماندهٔ بودجه $1,030 → کسری کل ≈ $430؛
قانوناً: تمام‌وقت در تعطیلات رسمی (تابستان ۴ ماه + کریسمس ≈ +۱۶ ساعت × ۱۷ هفته → تا ≈ +$3,300 در سال)؛
کار داخل کمپوس (TA/RA) بدون سقف؛
⚠️ Reach: کف رسمی ۷۸٪ ولی عملاً ۸۵٪+؛
IELTS 7</t>
        </is>
      </c>
      <c r="G71" s="83" t="inlineStr">
        <is>
          <t>نامهٔ فاندینگ TA/RA (پایان‌نامه‌ای‌های Cheriton معمولاً ≈ $14k+/سال؛ رسمی تأیید نشد) → گام ۱ ✅؛
بدون آن کسری $9.1k ❌ (۳.۱۳)</t>
        </is>
      </c>
      <c r="H71" s="83" t="inlineStr"/>
      <c r="I71" s="86" t="inlineStr">
        <is>
          <t>Reach</t>
        </is>
      </c>
      <c r="J71" s="83" t="inlineStr"/>
      <c r="K71" s="83" t="inlineStr">
        <is>
          <t>بهترین CS کانادا (Maclean's #1، QS ≈ 115)؛
قطب تک واترلو + ۱ ساعت تا تورنتو؛
co-op</t>
        </is>
      </c>
    </row>
    <row r="72" outlineLevel="1">
      <c r="A72" s="79" t="inlineStr">
        <is>
          <t>❌</t>
        </is>
      </c>
      <c r="B72" s="85" t="inlineStr">
        <is>
          <t>Dalhousie University – Halifax</t>
        </is>
      </c>
      <c r="C72" s="81" t="inlineStr">
        <is>
          <t>MCSc — Master of Computer Science (thesis) (۲ سال)</t>
        </is>
      </c>
      <c r="D72" s="82" t="inlineStr">
        <is>
          <t>❌ شهریه $27,300 + تمکن یک‌سال $16,500 = $43,800 → $3,840 بیشتر از $40,000 — $16,500 (IRCC از ۱ سپتامبر ۲۰۲۶، خارج کبک) + شهریهٔ سال اول + سفر؛
حساب خارج از ایران به نام خودتان یا نامهٔ فاندینگ دانشگاه؛
GIC از ایران باز نمی‌شود</t>
        </is>
      </c>
      <c r="E72" s="73" t="inlineStr">
        <is>
          <t>⚠️ شهریه $27,300 + ۹.۹ ماه زندگی ($1,290/ماه) از ۲۴ ماه → از ماه ۱۰ باید کار کنید</t>
        </is>
      </c>
      <c r="F72" s="73" t="inlineStr">
        <is>
          <t>⚠️ ۲۴ ساعت/هفته × $12 (حداقل نوا اسکوشیا از اکتبر ۲۰۲۶) ≈ $1,150 خالص/ماه در برابر زندگی $1,290 → کسری $140/ماه × ۱۵ ماه = $2,110؛
باقی‌ماندهٔ بودجه $1,110 → کسری کل ≈ $1,000؛
قانوناً: تمام‌وقت در تعطیلات رسمی (تابستان ۴ ماه + کریسمس ≈ +۱۶ ساعت × ۱۷ هفته → تا ≈ +$3,300 در سال)؛
کار داخل کمپوس (TA/RA) بدون سقف؛
⚠️ شهریهٔ بین‌المللی پایان‌نامه‌ای $5,690 در برابر غیرپایان‌نامه‌ای $17,400 — فقط مسیر پایان‌نامه‌ای</t>
        </is>
      </c>
      <c r="G72" s="83" t="inlineStr">
        <is>
          <t>نامهٔ فاندینگ TA/RA ≈ $11–14k/سال (معمول برای پایان‌نامه‌ای) → گام ۱ ✅؛
بدون آن کسری فقط $3.8k ❌ (۳.۱۳)</t>
        </is>
      </c>
      <c r="H72" s="83" t="inlineStr"/>
      <c r="I72" s="84" t="inlineStr">
        <is>
          <t>Target</t>
        </is>
      </c>
      <c r="J72" s="83" t="inlineStr"/>
      <c r="K72" s="83" t="inlineStr">
        <is>
          <t>بزرگ‌ترین دانشگاه آتلانتیک (QS ≈ 280)؛
هلیفکس متوسط‌قیمت؛
Atlantic Immigration Program / NS PNP</t>
        </is>
      </c>
    </row>
    <row r="73" outlineLevel="1">
      <c r="A73" s="79" t="inlineStr">
        <is>
          <t>❌</t>
        </is>
      </c>
      <c r="B73" s="85" t="inlineStr">
        <is>
          <t>Ontario Tech University – Oshawa</t>
        </is>
      </c>
      <c r="C73" s="81" t="inlineStr">
        <is>
          <t>MSc Computer Science (thesis) (۲ سال)</t>
        </is>
      </c>
      <c r="D73" s="82" t="inlineStr">
        <is>
          <t>❌ شهریه $28,400 + تمکن یک‌سال $16,500 = $44,900 → $4,890 بیشتر از $40,000 — $16,500 (IRCC از ۱ سپتامبر ۲۰۲۶، خارج کبک) + شهریهٔ سال اول + سفر؛
حساب خارج از ایران به نام خودتان یا نامهٔ فاندینگ دانشگاه؛
GIC از ایران باز نمی‌شود</t>
        </is>
      </c>
      <c r="E73" s="73" t="inlineStr">
        <is>
          <t>⚠️ شهریه $28,400 + ۹ ماه زندگی ($1,290/ماه) از ۲۴ ماه → از ماه ۱۰ باید کار کنید</t>
        </is>
      </c>
      <c r="F73" s="73" t="inlineStr">
        <is>
          <t>⚠️ ۲۴ ساعت/هفته × $12.6 (حداقل انتاریو از اکتبر ۲۰۲۶) ≈ $1,210 خالص/ماه در برابر زندگی $1,290 → کسری $77/ماه × ۱۵ ماه = $1,150؛
باقی‌ماندهٔ بودجه $61 → کسری کل ≈ $1,090؛
قانوناً: تمام‌وقت در تعطیلات رسمی (تابستان ۴ ماه + کریسمس ≈ +۱۶ ساعت × ۱۷ هفته → تا ≈ +$3,300 در سال)؛
کار داخل کمپوس (TA/RA) بدون سقف؛
⚠️ دانشگاه جوان با رتبهٔ پایین؛
گروه CS کوچک → استاد راهنما محدود</t>
        </is>
      </c>
      <c r="G73" s="83" t="inlineStr">
        <is>
          <t>نامهٔ فاندینگ TA/RA ≈ $7–10.6k/سال → گام ۱ ✅؛
بدون آن کسری $4.9k ❌ (۳.۱۳)</t>
        </is>
      </c>
      <c r="H73" s="83" t="inlineStr"/>
      <c r="I73" s="84" t="inlineStr">
        <is>
          <t>Target</t>
        </is>
      </c>
      <c r="J73" s="83" t="inlineStr"/>
      <c r="K73" s="83" t="inlineStr">
        <is>
          <t>اوشاوا ۱ ساعت تا تورنتو؛
OINP Masters Graduate؛
پذیرش نسبتاً آسان (B)</t>
        </is>
      </c>
    </row>
    <row r="74" outlineLevel="1">
      <c r="A74" s="79" t="inlineStr">
        <is>
          <t>❌</t>
        </is>
      </c>
      <c r="B74" s="85" t="inlineStr">
        <is>
          <t>Carleton University – Ottawa</t>
        </is>
      </c>
      <c r="C74" s="81" t="inlineStr">
        <is>
          <t>Master of Computer Science (MCS، thesis؛ گرایش Data Science, Analytics &amp; AI هم هست) (۲ سال)</t>
        </is>
      </c>
      <c r="D74" s="82" t="inlineStr">
        <is>
          <t>❌ شهریه $40,900 + تمکن یک‌سال $16,500 = $57,400 → $17,400 بیشتر از $40,000 — $16,500 (IRCC از ۱ سپتامبر ۲۰۲۶، خارج کبک) + شهریهٔ سال اول + سفر؛
حساب خارج از ایران به نام خودتان یا نامهٔ فاندینگ دانشگاه؛
GIC از ایران باز نمی‌شود</t>
        </is>
      </c>
      <c r="E74" s="82" t="inlineStr">
        <is>
          <t>❌ شهریه $40,900 به‌تنهایی $0.9k بیشتر از $40,000 است → صفر ماه زندگی</t>
        </is>
      </c>
      <c r="F74" s="82" t="inlineStr">
        <is>
          <t>❌ کار جبران نمی‌کند — کسری قبل از اولین ماه زندگی شروع می‌شود (۲۴ ساعت/هفته × $12.6 (حداقل انتاریو از اکتبر ۲۰۲۶) ≈ $1,210 خالص/ماه)؛
⚠️ رقم پایان‌نامه‌ای 2025/26 ثانویه؛
رسمی پاییز ۲۰۲۶ فقط برای غیرپایان‌نامه‌ای</t>
        </is>
      </c>
      <c r="G74" s="83" t="inlineStr">
        <is>
          <t>نامهٔ فاندینگ TA/RA ≈ $13–17k/سال (معمول برای پایان‌نامه‌ای) → گام ۱ ✅؛
بدون آن ❌</t>
        </is>
      </c>
      <c r="H74" s="83" t="inlineStr"/>
      <c r="I74" s="84" t="inlineStr">
        <is>
          <t>Target</t>
        </is>
      </c>
      <c r="J74" s="83" t="inlineStr"/>
      <c r="K74" s="83" t="inlineStr">
        <is>
          <t>اتاوا (Shopify، دولت فدرال، دفاعی)؛
OINP Masters Graduate؛
گرایش Data Science &amp; AI</t>
        </is>
      </c>
    </row>
    <row r="75" outlineLevel="1">
      <c r="A75" s="79" t="inlineStr">
        <is>
          <t>❌</t>
        </is>
      </c>
      <c r="B75" s="85" t="inlineStr">
        <is>
          <t>University of Windsor – Windsor</t>
        </is>
      </c>
      <c r="C75" s="81" t="inlineStr">
        <is>
          <t>Master of Applied Computing (MAC، درسی، با co-op اختیاری) (۱۶ ماه)</t>
        </is>
      </c>
      <c r="D75" s="82" t="inlineStr">
        <is>
          <t>❌ شهریه $28,800 + تمکن یک‌سال $16,500 = $45,300 → $5,280 بیشتر از $40,000 — $16,500 (IRCC از ۱ سپتامبر ۲۰۲۶، خارج کبک) + شهریهٔ سال اول + سفر؛
حساب خارج از ایران به نام خودتان یا نامهٔ فاندینگ دانشگاه؛
GIC از ایران باز نمی‌شود</t>
        </is>
      </c>
      <c r="E75" s="87" t="inlineStr">
        <is>
          <t>✅ شهریه $28,800 + ۹.۸ ماه زندگی ($1,150/ماه) از ۱۶ ماه → از ماه ۱۰ باید کار کنید</t>
        </is>
      </c>
      <c r="F75" s="87" t="inlineStr">
        <is>
          <t>✅ ۲۴ ساعت/هفته × $12.6 (حداقل انتاریو از اکتبر ۲۰۲۶) ≈ $1,210 خالص/ماه ≥ زندگی $1,150 → از ماه ۱۰ کسری صفر و $940 از بودجه می‌ماند؛
⚠️ صفحهٔ رسمی شهریهٔ MAC حذف شده — رقم ≈ از منابع ثانویه ۲۰۲۵–۲۶</t>
        </is>
      </c>
      <c r="G75" s="83" t="inlineStr">
        <is>
          <t>هیچ بورسی نیست؛
co-op ۴–۸ ماه (≈ $5.6–10.6k) بعد از پرداخت شهریه می‌آید → همچنان ❌</t>
        </is>
      </c>
      <c r="H75" s="83" t="inlineStr"/>
      <c r="I75" s="88" t="inlineStr">
        <is>
          <t>Safe</t>
        </is>
      </c>
      <c r="J75" s="83" t="inlineStr"/>
      <c r="K75" s="83" t="inlineStr">
        <is>
          <t>امن‌ترین پذیرش کانادا برای معدل ۱۵.۷۷ (کف ۷۰٪)؛
مسیر کلاسیک ایرانی‌ها؛
۴۵ دقیقه تا دیترویت</t>
        </is>
      </c>
    </row>
    <row r="76" outlineLevel="1">
      <c r="A76" s="79" t="inlineStr">
        <is>
          <t>❌</t>
        </is>
      </c>
      <c r="B76" s="85" t="inlineStr">
        <is>
          <t>University of Toronto – Toronto</t>
        </is>
      </c>
      <c r="C76" s="81" t="inlineStr">
        <is>
          <t>MScAC — Master of Science in Applied Computing (۱۶ ماه، ۸ ماه کارآموزی با حقوق) (۱۶ ماه)</t>
        </is>
      </c>
      <c r="D76" s="82" t="inlineStr">
        <is>
          <t>❌ شهریه $63,500 + تمکن یک‌سال $16,500 = $80,000 → $40,000 بیشتر از $40,000 — $16,500 (IRCC از ۱ سپتامبر ۲۰۲۶، خارج کبک) + شهریهٔ سال اول + سفر؛
حساب خارج از ایران به نام خودتان یا نامهٔ فاندینگ دانشگاه؛
GIC از ایران باز نمی‌شود</t>
        </is>
      </c>
      <c r="E76" s="82" t="inlineStr">
        <is>
          <t>❌ شهریه $63,500 به‌تنهایی $23k بیشتر از $40,000 است → صفر ماه زندگی</t>
        </is>
      </c>
      <c r="F76" s="82" t="inlineStr">
        <is>
          <t>❌ کار جبران نمی‌کند — کسری قبل از اولین ماه زندگی شروع می‌شود (۲۴ ساعت/هفته × $12.6 (حداقل انتاریو از اکتبر ۲۰۲۶) ≈ $1,210 خالص/ماه)؛
⚠️ Reach: عملاً A− = ۱۷/۲۰ روی سال‌های آخر + مصاحبه</t>
        </is>
      </c>
      <c r="G76" s="83" t="inlineStr">
        <is>
          <t>کارآموزی ۸ ماهه با حقوق (≈ $28–39k) فقط بعد از پرداخت شهریه؛
بورس ورودی محدود → ❌ با فاصلهٔ زیاد</t>
        </is>
      </c>
      <c r="H76" s="83" t="inlineStr"/>
      <c r="I76" s="86" t="inlineStr">
        <is>
          <t>Reach</t>
        </is>
      </c>
      <c r="J76" s="83" t="inlineStr"/>
      <c r="K76" s="83" t="inlineStr">
        <is>
          <t>بهترین برند و بزرگ‌ترین بازار کار کانادا؛
اشتغال بعد از مدرک ≈ ۹۰٪+</t>
        </is>
      </c>
    </row>
    <row r="77" outlineLevel="1">
      <c r="A77" s="79" t="inlineStr">
        <is>
          <t>❌</t>
        </is>
      </c>
      <c r="B77" s="89" t="inlineStr">
        <is>
          <t>University of Exeter (Russell Group) – Exeter</t>
        </is>
      </c>
      <c r="C77" s="81" t="inlineStr">
        <is>
          <t>MSc Advanced Computer Science (۱ سال)</t>
        </is>
      </c>
      <c r="D77" s="82" t="inlineStr">
        <is>
          <t>❌ شهریه $39,900 + تمکن یک‌سال $14,300 = $54,200 → $14,200 بیشتر از $40,000 — ۹ × $1,590 خارج لندن + شهریهٔ سال اول (CAS)؛
۲۸ روز در حساب؛
حساب والدین با رضایت‌نامه مجاز</t>
        </is>
      </c>
      <c r="E77" s="73" t="inlineStr">
        <is>
          <t>⚠️ شهریه $39,900 + ۰.۱ ماه زندگی ($1,590/ماه) از ۱۲ ماه → از ماه ۱ باید کار کنید</t>
        </is>
      </c>
      <c r="F77" s="73" t="inlineStr">
        <is>
          <t>⚠️ ۲۰ ساعت/هفته × $16.8 (National Living Wage از آوریل ۲۰۲۶) ≈ $1,440 خالص/ماه در برابر زندگی $1,590 → کسری $150/ماه × ۱۲ ماه = $1,820؛
باقی‌ماندهٔ بودجه $120 → کسری کل ≈ $1,710؛
قانوناً: تمام‌وقت در تعطیلات کریسمس/ایستر (≈ ۶ هفته → تا ≈ +$2,000)؛
تابستانِ پایان‌نامه ترم حساب می‌شود؛
⚠️ کمترین کسری گام ۱ در انگلستان: ≈ $14.2k</t>
        </is>
      </c>
      <c r="G77" s="81" t="inlineStr">
        <is>
          <t>Exeter Excellence $13,300 (درخواست بعد از پیشنهاد؛ رقابتی) → ردیف بعد؛
Chevening (شرط بازگشت ۲ ساله)</t>
        </is>
      </c>
      <c r="H77" s="83" t="inlineStr"/>
      <c r="I77" s="84" t="inlineStr">
        <is>
          <t>Target</t>
        </is>
      </c>
      <c r="J77" s="83" t="inlineStr"/>
      <c r="K77" s="83" t="inlineStr">
        <is>
          <t>ارزان‌ترین Russell Group ۲۰۲۷ ($39,900 رسمی)؛
2:1</t>
        </is>
      </c>
    </row>
    <row r="78" outlineLevel="1">
      <c r="A78" s="90" t="inlineStr">
        <is>
          <t>⚠️</t>
        </is>
      </c>
      <c r="B78" s="89" t="inlineStr">
        <is>
          <t>University of Exeter (Russell Group) – Exeter</t>
        </is>
      </c>
      <c r="C78" s="81" t="inlineStr">
        <is>
          <t>MSc Advanced Computer Science (۱ سال)</t>
        </is>
      </c>
      <c r="D78" s="73" t="inlineStr">
        <is>
          <t>⚠️ شهریه $26,600 + تمکن یک‌سال $14,300 = $41,000 → $980 بیشتر از $40,000؛
فقط اگر خانواده همین مبلغ را ۲۸ روز در حساب نشان دهد — ۹ × $1,590 خارج لندن + شهریهٔ سال اول (CAS)؛
۲۸ روز در حساب؛
حساب والدین با رضایت‌نامه مجاز</t>
        </is>
      </c>
      <c r="E78" s="87" t="inlineStr">
        <is>
          <t>✅ شهریه $26,600 + ۸.۴ ماه زندگی ($1,590/ماه) از ۱۲ ماه → از ماه ۹ باید کار کنید</t>
        </is>
      </c>
      <c r="F78" s="87" t="inlineStr">
        <is>
          <t>✅ ۲۰ ساعت/هفته × $16.8 (National Living Wage از آوریل ۲۰۲۶) ≈ $1,440 خالص/ماه در برابر زندگی $1,590 → کسری $150/ماه × ۴ ماه = $610؛
باقی‌ماندهٔ بودجه $650 → بدون کسری (≈ $39 اضافه)؛
⚠️ بورس تضمینی نیست؛
۲۸ روز حساب خانواده برای ≈ $1k کسری</t>
        </is>
      </c>
      <c r="G78" s="83" t="inlineStr">
        <is>
          <t>سناریوی فرضی: همین برنامه با بورس Exeter Excellence $13,300 → شهریه $26,600</t>
        </is>
      </c>
      <c r="H78" s="83" t="inlineStr"/>
      <c r="I78" s="84" t="inlineStr">
        <is>
          <t>Target</t>
        </is>
      </c>
      <c r="J78" s="83" t="inlineStr"/>
      <c r="K78" s="83" t="inlineStr">
        <is>
          <t>فقط با بزرگ‌ترین بورس Exeter تقریباً جا می‌شود</t>
        </is>
      </c>
    </row>
    <row r="79" outlineLevel="1">
      <c r="A79" s="79" t="inlineStr">
        <is>
          <t>❌</t>
        </is>
      </c>
      <c r="B79" s="89" t="inlineStr">
        <is>
          <t>Newcastle University (Russell Group) – Newcastle upon Tyne</t>
        </is>
      </c>
      <c r="C79" s="81" t="inlineStr">
        <is>
          <t>MSc Advanced Computer Science (۱ سال)</t>
        </is>
      </c>
      <c r="D79" s="82" t="inlineStr">
        <is>
          <t>❌ شهریه $42,000 + تمکن یک‌سال $14,300 = $56,300 → $16,300 بیشتر از $40,000 — ۹ × $1,590 خارج لندن + شهریهٔ سال اول (CAS)؛
۲۸ روز در حساب؛
حساب والدین با رضایت‌نامه مجاز</t>
        </is>
      </c>
      <c r="E79" s="82" t="inlineStr">
        <is>
          <t>❌ شهریه $42,000 به‌تنهایی $2k بیشتر از $40,000 است → صفر ماه زندگی</t>
        </is>
      </c>
      <c r="F79" s="82" t="inlineStr">
        <is>
          <t>❌ کار جبران نمی‌کند — کسری قبل از اولین ماه زندگی شروع می‌شود (۲۰ ساعت/هفته × $16.8 (National Living Wage از آوریل ۲۰۲۶) ≈ $1,440 خالص/ماه)؛
⚠️ رقم $42,000 برای ورودی ۲۰۲۶ است</t>
        </is>
      </c>
      <c r="G79" s="81" t="inlineStr">
        <is>
          <t>VC International $10,600 خودکار (فهرست کشوری ۲۰۲۷ چک شود) → ردیف بعد؛
VC Excellence ۵۰٪ (تا ۸ ژوئن ۲۰۲۷؛ ایران در فهرست ۲۰۲۵ نبود)</t>
        </is>
      </c>
      <c r="H79" s="83" t="inlineStr"/>
      <c r="I79" s="84" t="inlineStr">
        <is>
          <t>Target</t>
        </is>
      </c>
      <c r="J79" s="83" t="inlineStr"/>
      <c r="K79" s="83" t="inlineStr">
        <is>
          <t>ارزان‌ترین RG بعد از Exeter؛
2:2 + سابقه پذیرفته می‌شود؛
ارزان‌ترین خوابگاه</t>
        </is>
      </c>
    </row>
    <row r="80" outlineLevel="1">
      <c r="A80" s="79" t="inlineStr">
        <is>
          <t>❌</t>
        </is>
      </c>
      <c r="B80" s="89" t="inlineStr">
        <is>
          <t>Newcastle University (Russell Group) – Newcastle upon Tyne</t>
        </is>
      </c>
      <c r="C80" s="81" t="inlineStr">
        <is>
          <t>MSc Advanced Computer Science (۱ سال)</t>
        </is>
      </c>
      <c r="D80" s="82" t="inlineStr">
        <is>
          <t>❌ شهریه $31,400 + تمکن یک‌سال $14,300 = $45,700 → $5,750 بیشتر از $40,000 — ۹ × $1,590 خارج لندن + شهریهٔ سال اول (CAS)؛
۲۸ روز در حساب؛
حساب والدین با رضایت‌نامه مجاز</t>
        </is>
      </c>
      <c r="E80" s="73" t="inlineStr">
        <is>
          <t>⚠️ شهریه $31,400 + ۵.۹ ماه زندگی ($1,460/ماه) از ۱۲ ماه → از ماه ۶ باید کار کنید</t>
        </is>
      </c>
      <c r="F80" s="73" t="inlineStr">
        <is>
          <t>⚠️ ۲۰ ساعت/هفته × $16.8 (National Living Wage از آوریل ۲۰۲۶) ≈ $1,440 خالص/ماه در برابر زندگی $1,460 → کسری $20/ماه × ۷ ماه = $135؛
باقی‌ماندهٔ بودجه $1,310 → بدون کسری (≈ $1,170 اضافه)؛
⚠️ فقط با ≈ $4.3k کمک ۲۸ روزهٔ خانواده رد می‌شود</t>
        </is>
      </c>
      <c r="G80" s="83" t="inlineStr">
        <is>
          <t>سناریوی فرضی: با VC International $10,600 → شهریه $31,400</t>
        </is>
      </c>
      <c r="H80" s="83" t="inlineStr"/>
      <c r="I80" s="84" t="inlineStr">
        <is>
          <t>Target</t>
        </is>
      </c>
      <c r="J80" s="83" t="inlineStr"/>
      <c r="K80" s="83" t="inlineStr">
        <is>
          <t>حتی با بورس خودکار Newcastle باز هم ≈ $5.7k بالای سقف</t>
        </is>
      </c>
    </row>
    <row r="81" outlineLevel="1">
      <c r="A81" s="79" t="inlineStr">
        <is>
          <t>❌</t>
        </is>
      </c>
      <c r="B81" s="89" t="inlineStr">
        <is>
          <t>University of York (Russell Group) – York</t>
        </is>
      </c>
      <c r="C81" s="81" t="inlineStr">
        <is>
          <t>MSc Advanced Computer Science (۱ سال)</t>
        </is>
      </c>
      <c r="D81" s="82" t="inlineStr">
        <is>
          <t>❌ شهریه $43,600 + تمکن یک‌سال $14,300 = $57,900 → $17,900 بیشتر از $40,000 — ۹ × $1,590 خارج لندن + شهریهٔ سال اول (CAS)؛
۲۸ روز در حساب؛
حساب والدین با رضایت‌نامه مجاز</t>
        </is>
      </c>
      <c r="E81" s="82" t="inlineStr">
        <is>
          <t>❌ شهریه $43,600 به‌تنهایی $3.6k بیشتر از $40,000 است → صفر ماه زندگی</t>
        </is>
      </c>
      <c r="F81" s="82" t="inlineStr">
        <is>
          <t>❌ کار جبران نمی‌کند — کسری قبل از اولین ماه زندگی شروع می‌شود (۲۰ ساعت/هفته × $16.8 (National Living Wage از آوریل ۲۰۲۶) ≈ $1,440 خالص/ماه)</t>
        </is>
      </c>
      <c r="G81" s="83" t="inlineStr">
        <is>
          <t>هیچ بورس قابل اتکایی برای ایران (Chevening)</t>
        </is>
      </c>
      <c r="H81" s="83" t="inlineStr"/>
      <c r="I81" s="84" t="inlineStr">
        <is>
          <t>Target</t>
        </is>
      </c>
      <c r="J81" s="83" t="inlineStr"/>
      <c r="K81" s="83" t="inlineStr">
        <is>
          <t>2:2 = ۱۳/۲۰ (جدول رسمی ایرانِ York) → امن‌ترین پذیرش RG با Liverpool</t>
        </is>
      </c>
    </row>
    <row r="82" outlineLevel="1">
      <c r="A82" s="79" t="inlineStr">
        <is>
          <t>❌</t>
        </is>
      </c>
      <c r="B82" s="89" t="inlineStr">
        <is>
          <t>University of Liverpool (Russell Group) – Liverpool</t>
        </is>
      </c>
      <c r="C82" s="81" t="inlineStr">
        <is>
          <t>MSc Advanced Computer Science (۱ سال)</t>
        </is>
      </c>
      <c r="D82" s="82" t="inlineStr">
        <is>
          <t>❌ شهریه $45,100 + تمکن یک‌سال $14,300 = $59,400 → $19,400 بیشتر از $40,000 — ۹ × $1,590 خارج لندن + شهریهٔ سال اول (CAS)؛
۲۸ روز در حساب؛
حساب والدین با رضایت‌نامه مجاز</t>
        </is>
      </c>
      <c r="E82" s="82" t="inlineStr">
        <is>
          <t>❌ شهریه $45,100 به‌تنهایی $5k بیشتر از $40,000 است → صفر ماه زندگی</t>
        </is>
      </c>
      <c r="F82" s="82" t="inlineStr">
        <is>
          <t>❌ کار جبران نمی‌کند — کسری قبل از اولین ماه زندگی شروع می‌شود (۲۰ ساعت/هفته × $16.8 (National Living Wage از آوریل ۲۰۲۶) ≈ $1,440 خالص/ماه)؛
⚠️ متقاضی ایرانی: فرم درخواست جایگزین (تحریم)</t>
        </is>
      </c>
      <c r="G82" s="83" t="inlineStr">
        <is>
          <t>هیچ بورس خودکاری برای ایران؛ Chevening</t>
        </is>
      </c>
      <c r="H82" s="83" t="inlineStr"/>
      <c r="I82" s="88" t="inlineStr">
        <is>
          <t>Safe/Target</t>
        </is>
      </c>
      <c r="J82" s="83" t="inlineStr"/>
      <c r="K82" s="83" t="inlineStr">
        <is>
          <t>تنها RG با پذیرش رسمی 2:2؛
مهلت ۲۳ اوت ۲۰۲۷؛
شهر ارزان</t>
        </is>
      </c>
    </row>
    <row r="83" outlineLevel="1">
      <c r="A83" s="79" t="inlineStr">
        <is>
          <t>❌</t>
        </is>
      </c>
      <c r="B83" s="89" t="inlineStr">
        <is>
          <t>Durham University (Russell Group) – Durham</t>
        </is>
      </c>
      <c r="C83" s="81" t="inlineStr">
        <is>
          <t>MSc Advanced Computer Science (و MSc Data Science) (۱ سال)</t>
        </is>
      </c>
      <c r="D83" s="82" t="inlineStr">
        <is>
          <t>❌ شهریه $45,700 + تمکن یک‌سال $14,300 = $60,100 → $20,100 بیشتر از $40,000 — ۹ × $1,590 خارج لندن + شهریهٔ سال اول (CAS)؛
۲۸ روز در حساب؛
حساب والدین با رضایت‌نامه مجاز</t>
        </is>
      </c>
      <c r="E83" s="82" t="inlineStr">
        <is>
          <t>❌ شهریه $45,700 به‌تنهایی $5.7k بیشتر از $40,000 است → صفر ماه زندگی</t>
        </is>
      </c>
      <c r="F83" s="82" t="inlineStr">
        <is>
          <t>❌ کار جبران نمی‌کند — کسری قبل از اولین ماه زندگی شروع می‌شود (۲۰ ساعت/هفته × $16.8 (National Living Wage از آوریل ۲۰۲۶) ≈ $1,440 خالص/ماه)؛
⚠️ خوابگاه ارشد تضمینی نیست</t>
        </is>
      </c>
      <c r="G83" s="83" t="inlineStr">
        <is>
          <t>هیچ بورس قابل اتکایی برای ایران</t>
        </is>
      </c>
      <c r="H83" s="83" t="inlineStr"/>
      <c r="I83" s="84" t="inlineStr">
        <is>
          <t>Target</t>
        </is>
      </c>
      <c r="J83" s="83" t="inlineStr"/>
      <c r="K83" s="83" t="inlineStr">
        <is>
          <t>2:1 = ۱۴–۱۶/۲۰ (جدول رسمی) ✓؛ شهر ارزان</t>
        </is>
      </c>
    </row>
    <row r="84" outlineLevel="1">
      <c r="A84" s="79" t="inlineStr">
        <is>
          <t>❌</t>
        </is>
      </c>
      <c r="B84" s="89" t="inlineStr">
        <is>
          <t>University of Sheffield (Russell Group) – Sheffield</t>
        </is>
      </c>
      <c r="C84" s="81" t="inlineStr">
        <is>
          <t>MSc Advanced Computer Science (۱ سال)</t>
        </is>
      </c>
      <c r="D84" s="82" t="inlineStr">
        <is>
          <t>❌ شهریه $45,800 + تمکن یک‌سال $14,300 = $60,100 → $20,100 بیشتر از $40,000 — ۹ × $1,590 خارج لندن + شهریهٔ سال اول (CAS)؛
۲۸ روز در حساب؛
حساب والدین با رضایت‌نامه مجاز</t>
        </is>
      </c>
      <c r="E84" s="82" t="inlineStr">
        <is>
          <t>❌ شهریه $45,800 به‌تنهایی $5.8k بیشتر از $40,000 است → صفر ماه زندگی</t>
        </is>
      </c>
      <c r="F84" s="82" t="inlineStr">
        <is>
          <t>❌ کار جبران نمی‌کند — کسری قبل از اولین ماه زندگی شروع می‌شود (۲۰ ساعت/هفته × $16.8 (National Living Wage از آوریل ۲۰۲۶) ≈ $1,440 خالص/ماه)</t>
        </is>
      </c>
      <c r="G84" s="83" t="inlineStr">
        <is>
          <t>بورس $9,280 سال ۲۰۲۷ فقط ۱۰ کشور — ایران نیست</t>
        </is>
      </c>
      <c r="H84" s="83" t="inlineStr"/>
      <c r="I84" s="84" t="inlineStr">
        <is>
          <t>Target</t>
        </is>
      </c>
      <c r="J84" s="83" t="inlineStr"/>
      <c r="K84" s="83" t="inlineStr">
        <is>
          <t>2:1 = ۱۴/۲۰ دولتی (جدول رسمی) ✓؛
بدون توصیه‌نامه؛
شهر ارزان</t>
        </is>
      </c>
    </row>
    <row r="85" outlineLevel="1">
      <c r="A85" s="79" t="inlineStr">
        <is>
          <t>❌</t>
        </is>
      </c>
      <c r="B85" s="89" t="inlineStr">
        <is>
          <t>University of Leeds (Russell Group) – Leeds</t>
        </is>
      </c>
      <c r="C85" s="81" t="inlineStr">
        <is>
          <t>MSc Advanced Computer Science (گرایش‌های AI / Cloud / Data Analytics) (۱ سال)</t>
        </is>
      </c>
      <c r="D85" s="82" t="inlineStr">
        <is>
          <t>❌ شهریه $45,800 + تمکن یک‌سال $14,300 = $60,200 → $20,200 بیشتر از $40,000 — ۹ × $1,590 خارج لندن + شهریهٔ سال اول (CAS)؛
۲۸ روز در حساب؛
حساب والدین با رضایت‌نامه مجاز</t>
        </is>
      </c>
      <c r="E85" s="82" t="inlineStr">
        <is>
          <t>❌ شهریه $45,800 به‌تنهایی $5.8k بیشتر از $40,000 است → صفر ماه زندگی</t>
        </is>
      </c>
      <c r="F85" s="82" t="inlineStr">
        <is>
          <t>❌ کار جبران نمی‌کند — کسری قبل از اولین ماه زندگی شروع می‌شود (۲۰ ساعت/هفته × $16.8 (National Living Wage از آوریل ۲۰۲۶) ≈ $1,440 خالص/ماه)</t>
        </is>
      </c>
      <c r="G85" s="83" t="inlineStr">
        <is>
          <t>هیچ بورس قابل اتکایی برای ایران</t>
        </is>
      </c>
      <c r="H85" s="83" t="inlineStr"/>
      <c r="I85" s="84" t="inlineStr">
        <is>
          <t>Target/Reach</t>
        </is>
      </c>
      <c r="J85" s="83" t="inlineStr"/>
      <c r="K85" s="83" t="inlineStr">
        <is>
          <t>بازار Leeds بهتر از Sheffield/York؛
مهلت ۳۰ ژوئیه ۲۰۲۷</t>
        </is>
      </c>
    </row>
    <row r="86" outlineLevel="1">
      <c r="A86" s="79" t="inlineStr">
        <is>
          <t>❌</t>
        </is>
      </c>
      <c r="B86" s="89" t="inlineStr">
        <is>
          <t>University of Birmingham (Russell Group) – Birmingham</t>
        </is>
      </c>
      <c r="C86" s="81" t="inlineStr">
        <is>
          <t>MSc Advanced Computer Science (۱ سال)</t>
        </is>
      </c>
      <c r="D86" s="82" t="inlineStr">
        <is>
          <t>❌ شهریه $46,000 + تمکن یک‌سال $14,300 = $60,400 → $20,400 بیشتر از $40,000 — ۹ × $1,590 خارج لندن + شهریهٔ سال اول (CAS)؛
۲۸ روز در حساب؛
حساب والدین با رضایت‌نامه مجاز</t>
        </is>
      </c>
      <c r="E86" s="82" t="inlineStr">
        <is>
          <t>❌ شهریه $46,000 به‌تنهایی $6k بیشتر از $40,000 است → صفر ماه زندگی</t>
        </is>
      </c>
      <c r="F86" s="82" t="inlineStr">
        <is>
          <t>❌ کار جبران نمی‌کند — کسری قبل از اولین ماه زندگی شروع می‌شود (۲۰ ساعت/هفته × $16.8 (National Living Wage از آوریل ۲۰۲۶) ≈ $1,440 خالص/ماه)؛
⚠️ رقم شهریه از QS TopUniversities (صفحهٔ رسمی باز نشد)</t>
        </is>
      </c>
      <c r="G86" s="83" t="inlineStr">
        <is>
          <t>هیچ (چک شود)</t>
        </is>
      </c>
      <c r="H86" s="83" t="inlineStr"/>
      <c r="I86" s="84" t="inlineStr">
        <is>
          <t>Target/Reach</t>
        </is>
      </c>
      <c r="J86" s="83" t="inlineStr"/>
      <c r="K86" s="83" t="inlineStr">
        <is>
          <t>دومین شهر انگلستان</t>
        </is>
      </c>
    </row>
    <row r="87" outlineLevel="1">
      <c r="A87" s="79" t="inlineStr">
        <is>
          <t>❌</t>
        </is>
      </c>
      <c r="B87" s="89" t="inlineStr">
        <is>
          <t>University of Nottingham (Russell Group) – Nottingham</t>
        </is>
      </c>
      <c r="C87" s="81" t="inlineStr">
        <is>
          <t>MSc Advanced Computer Science / Advanced CS (Artificial Intelligence) (۱ سال)</t>
        </is>
      </c>
      <c r="D87" s="82" t="inlineStr">
        <is>
          <t>❌ شهریه $46,100 + تمکن یک‌سال $14,300 = $60,500 → $20,500 بیشتر از $40,000 — ۹ × $1,590 خارج لندن + شهریهٔ سال اول (CAS)؛
۲۸ روز در حساب؛
حساب والدین با رضایت‌نامه مجاز</t>
        </is>
      </c>
      <c r="E87" s="82" t="inlineStr">
        <is>
          <t>❌ شهریه $46,100 به‌تنهایی $6.1k بیشتر از $40,000 است → صفر ماه زندگی</t>
        </is>
      </c>
      <c r="F87" s="82" t="inlineStr">
        <is>
          <t>❌ کار جبران نمی‌کند — کسری قبل از اولین ماه زندگی شروع می‌شود (۲۰ ساعت/هفته × $16.8 (National Living Wage از آوریل ۲۰۲۶) ≈ $1,440 خالص/ماه)</t>
        </is>
      </c>
      <c r="G87" s="83" t="inlineStr">
        <is>
          <t>هیچ بورس قابل اتکایی برای ایران</t>
        </is>
      </c>
      <c r="H87" s="83" t="inlineStr"/>
      <c r="I87" s="84" t="inlineStr">
        <is>
          <t>Target/Reach</t>
        </is>
      </c>
      <c r="J87" s="83" t="inlineStr"/>
      <c r="K87" s="83" t="inlineStr">
        <is>
          <t>گرایش AI با $46,100 رسمی ۲۰۲۷</t>
        </is>
      </c>
    </row>
    <row r="88" outlineLevel="1">
      <c r="A88" s="79" t="inlineStr">
        <is>
          <t>❌</t>
        </is>
      </c>
      <c r="B88" s="89" t="inlineStr">
        <is>
          <t>University of Southampton (Russell Group) – Southampton</t>
        </is>
      </c>
      <c r="C88" s="81" t="inlineStr">
        <is>
          <t>MSc Artificial Intelligence (۱ سال)</t>
        </is>
      </c>
      <c r="D88" s="82" t="inlineStr">
        <is>
          <t>❌ شهریه $48,800 + تمکن یک‌سال $14,300 = $63,100 → $23,100 بیشتر از $40,000 — ۹ × $1,590 خارج لندن + شهریهٔ سال اول (CAS)؛
۲۸ روز در حساب؛
حساب والدین با رضایت‌نامه مجاز</t>
        </is>
      </c>
      <c r="E88" s="82" t="inlineStr">
        <is>
          <t>❌ شهریه $48,800 به‌تنهایی $8.8k بیشتر از $40,000 است → صفر ماه زندگی</t>
        </is>
      </c>
      <c r="F88" s="82" t="inlineStr">
        <is>
          <t>❌ کار جبران نمی‌کند — کسری قبل از اولین ماه زندگی شروع می‌شود (۲۰ ساعت/هفته × $16.8 (National Living Wage از آوریل ۲۰۲۶) ≈ $1,440 خالص/ماه)؛
⚠️ بدون Spärck: $20k بالای سقف</t>
        </is>
      </c>
      <c r="G88" s="81" t="inlineStr">
        <is>
          <t>Spärck AI Scholarship: ۱۱ بورس کامل + کمک‌هزینه (بسیار رقابتی) — تنها راه</t>
        </is>
      </c>
      <c r="H88" s="83" t="inlineStr"/>
      <c r="I88" s="84" t="inlineStr">
        <is>
          <t>Target/Reach</t>
        </is>
      </c>
      <c r="J88" s="83" t="inlineStr"/>
      <c r="K88" s="83" t="inlineStr">
        <is>
          <t>مرکز AI/Cyber؛ $48,800 رسمی ۲۰۲۷</t>
        </is>
      </c>
    </row>
    <row r="89" outlineLevel="1">
      <c r="A89" s="79" t="inlineStr">
        <is>
          <t>❌</t>
        </is>
      </c>
      <c r="B89" s="89" t="inlineStr">
        <is>
          <t>University of Warwick (Russell Group) – Coventry</t>
        </is>
      </c>
      <c r="C89" s="81" t="inlineStr">
        <is>
          <t>MSc Computer Science (۱ سال)</t>
        </is>
      </c>
      <c r="D89" s="82" t="inlineStr">
        <is>
          <t>❌ شهریه $49,600 + تمکن یک‌سال $14,300 = $64,000 → $24,000 بیشتر از $40,000 — ۹ × $1,590 خارج لندن + شهریهٔ سال اول (CAS)؛
۲۸ روز در حساب؛
حساب والدین با رضایت‌نامه مجاز</t>
        </is>
      </c>
      <c r="E89" s="82" t="inlineStr">
        <is>
          <t>❌ شهریه $49,600 به‌تنهایی $9.6k بیشتر از $40,000 است → صفر ماه زندگی</t>
        </is>
      </c>
      <c r="F89" s="82" t="inlineStr">
        <is>
          <t>❌ کار جبران نمی‌کند — کسری قبل از اولین ماه زندگی شروع می‌شود (۲۰ ساعت/هفته × $16.8 (National Living Wage از آوریل ۲۰۲۶) ≈ $1,440 خالص/ماه)؛
⚠️ پذیرش PGT ≈ ۲۲٪</t>
        </is>
      </c>
      <c r="G89" s="83" t="inlineStr">
        <is>
          <t>هیچ</t>
        </is>
      </c>
      <c r="H89" s="83" t="inlineStr"/>
      <c r="I89" s="84" t="inlineStr">
        <is>
          <t>Target/Reach</t>
        </is>
      </c>
      <c r="J89" s="83" t="inlineStr"/>
      <c r="K89" s="83" t="inlineStr">
        <is>
          <t>2:1 = ۱۵/۲۰ (جدول رسمی) ✓؛
چهارمین دانشگاه هدف کارفرمایان</t>
        </is>
      </c>
    </row>
    <row r="90" outlineLevel="1">
      <c r="A90" s="79" t="inlineStr">
        <is>
          <t>❌</t>
        </is>
      </c>
      <c r="B90" s="89" t="inlineStr">
        <is>
          <t>University of Bristol (Russell Group) – Bristol</t>
        </is>
      </c>
      <c r="C90" s="81" t="inlineStr">
        <is>
          <t>MSc Data Science (برای فارغ‌التحصیل CS/مهندسی؛ MSc Computer Science بریستول تبدیلی است) (۱ سال)</t>
        </is>
      </c>
      <c r="D90" s="82" t="inlineStr">
        <is>
          <t>❌ شهریه $50,200 + تمکن یک‌سال $14,300 = $64,600 → $24,600 بیشتر از $40,000 — ۹ × $1,590 خارج لندن + شهریهٔ سال اول (CAS)؛
۲۸ روز در حساب؛
حساب والدین با رضایت‌نامه مجاز</t>
        </is>
      </c>
      <c r="E90" s="82" t="inlineStr">
        <is>
          <t>❌ شهریه $50,200 به‌تنهایی $10k بیشتر از $40,000 است → صفر ماه زندگی</t>
        </is>
      </c>
      <c r="F90" s="82" t="inlineStr">
        <is>
          <t>❌ کار جبران نمی‌کند — کسری قبل از اولین ماه زندگی شروع می‌شود (۲۰ ساعت/هفته × $16.8 (National Living Wage از آوریل ۲۰۲۶) ≈ $1,440 خالص/ماه)؛
⚠️ «strong 2:1» — ۱۵.۷۷ مرزی</t>
        </is>
      </c>
      <c r="G90" s="83" t="inlineStr">
        <is>
          <t>هیچ</t>
        </is>
      </c>
      <c r="H90" s="83" t="inlineStr"/>
      <c r="I90" s="86" t="inlineStr">
        <is>
          <t>Reach</t>
        </is>
      </c>
      <c r="J90" s="83" t="inlineStr"/>
      <c r="K90" s="83" t="inlineStr">
        <is>
          <t>قطب فناوری/هوافضا؛ $50,200 رسمی 2027/28</t>
        </is>
      </c>
    </row>
    <row r="91" outlineLevel="1">
      <c r="A91" s="79" t="inlineStr">
        <is>
          <t>❌</t>
        </is>
      </c>
      <c r="B91" s="89" t="inlineStr">
        <is>
          <t>Queen Mary University of London (Russell Group) – London – Mile End</t>
        </is>
      </c>
      <c r="C91" s="81" t="inlineStr">
        <is>
          <t>MSc Advanced Computer Science (۱ سال)</t>
        </is>
      </c>
      <c r="D91" s="82" t="inlineStr">
        <is>
          <t>❌ شهریه $49,000 + تمکن یک‌سال $18,700 = $67,700 → $27,700 بیشتر از $40,000 — لندن: ۹ × $2,080 + شهریه</t>
        </is>
      </c>
      <c r="E91" s="82" t="inlineStr">
        <is>
          <t>❌ شهریه $49,000 به‌تنهایی $9k بیشتر از $40,000 است → صفر ماه زندگی</t>
        </is>
      </c>
      <c r="F91" s="82" t="inlineStr">
        <is>
          <t>❌ کار جبران نمی‌کند — کسری قبل از اولین ماه زندگی شروع می‌شود (۲۰ ساعت/هفته × $16.8 (National Living Wage از آوریل ۲۰۲۶) ≈ $1,440 خالص/ماه)؛
⚠️ تمکن لندنی $2,080 × ۹ + زندگی $2,190/ماه</t>
        </is>
      </c>
      <c r="G91" s="83" t="inlineStr">
        <is>
          <t>هیچ</t>
        </is>
      </c>
      <c r="H91" s="83" t="inlineStr"/>
      <c r="I91" s="84" t="inlineStr">
        <is>
          <t>Target</t>
        </is>
      </c>
      <c r="J91" s="83" t="inlineStr"/>
      <c r="K91" s="83" t="inlineStr">
        <is>
          <t>ارزان‌ترین RG لندن؛
2:1 = ۱۵–۱۶/۲۰ (جدول رسمی) ✓</t>
        </is>
      </c>
    </row>
    <row r="92" outlineLevel="1">
      <c r="A92" s="79" t="inlineStr">
        <is>
          <t>❌</t>
        </is>
      </c>
      <c r="B92" s="89" t="inlineStr">
        <is>
          <t>University of Manchester (Russell Group) – Manchester</t>
        </is>
      </c>
      <c r="C92" s="81" t="inlineStr">
        <is>
          <t>MSc Advanced Computer Science (۱ سال)</t>
        </is>
      </c>
      <c r="D92" s="82" t="inlineStr">
        <is>
          <t>❌ شهریه $52,200 + تمکن یک‌سال $14,300 = $66,600 → $26,600 بیشتر از $40,000 — ۹ × $1,590 خارج لندن + شهریهٔ سال اول (CAS)؛
۲۸ روز در حساب؛
حساب والدین با رضایت‌نامه مجاز</t>
        </is>
      </c>
      <c r="E92" s="82" t="inlineStr">
        <is>
          <t>❌ شهریه $52,200 به‌تنهایی $12k بیشتر از $40,000 است → صفر ماه زندگی</t>
        </is>
      </c>
      <c r="F92" s="82" t="inlineStr">
        <is>
          <t>❌ کار جبران نمی‌کند — کسری قبل از اولین ماه زندگی شروع می‌شود (۲۰ ساعت/هفته × $16.8 (National Living Wage از آوریل ۲۰۲۶) ≈ $1,440 خالص/ماه)؛
⚠️ $52,200 = ورودی ۲۰۲۶؛
۲۰۲۷ اعلام نشده</t>
        </is>
      </c>
      <c r="G92" s="81" t="inlineStr">
        <is>
          <t>Global Futures شامل ایران نیست؛ هیچ</t>
        </is>
      </c>
      <c r="H92" s="83" t="inlineStr"/>
      <c r="I92" s="84" t="inlineStr">
        <is>
          <t>Target/Reach</t>
        </is>
      </c>
      <c r="J92" s="83" t="inlineStr"/>
      <c r="K92" s="83" t="inlineStr">
        <is>
          <t>دومین قطب فناوری انگلستان؛ QS 35</t>
        </is>
      </c>
    </row>
    <row r="93" outlineLevel="1">
      <c r="A93" s="79" t="inlineStr">
        <is>
          <t>❌</t>
        </is>
      </c>
      <c r="B93" s="89" t="inlineStr">
        <is>
          <t>King's College London (Russell Group) – London – مرکز</t>
        </is>
      </c>
      <c r="C93" s="81" t="inlineStr">
        <is>
          <t>MSc Advanced Computing / MSc Artificial Intelligence (۱ سال)</t>
        </is>
      </c>
      <c r="D93" s="82" t="inlineStr">
        <is>
          <t>❌ شهریه $53,600 + تمکن یک‌سال $18,700 = $72,300 → $32,300 بیشتر از $40,000 — لندن: ۹ × $2,080 + شهریه</t>
        </is>
      </c>
      <c r="E93" s="82" t="inlineStr">
        <is>
          <t>❌ شهریه $53,600 به‌تنهایی $14k بیشتر از $40,000 است → صفر ماه زندگی</t>
        </is>
      </c>
      <c r="F93" s="82" t="inlineStr">
        <is>
          <t>❌ کار جبران نمی‌کند — کسری قبل از اولین ماه زندگی شروع می‌شود (۲۰ ساعت/هفته × $16.8 (National Living Wage از آوریل ۲۰۲۶) ≈ $1,440 خالص/ماه)؛
⚠️ ایران ۱۷/۲۰ لازم → با ۱۵.۷۷ زیر خط</t>
        </is>
      </c>
      <c r="G93" s="83" t="inlineStr">
        <is>
          <t>هیچ</t>
        </is>
      </c>
      <c r="H93" s="83" t="inlineStr"/>
      <c r="I93" s="86" t="inlineStr">
        <is>
          <t>Reach</t>
        </is>
      </c>
      <c r="J93" s="83" t="inlineStr"/>
      <c r="K93" s="83" t="inlineStr">
        <is>
          <t>مرکز لندن؛ QS ≈ 31</t>
        </is>
      </c>
    </row>
    <row r="94" outlineLevel="1">
      <c r="A94" s="79" t="inlineStr">
        <is>
          <t>❌</t>
        </is>
      </c>
      <c r="B94" s="89" t="inlineStr">
        <is>
          <t>UCL – University College London (Russell Group) – London – مرکز</t>
        </is>
      </c>
      <c r="C94" s="81" t="inlineStr">
        <is>
          <t>MSc Software Systems Engineering / MSc Machine Learning (MSc Computer Science تبدیلی است و برای فارغ‌التحصیل CS باز نیست) (۱ سال)</t>
        </is>
      </c>
      <c r="D94" s="82" t="inlineStr">
        <is>
          <t>❌ شهریه $61,900 + تمکن یک‌سال $18,700 = $80,600 → $40,600 بیشتر از $40,000 — لندن: ۹ × $2,080 + شهریه</t>
        </is>
      </c>
      <c r="E94" s="82" t="inlineStr">
        <is>
          <t>❌ شهریه $61,900 به‌تنهایی $22k بیشتر از $40,000 است → صفر ماه زندگی</t>
        </is>
      </c>
      <c r="F94" s="82" t="inlineStr">
        <is>
          <t>❌ کار جبران نمی‌کند — کسری قبل از اولین ماه زندگی شروع می‌شود (۲۰ ساعت/هفته × $16.8 (National Living Wage از آوریل ۲۰۲۶) ≈ $1,440 خالص/ماه)؛
⚠️ Reach؛
هزینهٔ درخواست $120</t>
        </is>
      </c>
      <c r="G94" s="83" t="inlineStr">
        <is>
          <t>هیچ</t>
        </is>
      </c>
      <c r="H94" s="83" t="inlineStr"/>
      <c r="I94" s="86" t="inlineStr">
        <is>
          <t>Reach</t>
        </is>
      </c>
      <c r="J94" s="83" t="inlineStr"/>
      <c r="K94" s="81" t="inlineStr">
        <is>
          <t>QS 9</t>
        </is>
      </c>
    </row>
    <row r="95" outlineLevel="1">
      <c r="A95" s="79" t="inlineStr">
        <is>
          <t>❌</t>
        </is>
      </c>
      <c r="B95" s="89" t="inlineStr">
        <is>
          <t>Imperial College London (Russell Group) – London – مرکز</t>
        </is>
      </c>
      <c r="C95" s="81" t="inlineStr">
        <is>
          <t>MSc Computing (Artificial Intelligence and Machine Learning) / MSc Computing (۱ سال)</t>
        </is>
      </c>
      <c r="D95" s="82" t="inlineStr">
        <is>
          <t>❌ شهریه $61,000 + تمکن یک‌سال $18,700 = $79,700 → $39,700 بیشتر از $40,000 — لندن: ۹ × $2,080 + شهریه</t>
        </is>
      </c>
      <c r="E95" s="82" t="inlineStr">
        <is>
          <t>❌ شهریه $61,000 به‌تنهایی $21k بیشتر از $40,000 است → صفر ماه زندگی</t>
        </is>
      </c>
      <c r="F95" s="82" t="inlineStr">
        <is>
          <t>❌ کار جبران نمی‌کند — کسری قبل از اولین ماه زندگی شروع می‌شود (۲۰ ساعت/هفته × $16.8 (National Living Wage از آوریل ۲۰۲۶) ≈ $1,440 خالص/ماه)؛
⚠️ First-class لازم → با ۱۵.۷۷ رسماً واجد شرایط نیستید</t>
        </is>
      </c>
      <c r="G95" s="83" t="inlineStr">
        <is>
          <t>هیچ</t>
        </is>
      </c>
      <c r="H95" s="83" t="inlineStr"/>
      <c r="I95" s="86" t="inlineStr">
        <is>
          <t>Reach</t>
        </is>
      </c>
      <c r="J95" s="83" t="inlineStr"/>
      <c r="K95" s="81" t="inlineStr">
        <is>
          <t>QS 2</t>
        </is>
      </c>
    </row>
    <row r="96" outlineLevel="1">
      <c r="A96" s="79" t="inlineStr">
        <is>
          <t>❌</t>
        </is>
      </c>
      <c r="B96" s="91" t="inlineStr">
        <is>
          <t>Linköping University (LiU) – Linköping</t>
        </is>
      </c>
      <c r="C96" s="81" t="inlineStr">
        <is>
          <t>MSc Computer Science (۲ سال)</t>
        </is>
      </c>
      <c r="D96" s="82" t="inlineStr">
        <is>
          <t>❌ شهریه $33,500 + تمکن یک‌سال $10,800 = $44,300 → $4,300 بیشتر از $40,000 — $1,080 × ۱۰ ماه در حساب خودتان + قسط اول شهریه پرداخت‌شده</t>
        </is>
      </c>
      <c r="E96" s="73" t="inlineStr">
        <is>
          <t>⚠️ شهریه $33,500 + ۵.۶ ماه زندگی ($1,160/ماه) از ۲۴ ماه → از ماه ۶ باید کار کنید</t>
        </is>
      </c>
      <c r="F96" s="73"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96" s="83" t="inlineStr">
        <is>
          <t>بورس ۵۰٪ LiU (معدل ۳.۵/۴؛ Reach) → گام ۱ ✅ و ۲۰ ماه پوشش</t>
        </is>
      </c>
      <c r="H96" s="83" t="inlineStr"/>
      <c r="I96" s="84" t="inlineStr">
        <is>
          <t>Target</t>
        </is>
      </c>
      <c r="J96" s="83" t="inlineStr"/>
      <c r="K96" s="83" t="inlineStr">
        <is>
          <t>خوابگاه تضمینی؛ Saab/Ericsson</t>
        </is>
      </c>
    </row>
    <row r="97" outlineLevel="1">
      <c r="A97" s="79" t="inlineStr">
        <is>
          <t>❌</t>
        </is>
      </c>
      <c r="B97" s="92" t="inlineStr">
        <is>
          <t>University of Twente (UT) – Enschede</t>
        </is>
      </c>
      <c r="C97" s="81" t="inlineStr">
        <is>
          <t>MSc Computer Science (گرایش‌ها: Cyber Security، Data Science، Software Tech، ...) (۲ سال)</t>
        </is>
      </c>
      <c r="D97" s="82" t="inlineStr">
        <is>
          <t>❌ شهریه $49,500 + تمکن یک‌سال $15,500 = $64,900 → $24,900 بیشتر از $40,000 — $1,290 × ۱۲ (IND ۲۰۲۶) منتقل به دانشگاه + شهریهٔ سال اول پرداخت‌شده</t>
        </is>
      </c>
      <c r="E97" s="82" t="inlineStr">
        <is>
          <t>❌ شهریه $49,500 به‌تنهایی $9.5k بیشتر از $40,000 است → صفر ماه زندگی</t>
        </is>
      </c>
      <c r="F97" s="82" t="inlineStr">
        <is>
          <t>❌ کار جبران نمی‌کند — کسری قبل از اولین ماه زندگی شروع می‌شود (۱۶ ساعت/هفته × $16.8 (حداقل قانونی ۲۰۲۶؛ ۱۶ ساعت فقط با مجوز TWV کارفرما) ≈ $1,090 خالص/ماه)</t>
        </is>
      </c>
      <c r="G97" s="83" t="inlineStr">
        <is>
          <t>فقط بورس UTS (تا ≈ $25k/سال؛ Reach)</t>
        </is>
      </c>
      <c r="H97" s="83" t="inlineStr"/>
      <c r="I97" s="84" t="inlineStr">
        <is>
          <t>Target</t>
        </is>
      </c>
      <c r="J97" s="83" t="inlineStr"/>
      <c r="K97" s="83" t="inlineStr">
        <is>
          <t>انگلیسی‌دوست‌ترین بازار کار؛ ۱۲ ماه zoekjaar</t>
        </is>
      </c>
    </row>
    <row r="98" outlineLevel="1">
      <c r="A98" s="79" t="inlineStr">
        <is>
          <t>❌</t>
        </is>
      </c>
      <c r="B98" s="92" t="inlineStr">
        <is>
          <t>Radboud University – Nijmegen</t>
        </is>
      </c>
      <c r="C98" s="81" t="inlineStr">
        <is>
          <t>MSc Computing Science (گرایش‌ها: Cyber Security، Data Science، Software Science) (۲ سال)</t>
        </is>
      </c>
      <c r="D98" s="82" t="inlineStr">
        <is>
          <t>❌ شهریه $44,900 + تمکن یک‌سال $15,500 = $60,400 → $20,400 بیشتر از $40,000 — $1,290 × ۱۲ (IND ۲۰۲۶) منتقل به دانشگاه + شهریهٔ سال اول پرداخت‌شده</t>
        </is>
      </c>
      <c r="E98" s="82" t="inlineStr">
        <is>
          <t>❌ شهریه $44,900 به‌تنهایی $4.9k بیشتر از $40,000 است → صفر ماه زندگی</t>
        </is>
      </c>
      <c r="F98" s="82" t="inlineStr">
        <is>
          <t>❌ کار جبران نمی‌کند — کسری قبل از اولین ماه زندگی شروع می‌شود (۱۶ ساعت/هفته × $16.8 (حداقل قانونی ۲۰۲۶؛ ۱۶ ساعت فقط با مجوز TWV کارفرما) ≈ $1,090 خالص/ماه)</t>
        </is>
      </c>
      <c r="G98" s="83" t="inlineStr">
        <is>
          <t>فقط Radboud Scholarship (Reach)</t>
        </is>
      </c>
      <c r="H98" s="83" t="inlineStr"/>
      <c r="I98" s="84" t="inlineStr">
        <is>
          <t>Target</t>
        </is>
      </c>
      <c r="J98" s="83" t="inlineStr"/>
      <c r="K98" s="83" t="inlineStr">
        <is>
          <t>ارزان‌ترِ هلند</t>
        </is>
      </c>
    </row>
    <row r="99" outlineLevel="1">
      <c r="A99" s="79" t="inlineStr">
        <is>
          <t>❌</t>
        </is>
      </c>
      <c r="B99" s="92" t="inlineStr">
        <is>
          <t>University of Amsterdam (UvA) – Amsterdam</t>
        </is>
      </c>
      <c r="C99" s="81" t="inlineStr">
        <is>
          <t>MSc Software Engineering (۱ ساله!) (۱ سال)</t>
        </is>
      </c>
      <c r="D99" s="82" t="inlineStr">
        <is>
          <t>❌ شهریه $39,100 + تمکن یک‌سال $15,500 = $54,600 → $14,600 بیشتر از $40,000 — $1,290 × ۱۲ (IND ۲۰۲۶) منتقل به دانشگاه + شهریهٔ سال اول پرداخت‌شده</t>
        </is>
      </c>
      <c r="E99" s="82" t="inlineStr">
        <is>
          <t>❌ شهریه $39,100 + ۰.۵ ماه زندگی ($1,710/ماه) از ۱۲ ماه → از ماه ۱ باید کار کنید</t>
        </is>
      </c>
      <c r="F99" s="82"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99" s="83" t="inlineStr">
        <is>
          <t>هیچ</t>
        </is>
      </c>
      <c r="H99" s="83" t="inlineStr"/>
      <c r="I99" s="84" t="inlineStr">
        <is>
          <t>Target/Reach</t>
        </is>
      </c>
      <c r="J99" s="83" t="inlineStr"/>
      <c r="K99" s="83" t="inlineStr">
        <is>
          <t>۱ ساله در بهترین بازار انگلیسی‌زبان</t>
        </is>
      </c>
    </row>
    <row r="100" outlineLevel="1">
      <c r="A100" s="79" t="inlineStr">
        <is>
          <t>❌</t>
        </is>
      </c>
      <c r="B100" s="93" t="inlineStr">
        <is>
          <t>Aalborg University (AAU) – Aalborg</t>
        </is>
      </c>
      <c r="C100" s="81" t="inlineStr">
        <is>
          <t>MSc Computer Science (IT) (۲ سال)</t>
        </is>
      </c>
      <c r="D100" s="87" t="inlineStr">
        <is>
          <t>✅ شهریه $35,000 + تمکن $0 (با پرداخت شهریه از اثبات تمکن معاف‌اید؛ وگرنه $1,130 × ۱۲ — SIRI ۲۰۲۶) = $35,000 ≤ $40,000 — ولی پول واقعی زندگی را ستون بعد نشان می‌دهد</t>
        </is>
      </c>
      <c r="E100" s="82" t="inlineStr">
        <is>
          <t>❌ شهریه $35,000 + ۳.۸ ماه زندگی ($1,340/ماه) از ۲۴ ماه → از ماه ۴ باید کار کنید</t>
        </is>
      </c>
      <c r="F100" s="82"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100" s="83" t="inlineStr">
        <is>
          <t>≈ ۱۵ بورس AAU (بعید)</t>
        </is>
      </c>
      <c r="H100" s="83" t="inlineStr"/>
      <c r="I100" s="84" t="inlineStr">
        <is>
          <t>Target</t>
        </is>
      </c>
      <c r="J100" s="83" t="inlineStr"/>
      <c r="K100" s="83" t="inlineStr">
        <is>
          <t>۳ سال اقامت کاریابی؛ حقوق بالا</t>
        </is>
      </c>
    </row>
    <row r="101" outlineLevel="1">
      <c r="A101" s="79" t="inlineStr">
        <is>
          <t>❌</t>
        </is>
      </c>
      <c r="B101" s="93" t="inlineStr">
        <is>
          <t>University of Southern Denmark (SDU) – Odense</t>
        </is>
      </c>
      <c r="C101" s="81" t="inlineStr">
        <is>
          <t>MSc Computer Science (۲ سال)</t>
        </is>
      </c>
      <c r="D101" s="87" t="inlineStr">
        <is>
          <t>✅ شهریه $39,400 + تمکن $0 (با پرداخت شهریه از اثبات تمکن معاف‌اید؛ وگرنه $1,130 × ۱۲ — SIRI ۲۰۲۶) = $39,400 ≤ $40,000 — ولی پول واقعی زندگی را ستون بعد نشان می‌دهد</t>
        </is>
      </c>
      <c r="E101" s="82" t="inlineStr">
        <is>
          <t>❌ شهریه $39,400 + ۰.۴ ماه زندگی ($1,370/ماه) از ۲۴ ماه → از ماه ۱ باید کار کنید</t>
        </is>
      </c>
      <c r="F101" s="82"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101" s="83" t="inlineStr">
        <is>
          <t>هیچ</t>
        </is>
      </c>
      <c r="H101" s="83" t="inlineStr"/>
      <c r="I101" s="84" t="inlineStr">
        <is>
          <t>Target</t>
        </is>
      </c>
      <c r="J101" s="83" t="inlineStr"/>
      <c r="K101" s="83" t="inlineStr">
        <is>
          <t>—</t>
        </is>
      </c>
    </row>
    <row r="102" outlineLevel="1">
      <c r="A102" s="90" t="inlineStr">
        <is>
          <t>⚠️</t>
        </is>
      </c>
      <c r="B102" s="80" t="inlineStr">
        <is>
          <t>University of Zurich (UZH) – Zürich</t>
        </is>
      </c>
      <c r="C102" s="81" t="inlineStr">
        <is>
          <t>MSc Informatics (گرایش‌ها: Software Systems، Data Science، People-Oriented Computing…) (۱.۵–۲ سال)</t>
        </is>
      </c>
      <c r="D102" s="87" t="inlineStr">
        <is>
          <t>✅ شهریه $3,190 + تمکن یک‌سال $25,400 = $28,600 ≤ $40,000 ($11,400 زیر سقف) — $25,400 در بانک به نام خودتان (زوریخ فقط بانک سوئیسی)</t>
        </is>
      </c>
      <c r="E102" s="73" t="inlineStr">
        <is>
          <t>⚠️ شهریه $3,190 + ۱۳.۸ ماه زندگی ($2,660/ماه) از ۱۸ ماه → از ماه ۱۴ باید کار کنید</t>
        </is>
      </c>
      <c r="F102" s="73"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102" s="83" t="inlineStr">
        <is>
          <t>بورس UZH (Reach)</t>
        </is>
      </c>
      <c r="H102" s="83" t="inlineStr"/>
      <c r="I102" s="86" t="inlineStr">
        <is>
          <t>Reach</t>
        </is>
      </c>
      <c r="J102" s="83" t="inlineStr"/>
      <c r="K102" s="83" t="inlineStr">
        <is>
          <t>زوریخ = بزرگ‌ترین بازار IT سوئیس</t>
        </is>
      </c>
    </row>
    <row r="103" outlineLevel="1">
      <c r="A103" s="79" t="inlineStr">
        <is>
          <t>❌</t>
        </is>
      </c>
      <c r="B103" s="80" t="inlineStr">
        <is>
          <t>ETH Zürich – Zürich</t>
        </is>
      </c>
      <c r="C103" s="81" t="inlineStr">
        <is>
          <t>MSc Computer Science (۲ سال)</t>
        </is>
      </c>
      <c r="D103" s="87" t="inlineStr">
        <is>
          <t>✅ شهریه $11,000 + تمکن یک‌سال $25,400 = $36,400 ≤ $40,000 ($3,630 زیر سقف) — $25,400 در بانک به نام خودتان (زوریخ فقط بانک سوئیسی)</t>
        </is>
      </c>
      <c r="E103" s="82" t="inlineStr">
        <is>
          <t>❌ شهریه $11,000 + ۱۰.۹ ماه زندگی ($2,660/ماه) از ۲۴ ماه → از ماه ۱۱ باید کار کنید</t>
        </is>
      </c>
      <c r="F103" s="82"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103" s="81" t="inlineStr">
        <is>
          <t>ESOP (بسیار Reach)</t>
        </is>
      </c>
      <c r="H103" s="83" t="inlineStr"/>
      <c r="I103" s="86" t="inlineStr">
        <is>
          <t>Reach</t>
        </is>
      </c>
      <c r="J103" s="83" t="inlineStr"/>
      <c r="K103" s="83" t="inlineStr">
        <is>
          <t>رتبهٔ ۸ جهان</t>
        </is>
      </c>
    </row>
    <row r="104" outlineLevel="1">
      <c r="A104" s="79" t="inlineStr">
        <is>
          <t>❌</t>
        </is>
      </c>
      <c r="B104" s="94" t="inlineStr">
        <is>
          <t>LUT University – Lappeenranta</t>
        </is>
      </c>
      <c r="C104" s="81" t="inlineStr">
        <is>
          <t>MSc (Tech) Software Engineering (۲ سال)</t>
        </is>
      </c>
      <c r="D104" s="82"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4" s="87" t="inlineStr">
        <is>
          <t>✅ شهریه $34,200 + ۶.۴ ماه زندگی ($910/ماه) از ۲۴ ماه → از ماه ۷ باید کار کنید</t>
        </is>
      </c>
      <c r="F104" s="87" t="inlineStr">
        <is>
          <t>✅ ۳۰ ساعت/هفته × $14.2 (بدون حداقل قانونی؛ کف توافق جمعی (TES) خدمات/خرده‌فروشی ≈ $14–15 فرض) ≈ $1,590 خالص/ماه ≥ زندگی $910 → از ماه ۷ کسری صفر و $330 از بودجه می‌ماند؛
⚠️ بدون بورس، شهریه $34.2k فقط ۶ ماه زندگی می‌گذارد</t>
        </is>
      </c>
      <c r="G104" s="83" t="inlineStr">
        <is>
          <t>بورس Early-bird/ادامهٔ تحصیل LUT تا $5,700 → گام ۱ ≈ $39.4k ✅ (مرزی)</t>
        </is>
      </c>
      <c r="H104" s="83" t="inlineStr"/>
      <c r="I104" s="84" t="inlineStr">
        <is>
          <t>Target</t>
        </is>
      </c>
      <c r="J104" s="83" t="inlineStr"/>
      <c r="K104" s="83" t="inlineStr">
        <is>
          <t>شهر ارزان؛ ۳۰ ساعت کار؛ ۲ سال کاریابی</t>
        </is>
      </c>
    </row>
    <row r="105" outlineLevel="1">
      <c r="A105" s="79" t="inlineStr">
        <is>
          <t>❌</t>
        </is>
      </c>
      <c r="B105" s="94" t="inlineStr">
        <is>
          <t>University of Helsinki – Helsinki</t>
        </is>
      </c>
      <c r="C105" s="81" t="inlineStr">
        <is>
          <t>MSc Computer Science (Algorithms / Networks / Software) (۲ سال)</t>
        </is>
      </c>
      <c r="D105" s="82"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5" s="73" t="inlineStr">
        <is>
          <t>⚠️ شهریه $34,200 + ۴.۴ ماه زندگی ($1,310/ماه) از ۲۴ ماه → از ماه ۵ باید کار کنید</t>
        </is>
      </c>
      <c r="F105" s="73" t="inlineStr">
        <is>
          <t>⚠️ ۳۰ ساعت/هفته × $14.2 (بدون حداقل قانونی؛ کف توافق جمعی (TES) خدمات/خرده‌فروشی ≈ $14–15 فرض) ≈ $1,590 خالص/ماه ≥ زندگی $1,310 → از ماه ۵ کسری صفر و $555 از بودجه می‌ماند؛
⚠️ شهریه $17,100 × ۲ + تمکن $10,900 = $45.1k</t>
        </is>
      </c>
      <c r="G105" s="83" t="inlineStr">
        <is>
          <t>بورس دانشگاه هلسینکی (معدود؛ Reach)</t>
        </is>
      </c>
      <c r="H105" s="83" t="inlineStr"/>
      <c r="I105" s="84" t="inlineStr">
        <is>
          <t>Target/Reach</t>
        </is>
      </c>
      <c r="J105" s="83" t="inlineStr"/>
      <c r="K105" s="83" t="inlineStr">
        <is>
          <t>رتبهٔ ۱۲۳ جهان؛ بزرگ‌ترین بازار IT فنلاند</t>
        </is>
      </c>
    </row>
    <row r="106" outlineLevel="1">
      <c r="A106" s="79" t="inlineStr">
        <is>
          <t>❌</t>
        </is>
      </c>
      <c r="B106" s="94" t="inlineStr">
        <is>
          <t>Aalto University – Espoo</t>
        </is>
      </c>
      <c r="C106" s="81" t="inlineStr">
        <is>
          <t>MSc (Tech) Computer Science (۲ سال)</t>
        </is>
      </c>
      <c r="D106" s="82" t="inlineStr">
        <is>
          <t>❌ شهریه $38,800 + تمکن یک‌سال $10,900 = $49,700 → $9,700 بیشتر از $40,000 — $910 × ۱۲ = $10,900 در حساب به نام خودتان (هر کشوری؛ گردش ۶ ماه) + شهریهٔ سال اول پرداخت‌شده یا در حساب — Migri ۲۰۲۶</t>
        </is>
      </c>
      <c r="E106" s="73" t="inlineStr">
        <is>
          <t>⚠️ شهریه $38,800 + ۱ ماه زندگی ($1,230/ماه) از ۲۴ ماه → از ماه ۲ باید کار کنید</t>
        </is>
      </c>
      <c r="F106" s="73" t="inlineStr">
        <is>
          <t>⚠️ ۳۰ ساعت/هفته × $14.2 (بدون حداقل قانونی؛ کف توافق جمعی (TES) خدمات/خرده‌فروشی ≈ $14–15 فرض) ≈ $1,590 خالص/ماه ≥ زندگی $1,230 → از ماه ۲ کسری صفر و $14 از بودجه می‌ماند؛
⚠️ شهریه $19,400 × ۲ + تمکن = $49.7k؛
Game Design فقط ۸ نفر</t>
        </is>
      </c>
      <c r="G106" s="83" t="inlineStr">
        <is>
          <t>بورس Aalto ۵۰–۱۰۰٪ (معدود؛ Reach)</t>
        </is>
      </c>
      <c r="H106" s="83" t="inlineStr"/>
      <c r="I106" s="86" t="inlineStr">
        <is>
          <t>Reach</t>
        </is>
      </c>
      <c r="J106" s="83" t="inlineStr"/>
      <c r="K106" s="83" t="inlineStr">
        <is>
          <t>بهترین برند فنی فنلاند؛
اکوسیستم استارتاپ/بازی هلسینکی</t>
        </is>
      </c>
    </row>
    <row r="107"/>
    <row r="108">
      <c r="A108"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109" outlineLevel="1" ht="44" customHeight="1">
      <c r="A109" s="15" t="inlineStr">
        <is>
          <t>حکم</t>
        </is>
      </c>
      <c r="B109" s="15" t="inlineStr">
        <is>
          <t>دانشگاه – شهر</t>
        </is>
      </c>
      <c r="C109" s="15" t="inlineStr">
        <is>
          <t>زندگی واقعی/ماه</t>
        </is>
      </c>
      <c r="D109" s="15" t="inlineStr">
        <is>
          <t>سقف قانونی کار / از چه ماهی مجاز</t>
        </is>
      </c>
      <c r="E109" s="15" t="inlineStr">
        <is>
          <t>دستمزد خالص هر ساعت: کف قانونی/معمول → IT معمول</t>
        </is>
      </c>
      <c r="F109" s="15" t="inlineStr">
        <is>
          <t>ساعت لازم در هفته با کف</t>
        </is>
      </c>
      <c r="G109" s="15" t="inlineStr">
        <is>
          <t>ساعت لازم در هفته با نرخ IT</t>
        </is>
      </c>
      <c r="H109" s="15" t="inlineStr">
        <is>
          <t>درآمد در سقف قانونی با کف (درصد زندگی)</t>
        </is>
      </c>
      <c r="I109" s="15" t="inlineStr">
        <is>
          <t>میانگین سالانه اگر تعطیلات ترم را تمام‌وقت کار کنید</t>
        </is>
      </c>
      <c r="J109" s="15" t="inlineStr">
        <is>
          <t>مستقل از ماه؟ (قانونی → واقع‌بینانه)</t>
        </is>
      </c>
      <c r="K109" s="15" t="inlineStr">
        <is>
          <t>چطور / نکته</t>
        </is>
      </c>
    </row>
    <row r="110" outlineLevel="1">
      <c r="A110" s="72" t="inlineStr">
        <is>
          <t>⚠️</t>
        </is>
      </c>
      <c r="B110" s="62" t="inlineStr">
        <is>
          <t>University of Basel – Basel</t>
        </is>
      </c>
      <c r="C110" s="95" t="inlineStr">
        <is>
          <t>$2,240</t>
        </is>
      </c>
      <c r="D110" s="69" t="inlineStr">
        <is>
          <t>۱۵ ساعت/هفته — از ماه ۷</t>
        </is>
      </c>
      <c r="E110" s="69" t="inlineStr">
        <is>
          <t>$26.9 → ≈ $24/ساعت (کف قانونی Basel-Stadt ۲۰۲۶)؛
IT: $34 → ≈ $31/ساعت (IT Werkstudent $30–42)</t>
        </is>
      </c>
      <c r="F110" s="66" t="inlineStr">
        <is>
          <t>۲۱.۱ ساعت ✗ (سقف ۱۵)</t>
        </is>
      </c>
      <c r="G110" s="66" t="inlineStr">
        <is>
          <t>۱۶.۸ ساعت ✗ (سقف ۱۵)</t>
        </is>
      </c>
      <c r="H110" s="69" t="inlineStr">
        <is>
          <t>$1,590 = ۷۱٪</t>
        </is>
      </c>
      <c r="I110" s="69" t="inlineStr">
        <is>
          <t>۲۱.۸ ساعت/هفته میانگین → $2,300 = ۱۰۳٪</t>
        </is>
      </c>
      <c r="J110" s="96" t="inlineStr">
        <is>
          <t>⚠️ در ترم نه (سقف ۱۵ ساعت = ۷۱٪ زندگی)؛
فقط به‌طور میانگین سالانه اگر تعطیلات ترم را تمام‌وقت کار کنید و پس‌انداز کنید؛
از ماه ۸</t>
        </is>
      </c>
      <c r="K110" s="69" t="inlineStr">
        <is>
          <t>کارفرما باید مجوز بگیرد؛
از ماه ۴–۵ برای ماه ۷ درخواست بدهید</t>
        </is>
      </c>
    </row>
    <row r="111" outlineLevel="1">
      <c r="A111" s="72" t="inlineStr">
        <is>
          <t>⚠️</t>
        </is>
      </c>
      <c r="B111" s="62" t="inlineStr">
        <is>
          <t>Hochschule Luzern (HSLU) – Lucerne / Luzern</t>
        </is>
      </c>
      <c r="C111" s="95" t="inlineStr">
        <is>
          <t>$2,120</t>
        </is>
      </c>
      <c r="D111" s="69" t="inlineStr">
        <is>
          <t>۱۵ ساعت/هفته — از ماه ۷</t>
        </is>
      </c>
      <c r="E111" s="69" t="inlineStr">
        <is>
          <t>$27 → ≈ $24/ساعت (کف قانونی شهر لوسرن از ژانویه ۲۰۲۶)؛
IT: $34 → ≈ $31/ساعت (IT Werkstudent $30–42)</t>
        </is>
      </c>
      <c r="F111" s="66" t="inlineStr">
        <is>
          <t>۲۰.۲ ساعت ✗ (سقف ۱۵)</t>
        </is>
      </c>
      <c r="G111" s="66" t="inlineStr">
        <is>
          <t>۱۵.۹ ساعت ✗ (سقف ۱۵)</t>
        </is>
      </c>
      <c r="H111" s="69" t="inlineStr">
        <is>
          <t>$1,570 = ۷۴٪</t>
        </is>
      </c>
      <c r="I111" s="69" t="inlineStr">
        <is>
          <t>۲۱.۸ ساعت/هفته میانگین → $2,280 = ۱۰۸٪</t>
        </is>
      </c>
      <c r="J111" s="96" t="inlineStr">
        <is>
          <t>⚠️ در ترم نه (سقف ۱۵ ساعت = ۷۴٪ زندگی)؛
فقط به‌طور میانگین سالانه اگر تعطیلات ترم را تمام‌وقت کار کنید و پس‌انداز کنید؛
از ماه ۸</t>
        </is>
      </c>
      <c r="K111" s="69" t="inlineStr">
        <is>
          <t>کارفرما باید مجوز بگیرد؛
از ماه ۴–۵ برای ماه ۷ درخواست بدهید</t>
        </is>
      </c>
    </row>
    <row r="112" outlineLevel="1">
      <c r="A112" s="72" t="inlineStr">
        <is>
          <t>⚠️</t>
        </is>
      </c>
      <c r="B112" s="62" t="inlineStr">
        <is>
          <t>University of Neuchâtel – Neuchâtel</t>
        </is>
      </c>
      <c r="C112" s="95" t="inlineStr">
        <is>
          <t>$1,880</t>
        </is>
      </c>
      <c r="D112" s="69" t="inlineStr">
        <is>
          <t>۱۵ ساعت/هفته — از ماه ۷</t>
        </is>
      </c>
      <c r="E112" s="69" t="inlineStr">
        <is>
          <t>$25.8 → ≈ $24/ساعت (کف قانونی کانتون Neuchâtel ۲۰۲۶)؛
IT: $34 → ≈ $31/ساعت (IT Werkstudent $30–42)</t>
        </is>
      </c>
      <c r="F112" s="66" t="inlineStr">
        <is>
          <t>۱۸.۴ ساعت ✗ (سقف ۱۵)</t>
        </is>
      </c>
      <c r="G112" s="66" t="inlineStr">
        <is>
          <t>۱۴ ساعت ✓</t>
        </is>
      </c>
      <c r="H112" s="69" t="inlineStr">
        <is>
          <t>$1,530 = ۸۱٪</t>
        </is>
      </c>
      <c r="I112" s="69" t="inlineStr">
        <is>
          <t>۲۱.۸ ساعت/هفته میانگین → $2,210 = ۱۱۸٪</t>
        </is>
      </c>
      <c r="J112" s="96" t="inlineStr">
        <is>
          <t>⚠️ فقط با کار IT (≥ $31.7 در ساعت): از ماه ۷ قانوناً، واقع‌بینانه ماه ۸؛
با کف در سقف ۱۵ ساعت فقط ۸۱٪ زندگی</t>
        </is>
      </c>
      <c r="K112" s="69" t="inlineStr">
        <is>
          <t>کارفرما باید مجوز بگیرد؛
از ماه ۴–۵ برای ماه ۷ درخواست بدهید</t>
        </is>
      </c>
    </row>
    <row r="113" outlineLevel="1">
      <c r="A113" s="72" t="inlineStr">
        <is>
          <t>⚠️</t>
        </is>
      </c>
      <c r="B113" s="62" t="inlineStr">
        <is>
          <t>University of Fribourg – Fribourg</t>
        </is>
      </c>
      <c r="C113" s="95" t="inlineStr">
        <is>
          <t>$1,970</t>
        </is>
      </c>
      <c r="D113" s="69" t="inlineStr">
        <is>
          <t>۱۵ ساعت/هفته — از ماه ۷</t>
        </is>
      </c>
      <c r="E113" s="69" t="inlineStr">
        <is>
          <t>$27 → ≈ $24/ساعت (بدون کف قانونی؛ $27 فرض)؛
IT: $34 → ≈ $31/ساعت (IT Werkstudent $30–42)</t>
        </is>
      </c>
      <c r="F113" s="66" t="inlineStr">
        <is>
          <t>۱۸.۷ ساعت ✗ (سقف ۱۵)</t>
        </is>
      </c>
      <c r="G113" s="66" t="inlineStr">
        <is>
          <t>۱۴.۷ ساعت ✓</t>
        </is>
      </c>
      <c r="H113" s="69" t="inlineStr">
        <is>
          <t>$1,570 = ۸۰٪</t>
        </is>
      </c>
      <c r="I113" s="69" t="inlineStr">
        <is>
          <t>۲۱.۸ ساعت/هفته میانگین → $2,280 = ۱۱۶٪</t>
        </is>
      </c>
      <c r="J113" s="96" t="inlineStr">
        <is>
          <t>⚠️ فقط با کار IT (≥ $33.3 در ساعت): از ماه ۷ قانوناً، واقع‌بینانه ماه ۸؛
با کف در سقف ۱۵ ساعت فقط ۸۰٪ زندگی</t>
        </is>
      </c>
      <c r="K113" s="69" t="inlineStr">
        <is>
          <t>کارفرما باید مجوز بگیرد؛
از ماه ۴–۵ برای ماه ۷ درخواست بدهید</t>
        </is>
      </c>
    </row>
    <row r="114" outlineLevel="1">
      <c r="A114" s="72" t="inlineStr">
        <is>
          <t>⚠️</t>
        </is>
      </c>
      <c r="B114" s="75" t="inlineStr">
        <is>
          <t>Universität Stuttgart – Stuttgart</t>
        </is>
      </c>
      <c r="C114" s="95" t="inlineStr">
        <is>
          <t>$1,400</t>
        </is>
      </c>
      <c r="D114" s="69" t="inlineStr">
        <is>
          <t>۲۰ ساعت/هفته — از ماه ۱</t>
        </is>
      </c>
      <c r="E114" s="69" t="inlineStr">
        <is>
          <t>$16.6 → ≈ $15/ساعت (حداقل قانونی از ژانویه ۲۰۲۷؛ Werkstudent IT معمولاً $19–23)؛
IT: $19 → ≈ $18/ساعت (Werkstudent IT $19–23)</t>
        </is>
      </c>
      <c r="F114" s="66" t="inlineStr">
        <is>
          <t>۲۱.۴ ساعت ✗ (سقف ۲۰)</t>
        </is>
      </c>
      <c r="G114" s="66" t="inlineStr">
        <is>
          <t>۱۸.۴ ساعت ✓</t>
        </is>
      </c>
      <c r="H114" s="69" t="inlineStr">
        <is>
          <t>$1,300 = ۹۳٪</t>
        </is>
      </c>
      <c r="I114" s="69" t="inlineStr">
        <is>
          <t>۲۰ ساعت/هفته میانگین → $1,300 = ۹۳٪ (اضافه‌ای ندارد)</t>
        </is>
      </c>
      <c r="J114" s="96" t="inlineStr">
        <is>
          <t>⚠️ فقط با کار IT (≥ $17.8 در ساعت): از ماه ۱ قانوناً، واقع‌بینانه ماه ۳؛
با کف در سقف ۲۰ ساعت فقط ۹۳٪ زندگی</t>
        </is>
      </c>
      <c r="K114" s="63" t="inlineStr">
        <is>
          <t>Werkstudent در شرکت‌ها یا HiWi دانشگاه؛
از ایران درخواست بدهید</t>
        </is>
      </c>
    </row>
    <row r="115" outlineLevel="1">
      <c r="A115" s="72" t="inlineStr">
        <is>
          <t>⚠️</t>
        </is>
      </c>
      <c r="B115" s="75" t="inlineStr">
        <is>
          <t>TU Darmstadt – Darmstadt</t>
        </is>
      </c>
      <c r="C115" s="95" t="inlineStr">
        <is>
          <t>$1,340</t>
        </is>
      </c>
      <c r="D115" s="69" t="inlineStr">
        <is>
          <t>۲۰ ساعت/هفته — از ماه ۱</t>
        </is>
      </c>
      <c r="E115" s="69" t="inlineStr">
        <is>
          <t>$16.6 → ≈ $15/ساعت (حداقل قانونی از ژانویه ۲۰۲۷؛ Werkstudent IT معمولاً $19–23)؛
IT: $19 → ≈ $18/ساعت (Werkstudent IT $19–23)</t>
        </is>
      </c>
      <c r="F115" s="66" t="inlineStr">
        <is>
          <t>۲۰.۵ ساعت ✗ (سقف ۲۰)</t>
        </is>
      </c>
      <c r="G115" s="66" t="inlineStr">
        <is>
          <t>۱۷.۶ ساعت ✓</t>
        </is>
      </c>
      <c r="H115" s="69" t="inlineStr">
        <is>
          <t>$1,300 = ۹۷٪</t>
        </is>
      </c>
      <c r="I115" s="69" t="inlineStr">
        <is>
          <t>۲۰ ساعت/هفته میانگین → $1,300 = ۹۷٪ (اضافه‌ای ندارد)</t>
        </is>
      </c>
      <c r="J115" s="96" t="inlineStr">
        <is>
          <t>⚠️ فقط با کار IT (≥ $17.1 در ساعت): از ماه ۱ قانوناً، واقع‌بینانه ماه ۳؛
با کف در سقف ۲۰ ساعت فقط ۹۷٪ زندگی</t>
        </is>
      </c>
      <c r="K115" s="63" t="inlineStr">
        <is>
          <t>Werkstudent در شرکت‌ها یا HiWi دانشگاه؛
از ایران درخواست بدهید</t>
        </is>
      </c>
    </row>
    <row r="116" outlineLevel="1">
      <c r="A116" s="61" t="inlineStr">
        <is>
          <t>✅</t>
        </is>
      </c>
      <c r="B116" s="75" t="inlineStr">
        <is>
          <t>Saarland University (UdS) – Saarbrücken</t>
        </is>
      </c>
      <c r="C116" s="95" t="inlineStr">
        <is>
          <t>$1,140</t>
        </is>
      </c>
      <c r="D116" s="69" t="inlineStr">
        <is>
          <t>۲۰ ساعت/هفته — از ماه ۱</t>
        </is>
      </c>
      <c r="E116" s="69" t="inlineStr">
        <is>
          <t>$16.6 → ≈ $15/ساعت (حداقل قانونی از ژانویه ۲۰۲۷؛ Werkstudent IT معمولاً $19–23)؛
IT: $19 → ≈ $18/ساعت (Werkstudent IT $19–23)</t>
        </is>
      </c>
      <c r="F116" s="66" t="inlineStr">
        <is>
          <t>۱۷.۵ ساعت ✓</t>
        </is>
      </c>
      <c r="G116" s="66" t="inlineStr">
        <is>
          <t>۱۵ ساعت ✓</t>
        </is>
      </c>
      <c r="H116" s="69" t="inlineStr">
        <is>
          <t>$1,300 = ۱۱۴٪</t>
        </is>
      </c>
      <c r="I116" s="69" t="inlineStr">
        <is>
          <t>۲۰ ساعت/هفته میانگین → $1,300 = ۱۱۴٪ (اضافه‌ای ندارد)</t>
        </is>
      </c>
      <c r="J116" s="97" t="inlineStr">
        <is>
          <t>✅ از ماه ۱ قانوناً؛
واقع‌بینانه ماه ۳ — با ۱۷.۵ ساعت در هفته حتی با کف</t>
        </is>
      </c>
      <c r="K116" s="63" t="inlineStr">
        <is>
          <t>Werkstudent در شرکت‌ها یا HiWi دانشگاه؛
از ایران درخواست بدهید</t>
        </is>
      </c>
    </row>
    <row r="117" outlineLevel="1">
      <c r="A117" s="61" t="inlineStr">
        <is>
          <t>✅</t>
        </is>
      </c>
      <c r="B117" s="75" t="inlineStr">
        <is>
          <t>Universität Passau – Passau</t>
        </is>
      </c>
      <c r="C117" s="95" t="inlineStr">
        <is>
          <t>$1,140</t>
        </is>
      </c>
      <c r="D117" s="69" t="inlineStr">
        <is>
          <t>۲۰ ساعت/هفته — از ماه ۱</t>
        </is>
      </c>
      <c r="E117" s="69" t="inlineStr">
        <is>
          <t>$16.6 → ≈ $15/ساعت (حداقل قانونی از ژانویه ۲۰۲۷؛ Werkstudent IT معمولاً $19–23)؛
IT: $19 → ≈ $18/ساعت (Werkstudent IT $19–23)</t>
        </is>
      </c>
      <c r="F117" s="66" t="inlineStr">
        <is>
          <t>۱۷.۵ ساعت ✓</t>
        </is>
      </c>
      <c r="G117" s="66" t="inlineStr">
        <is>
          <t>۱۵ ساعت ✓</t>
        </is>
      </c>
      <c r="H117" s="69" t="inlineStr">
        <is>
          <t>$1,300 = ۱۱۴٪</t>
        </is>
      </c>
      <c r="I117" s="69" t="inlineStr">
        <is>
          <t>۲۰ ساعت/هفته میانگین → $1,300 = ۱۱۴٪ (اضافه‌ای ندارد)</t>
        </is>
      </c>
      <c r="J117" s="97" t="inlineStr">
        <is>
          <t>✅ از ماه ۱ قانوناً؛
واقع‌بینانه ماه ۳ — با ۱۷.۵ ساعت در هفته حتی با کف</t>
        </is>
      </c>
      <c r="K117" s="63" t="inlineStr">
        <is>
          <t>Werkstudent در شرکت‌ها یا HiWi دانشگاه؛
از ایران درخواست بدهید</t>
        </is>
      </c>
    </row>
    <row r="118" outlineLevel="1">
      <c r="A118" s="72" t="inlineStr">
        <is>
          <t>⚠️</t>
        </is>
      </c>
      <c r="B118" s="77" t="inlineStr">
        <is>
          <t>Blekinge Institute of Technology (BTH) – Karlskrona</t>
        </is>
      </c>
      <c r="C118" s="95" t="inlineStr">
        <is>
          <t>$1,060</t>
        </is>
      </c>
      <c r="D118" s="69" t="inlineStr">
        <is>
          <t>۲۰ ساعت/هفته — از ماه ۱</t>
        </is>
      </c>
      <c r="E118" s="69" t="inlineStr">
        <is>
          <t>$15 → ≈ $13/ساعت (بدون سقف قانونی ساعت و بدون حداقل قانونی؛ ۲۰ ساعت و کف توافق جمعی ≈ $15 فرض)؛
IT: $17 → ≈ $15/ساعت (IT $16–19)</t>
        </is>
      </c>
      <c r="F118" s="66" t="inlineStr">
        <is>
          <t>۱۸.۸ ساعت ✓</t>
        </is>
      </c>
      <c r="G118" s="66" t="inlineStr">
        <is>
          <t>۱۶.۶ ساعت ✓</t>
        </is>
      </c>
      <c r="H118" s="69" t="inlineStr">
        <is>
          <t>$1,130 = ۱۰۶٪</t>
        </is>
      </c>
      <c r="I118" s="69" t="inlineStr">
        <is>
          <t>۲۰ ساعت/هفته میانگین → $1,130 = ۱۰۶٪ (اضافه‌ای ندارد)</t>
        </is>
      </c>
      <c r="J118" s="96" t="inlineStr">
        <is>
          <t>⚠️ از ماه ۱ قانوناً؛
واقع‌بینانه ماه ۵ — با ۱۸.۸ ساعت در هفته حتی با کف؛
⚠️ مشکل پیدا کردن کار به انگلیسی، نه قانون</t>
        </is>
      </c>
      <c r="K118" s="69" t="inlineStr">
        <is>
          <t>بدون سوئدی کم؛
بیشتر از طریق دانشگاه/شرکت‌های بین‌المللی</t>
        </is>
      </c>
    </row>
    <row r="119" outlineLevel="1">
      <c r="A119" s="72" t="inlineStr">
        <is>
          <t>⚠️</t>
        </is>
      </c>
      <c r="B119" s="77" t="inlineStr">
        <is>
          <t>Mälardalen University (MDU) – Västerås</t>
        </is>
      </c>
      <c r="C119" s="95" t="inlineStr">
        <is>
          <t>$1,110</t>
        </is>
      </c>
      <c r="D119" s="69" t="inlineStr">
        <is>
          <t>۲۰ ساعت/هفته — از ماه ۱</t>
        </is>
      </c>
      <c r="E119" s="69" t="inlineStr">
        <is>
          <t>$15 → ≈ $13/ساعت (بدون سقف قانونی ساعت و بدون حداقل قانونی؛ ۲۰ ساعت و کف توافق جمعی ≈ $15 فرض)؛
IT: $17 → ≈ $15/ساعت (IT $16–19)</t>
        </is>
      </c>
      <c r="F119" s="66" t="inlineStr">
        <is>
          <t>۱۹.۷ ساعت ✓</t>
        </is>
      </c>
      <c r="G119" s="66" t="inlineStr">
        <is>
          <t>۱۷.۴ ساعت ✓</t>
        </is>
      </c>
      <c r="H119" s="69" t="inlineStr">
        <is>
          <t>$1,130 = ۱۰۲٪</t>
        </is>
      </c>
      <c r="I119" s="69" t="inlineStr">
        <is>
          <t>۲۰ ساعت/هفته میانگین → $1,130 = ۱۰۲٪ (اضافه‌ای ندارد)</t>
        </is>
      </c>
      <c r="J119" s="96" t="inlineStr">
        <is>
          <t>⚠️ از ماه ۱ قانوناً؛
واقع‌بینانه ماه ۵ — با ۱۹.۷ ساعت در هفته حتی با کف؛
⚠️ مشکل پیدا کردن کار به انگلیسی، نه قانون</t>
        </is>
      </c>
      <c r="K119" s="69" t="inlineStr">
        <is>
          <t>بدون سوئدی کم؛
بیشتر از طریق دانشگاه/شرکت‌های بین‌المللی</t>
        </is>
      </c>
    </row>
    <row r="120" outlineLevel="1">
      <c r="A120" s="72" t="inlineStr">
        <is>
          <t>⚠️</t>
        </is>
      </c>
      <c r="B120" s="76" t="inlineStr">
        <is>
          <t>Tampere University – Tampere</t>
        </is>
      </c>
      <c r="C120" s="95" t="inlineStr">
        <is>
          <t>$1,030</t>
        </is>
      </c>
      <c r="D120" s="69" t="inlineStr">
        <is>
          <t>۳۰ ساعت/هفته — از ماه ۱</t>
        </is>
      </c>
      <c r="E120" s="69" t="inlineStr">
        <is>
          <t>$14.2 → ≈ $12/ساعت (بدون حداقل قانونی؛ کف توافق جمعی (TES) خدمات/خرده‌فروشی ≈ $14–15 فرض)؛
IT: $18 → ≈ $16/ساعت (IT/trainee $17–21)</t>
        </is>
      </c>
      <c r="F120" s="66" t="inlineStr">
        <is>
          <t>۱۹.۳ ساعت ✓</t>
        </is>
      </c>
      <c r="G120" s="66" t="inlineStr">
        <is>
          <t>۱۵.۱ ساعت ✓</t>
        </is>
      </c>
      <c r="H120" s="69" t="inlineStr">
        <is>
          <t>$1,590 = ۱۵۵٪</t>
        </is>
      </c>
      <c r="I120" s="69" t="inlineStr">
        <is>
          <t>۳۰ ساعت/هفته میانگین → $1,590 = ۱۵۵٪ (اضافه‌ای ندارد)</t>
        </is>
      </c>
      <c r="J120" s="96" t="inlineStr">
        <is>
          <t>⚠️ از ماه ۱ قانوناً؛
واقع‌بینانه ماه ۵ — با ۱۹.۳ ساعت در هفته حتی با کف</t>
        </is>
      </c>
      <c r="K120" s="69" t="inlineStr">
        <is>
          <t>بدون فنلاندی کم؛
کارآموزی (harjoittelu) شرکت‌های بین‌المللی و دستیاری دانشگاه؛
بیکاری ۹٪ (اوت ۲۰۲۶)</t>
        </is>
      </c>
    </row>
    <row r="121" outlineLevel="1">
      <c r="A121" s="72" t="inlineStr">
        <is>
          <t>⚠️</t>
        </is>
      </c>
      <c r="B121" s="76" t="inlineStr">
        <is>
          <t>University of Oulu – Oulu</t>
        </is>
      </c>
      <c r="C121" s="95" t="inlineStr">
        <is>
          <t>$970</t>
        </is>
      </c>
      <c r="D121" s="69" t="inlineStr">
        <is>
          <t>۳۰ ساعت/هفته — از ماه ۱</t>
        </is>
      </c>
      <c r="E121" s="69" t="inlineStr">
        <is>
          <t>$14.2 → ≈ $12/ساعت (بدون حداقل قانونی؛ کف توافق جمعی (TES) خدمات/خرده‌فروشی ≈ $14–15 فرض)؛
IT: $18 → ≈ $16/ساعت (IT/trainee $17–21)</t>
        </is>
      </c>
      <c r="F121" s="66" t="inlineStr">
        <is>
          <t>۱۸.۳ ساعت ✓</t>
        </is>
      </c>
      <c r="G121" s="66" t="inlineStr">
        <is>
          <t>۱۴.۳ ساعت ✓</t>
        </is>
      </c>
      <c r="H121" s="69" t="inlineStr">
        <is>
          <t>$1,590 = ۱۶۴٪</t>
        </is>
      </c>
      <c r="I121" s="69" t="inlineStr">
        <is>
          <t>۳۰ ساعت/هفته میانگین → $1,590 = ۱۶۴٪ (اضافه‌ای ندارد)</t>
        </is>
      </c>
      <c r="J121" s="96" t="inlineStr">
        <is>
          <t>⚠️ از ماه ۱ قانوناً؛
واقع‌بینانه ماه ۵ — با ۱۸.۳ ساعت در هفته حتی با کف</t>
        </is>
      </c>
      <c r="K121" s="69" t="inlineStr">
        <is>
          <t>بدون فنلاندی کم؛
کارآموزی (harjoittelu) شرکت‌های بین‌المللی و دستیاری دانشگاه؛
بیکاری ۹٪ (اوت ۲۰۲۶)</t>
        </is>
      </c>
    </row>
    <row r="122" outlineLevel="1">
      <c r="A122" s="72" t="inlineStr">
        <is>
          <t>⚠️</t>
        </is>
      </c>
      <c r="B122" s="71" t="inlineStr">
        <is>
          <t>University of Calgary (UCalgary) – Calgary</t>
        </is>
      </c>
      <c r="C122" s="95" t="inlineStr">
        <is>
          <t>$1,290</t>
        </is>
      </c>
      <c r="D122" s="69" t="inlineStr">
        <is>
          <t>۲۴ ساعت/هفته — از ماه ۱</t>
        </is>
      </c>
      <c r="E122" s="69" t="inlineStr">
        <is>
          <t>$11 → ≈ $10/ساعت (حداقل آلبرتا (از ۲۰۱۸ ثابت))؛
IT: $16 → ≈ $14/ساعت (IT/co-op $14–18؛ TA $28–35 (۵–۱۰ ساعت))</t>
        </is>
      </c>
      <c r="F122" s="66" t="inlineStr">
        <is>
          <t>۳۰.۵ ساعت ✗ (سقف ۲۴)</t>
        </is>
      </c>
      <c r="G122" s="66" t="inlineStr">
        <is>
          <t>۲۰.۸ ساعت ✓</t>
        </is>
      </c>
      <c r="H122" s="69" t="inlineStr">
        <is>
          <t>$1,010 = ۷۹٪</t>
        </is>
      </c>
      <c r="I122" s="69" t="inlineStr">
        <is>
          <t>۲۹.۲ ساعت/هفته میانگین → $1,230 = ۹۶٪</t>
        </is>
      </c>
      <c r="J122" s="96" t="inlineStr">
        <is>
          <t>⚠️ فقط با کار IT (≥ $13.5 در ساعت): از ماه ۱ قانوناً، واقع‌بینانه ماه ۳؛
با کف در سقف ۲۴ ساعت فقط ۷۹٪ زندگی</t>
        </is>
      </c>
      <c r="K122"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3" outlineLevel="1">
      <c r="A123" s="72" t="inlineStr">
        <is>
          <t>⚠️</t>
        </is>
      </c>
      <c r="B123" s="71" t="inlineStr">
        <is>
          <t>University of Alberta (UAlberta) – Edmonton</t>
        </is>
      </c>
      <c r="C123" s="95" t="inlineStr">
        <is>
          <t>$1,160</t>
        </is>
      </c>
      <c r="D123" s="69" t="inlineStr">
        <is>
          <t>۲۴ ساعت/هفته — از ماه ۱</t>
        </is>
      </c>
      <c r="E123" s="69" t="inlineStr">
        <is>
          <t>$11 → ≈ $10/ساعت (حداقل آلبرتا (از ۲۰۱۸ ثابت))؛
IT: $16 → ≈ $14/ساعت (IT/co-op $14–18؛ TA $28–35 (۵–۱۰ ساعت))</t>
        </is>
      </c>
      <c r="F123" s="66" t="inlineStr">
        <is>
          <t>۲۷.۶ ساعت ✗ (سقف ۲۴)</t>
        </is>
      </c>
      <c r="G123" s="66" t="inlineStr">
        <is>
          <t>۱۸.۸ ساعت ✓</t>
        </is>
      </c>
      <c r="H123" s="69" t="inlineStr">
        <is>
          <t>$1,010 = ۸۷٪</t>
        </is>
      </c>
      <c r="I123" s="69" t="inlineStr">
        <is>
          <t>۲۹.۲ ساعت/هفته میانگین → $1,230 = ۱۰۶٪</t>
        </is>
      </c>
      <c r="J123" s="96" t="inlineStr">
        <is>
          <t>⚠️ فقط با کار IT (≥ $12.2 در ساعت): از ماه ۱ قانوناً، واقع‌بینانه ماه ۳؛
با کف در سقف ۲۴ ساعت فقط ۸۷٪ زندگی</t>
        </is>
      </c>
      <c r="K123"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4" outlineLevel="1">
      <c r="A124" s="72" t="inlineStr">
        <is>
          <t>⚠️</t>
        </is>
      </c>
      <c r="B124" s="71" t="inlineStr">
        <is>
          <t>University of Victoria (UVic) – Victoria</t>
        </is>
      </c>
      <c r="C124" s="95" t="inlineStr">
        <is>
          <t>$1,480</t>
        </is>
      </c>
      <c r="D124" s="69" t="inlineStr">
        <is>
          <t>۲۴ ساعت/هفته — از ماه ۱</t>
        </is>
      </c>
      <c r="E124" s="69" t="inlineStr">
        <is>
          <t>$12.9 → ≈ $12/ساعت (حداقل BC از ژوئن ۲۰۲۶)؛
IT: $16 → ≈ $14/ساعت (IT/co-op $14–18؛ TA $28–35 (۵–۱۰ ساعت))</t>
        </is>
      </c>
      <c r="F124" s="66" t="inlineStr">
        <is>
          <t>۲۸.۹ ساعت ✗ (سقف ۲۴)</t>
        </is>
      </c>
      <c r="G124" s="66" t="inlineStr">
        <is>
          <t>۲۴ ساعت ✓</t>
        </is>
      </c>
      <c r="H124" s="69" t="inlineStr">
        <is>
          <t>$1,230 = ۸۳٪</t>
        </is>
      </c>
      <c r="I124" s="69" t="inlineStr">
        <is>
          <t>۲۹.۲ ساعت/هفته میانگین → $1,500 = ۱۰۱٪</t>
        </is>
      </c>
      <c r="J124" s="96" t="inlineStr">
        <is>
          <t>⚠️ فقط با کار IT (≥ $15.5 در ساعت): از ماه ۱ قانوناً، واقع‌بینانه ماه ۳؛
با کف در سقف ۲۴ ساعت فقط ۸۳٪ زندگی</t>
        </is>
      </c>
      <c r="K124"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5" outlineLevel="1">
      <c r="A125" s="61" t="inlineStr">
        <is>
          <t>✅</t>
        </is>
      </c>
      <c r="B125" s="71" t="inlineStr">
        <is>
          <t>University of Manitoba – Winnipeg</t>
        </is>
      </c>
      <c r="C125" s="95" t="inlineStr">
        <is>
          <t>$1,090</t>
        </is>
      </c>
      <c r="D125" s="69" t="inlineStr">
        <is>
          <t>۲۴ ساعت/هفته — از ماه ۱</t>
        </is>
      </c>
      <c r="E125" s="69" t="inlineStr">
        <is>
          <t>$11.6 → ≈ $11/ساعت (حداقل منیتوبا از اکتبر ۲۰۲۶)؛
IT: $16 → ≈ $14/ساعت (IT/co-op $14–18؛ TA $28–35 (۵–۱۰ ساعت))</t>
        </is>
      </c>
      <c r="F125" s="66" t="inlineStr">
        <is>
          <t>۲۳.۷ ساعت ✓</t>
        </is>
      </c>
      <c r="G125" s="66" t="inlineStr">
        <is>
          <t>۱۷.۷ ساعت ✓</t>
        </is>
      </c>
      <c r="H125" s="69" t="inlineStr">
        <is>
          <t>$1,100 = ۱۰۱٪</t>
        </is>
      </c>
      <c r="I125" s="69" t="inlineStr">
        <is>
          <t>۲۹.۲ ساعت/هفته میانگین → $1,340 = ۱۲۳٪</t>
        </is>
      </c>
      <c r="J125" s="97" t="inlineStr">
        <is>
          <t>✅ از ماه ۱ قانوناً؛
واقع‌بینانه ماه ۳ — با ۲۳.۷ ساعت در هفته حتی با کف</t>
        </is>
      </c>
      <c r="K125"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6" outlineLevel="1">
      <c r="A126" s="72" t="inlineStr">
        <is>
          <t>⚠️</t>
        </is>
      </c>
      <c r="B126" s="71" t="inlineStr">
        <is>
          <t>University of Saskatchewan (USask) – Saskatoon</t>
        </is>
      </c>
      <c r="C126" s="95" t="inlineStr">
        <is>
          <t>$1,090</t>
        </is>
      </c>
      <c r="D126" s="69" t="inlineStr">
        <is>
          <t>۲۴ ساعت/هفته — از ماه ۱</t>
        </is>
      </c>
      <c r="E126" s="69" t="inlineStr">
        <is>
          <t>$11.1 → ≈ $10/ساعت (حداقل ساسکاچوان از اکتبر ۲۰۲۶)؛
IT: $16 → ≈ $14/ساعت (IT/co-op $14–18؛ TA $28–35 (۵–۱۰ ساعت))</t>
        </is>
      </c>
      <c r="F126" s="66" t="inlineStr">
        <is>
          <t>۲۴.۸ ساعت ✗ (سقف ۲۴)</t>
        </is>
      </c>
      <c r="G126" s="66" t="inlineStr">
        <is>
          <t>۱۷.۷ ساعت ✓</t>
        </is>
      </c>
      <c r="H126" s="69" t="inlineStr">
        <is>
          <t>$1,060 = ۹۷٪</t>
        </is>
      </c>
      <c r="I126" s="69" t="inlineStr">
        <is>
          <t>۲۹.۲ ساعت/هفته میانگین → $1,290 = ۱۱۸٪</t>
        </is>
      </c>
      <c r="J126" s="96" t="inlineStr">
        <is>
          <t>⚠️ فقط با کار IT (≥ $11.4 در ساعت): از ماه ۱ قانوناً، واقع‌بینانه ماه ۳؛
با کف در سقف ۲۴ ساعت فقط ۹۷٪ زندگی</t>
        </is>
      </c>
      <c r="K126"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7" outlineLevel="1">
      <c r="A127" s="61" t="inlineStr">
        <is>
          <t>✅</t>
        </is>
      </c>
      <c r="B127" s="71" t="inlineStr">
        <is>
          <t>University of Regina – Regina</t>
        </is>
      </c>
      <c r="C127" s="95" t="inlineStr">
        <is>
          <t>$1,060</t>
        </is>
      </c>
      <c r="D127" s="69" t="inlineStr">
        <is>
          <t>۲۴ ساعت/هفته — از ماه ۱</t>
        </is>
      </c>
      <c r="E127" s="69" t="inlineStr">
        <is>
          <t>$11.1 → ≈ $10/ساعت (حداقل ساسکاچوان از اکتبر ۲۰۲۶)؛
IT: $16 → ≈ $14/ساعت (IT/co-op $14–18؛ TA $28–35 (۵–۱۰ ساعت))</t>
        </is>
      </c>
      <c r="F127" s="66" t="inlineStr">
        <is>
          <t>۲۴ ساعت ✓</t>
        </is>
      </c>
      <c r="G127" s="66" t="inlineStr">
        <is>
          <t>۱۷.۱ ساعت ✓</t>
        </is>
      </c>
      <c r="H127" s="69" t="inlineStr">
        <is>
          <t>$1,060 = ۱۰۰٪</t>
        </is>
      </c>
      <c r="I127" s="69" t="inlineStr">
        <is>
          <t>۲۹.۲ ساعت/هفته میانگین → $1,290 = ۱۲۲٪</t>
        </is>
      </c>
      <c r="J127" s="97" t="inlineStr">
        <is>
          <t>✅ از ماه ۱ قانوناً؛
واقع‌بینانه ماه ۳ — با ۲۴ ساعت در هفته حتی با کف</t>
        </is>
      </c>
      <c r="K127"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8" outlineLevel="1">
      <c r="A128" s="72" t="inlineStr">
        <is>
          <t>⚠️</t>
        </is>
      </c>
      <c r="B128" s="71" t="inlineStr">
        <is>
          <t>Memorial University of Newfoundland (MUN) – St. John's</t>
        </is>
      </c>
      <c r="C128" s="95" t="inlineStr">
        <is>
          <t>$1,130</t>
        </is>
      </c>
      <c r="D128" s="69" t="inlineStr">
        <is>
          <t>۲۴ ساعت/هفته — از ماه ۱</t>
        </is>
      </c>
      <c r="E128" s="69" t="inlineStr">
        <is>
          <t>$11.5 → ≈ $11/ساعت (حداقل نیوفاندلند از آوریل ۲۰۲۶)؛
IT: $16 → ≈ $14/ساعت (IT/co-op $14–18؛ TA $28–35 (۵–۱۰ ساعت))</t>
        </is>
      </c>
      <c r="F128" s="66" t="inlineStr">
        <is>
          <t>۲۴.۶ ساعت ✗ (سقف ۲۴)</t>
        </is>
      </c>
      <c r="G128" s="66" t="inlineStr">
        <is>
          <t>۱۸.۳ ساعت ✓</t>
        </is>
      </c>
      <c r="H128" s="69" t="inlineStr">
        <is>
          <t>$1,100 = ۹۸٪</t>
        </is>
      </c>
      <c r="I128" s="69" t="inlineStr">
        <is>
          <t>۲۹.۲ ساعت/هفته میانگین → $1,340 = ۱۱۹٪</t>
        </is>
      </c>
      <c r="J128" s="96" t="inlineStr">
        <is>
          <t>⚠️ فقط با کار IT (≥ $11.8 در ساعت): از ماه ۱ قانوناً، واقع‌بینانه ماه ۳؛
با کف در سقف ۲۴ ساعت فقط ۹۸٪ زندگی</t>
        </is>
      </c>
      <c r="K128"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9" outlineLevel="1">
      <c r="A129" s="72" t="inlineStr">
        <is>
          <t>⚠️</t>
        </is>
      </c>
      <c r="B129" s="76" t="inlineStr">
        <is>
          <t>University of Turku – Turku</t>
        </is>
      </c>
      <c r="C129" s="95" t="inlineStr">
        <is>
          <t>$1,030</t>
        </is>
      </c>
      <c r="D129" s="69" t="inlineStr">
        <is>
          <t>۳۰ ساعت/هفته — از ماه ۱</t>
        </is>
      </c>
      <c r="E129" s="69" t="inlineStr">
        <is>
          <t>$14.2 → ≈ $12/ساعت (بدون حداقل قانونی؛ کف توافق جمعی (TES) خدمات/خرده‌فروشی ≈ $14–15 فرض)؛
IT: $18 → ≈ $16/ساعت (IT/trainee $17–21)</t>
        </is>
      </c>
      <c r="F129" s="66" t="inlineStr">
        <is>
          <t>۱۹.۳ ساعت ✓</t>
        </is>
      </c>
      <c r="G129" s="66" t="inlineStr">
        <is>
          <t>۱۵.۱ ساعت ✓</t>
        </is>
      </c>
      <c r="H129" s="69" t="inlineStr">
        <is>
          <t>$1,590 = ۱۵۵٪</t>
        </is>
      </c>
      <c r="I129" s="69" t="inlineStr">
        <is>
          <t>۳۰ ساعت/هفته میانگین → $1,590 = ۱۵۵٪ (اضافه‌ای ندارد)</t>
        </is>
      </c>
      <c r="J129" s="96" t="inlineStr">
        <is>
          <t>⚠️ از ماه ۱ قانوناً؛
واقع‌بینانه ماه ۵ — با ۱۹.۳ ساعت در هفته حتی با کف</t>
        </is>
      </c>
      <c r="K129" s="69" t="inlineStr">
        <is>
          <t>بدون فنلاندی کم؛
کارآموزی (harjoittelu) شرکت‌های بین‌المللی و دستیاری دانشگاه؛
بیکاری ۹٪ (اوت ۲۰۲۶)</t>
        </is>
      </c>
    </row>
    <row r="130" outlineLevel="1">
      <c r="A130" s="72" t="inlineStr">
        <is>
          <t>⚠️</t>
        </is>
      </c>
      <c r="B130" s="98" t="inlineStr">
        <is>
          <t>University of Exeter (Russell Group) – Exeter</t>
        </is>
      </c>
      <c r="C130" s="95" t="inlineStr">
        <is>
          <t>$1,590</t>
        </is>
      </c>
      <c r="D130" s="69" t="inlineStr">
        <is>
          <t>۲۰ ساعت/هفته — از ماه ۱</t>
        </is>
      </c>
      <c r="E130" s="69" t="inlineStr">
        <is>
          <t>$16.8 → ≈ $17/ساعت (National Living Wage از آوریل ۲۰۲۶)؛
IT: $19 → ≈ $18/ساعت (کمپوس/تک $17–20)</t>
        </is>
      </c>
      <c r="F130" s="66" t="inlineStr">
        <is>
          <t>۲۲.۱ ساعت ✗ (سقف ۲۰)</t>
        </is>
      </c>
      <c r="G130" s="66" t="inlineStr">
        <is>
          <t>۲۰.۱ ساعت ✗ (سقف ۲۰)</t>
        </is>
      </c>
      <c r="H130" s="69" t="inlineStr">
        <is>
          <t>$1,440 = ۹۰٪</t>
        </is>
      </c>
      <c r="I130" s="69" t="inlineStr">
        <is>
          <t>۲۲.۳ ساعت/هفته میانگین → $1,600 = ۱۰۱٪</t>
        </is>
      </c>
      <c r="J130" s="96" t="inlineStr">
        <is>
          <t>⚠️ در ترم نه (سقف ۲۰ ساعت = ۹۰٪ زندگی)؛
فقط به‌طور میانگین سالانه اگر تعطیلات ترم را تمام‌وقت کار کنید و پس‌انداز کنید؛
از ماه ۲؛
⚠️ فقط زندگی — شهریهٔ Russell Group باید از جای دیگری (بورس) بیاید، گام ۱ ❌</t>
        </is>
      </c>
      <c r="K130" s="69" t="inlineStr">
        <is>
          <t>خرده‌فروشی، رستوران، کمپوس؛
سریع‌ترین بازار کار دانشجویی</t>
        </is>
      </c>
    </row>
    <row r="131" outlineLevel="1">
      <c r="A131" s="72" t="inlineStr">
        <is>
          <t>⚠️</t>
        </is>
      </c>
      <c r="B131" s="98" t="inlineStr">
        <is>
          <t>University of Liverpool (Russell Group) – Liverpool</t>
        </is>
      </c>
      <c r="C131" s="95" t="inlineStr">
        <is>
          <t>$1,460</t>
        </is>
      </c>
      <c r="D131" s="69" t="inlineStr">
        <is>
          <t>۲۰ ساعت/هفته — از ماه ۱</t>
        </is>
      </c>
      <c r="E131" s="69" t="inlineStr">
        <is>
          <t>$16.8 → ≈ $17/ساعت (National Living Wage از آوریل ۲۰۲۶)؛
IT: $19 → ≈ $18/ساعت (کمپوس/تک $17–20)</t>
        </is>
      </c>
      <c r="F131" s="66" t="inlineStr">
        <is>
          <t>۲۰.۳ ساعت ✗ (سقف ۲۰)</t>
        </is>
      </c>
      <c r="G131" s="66" t="inlineStr">
        <is>
          <t>۱۸.۴ ساعت ✓</t>
        </is>
      </c>
      <c r="H131" s="69" t="inlineStr">
        <is>
          <t>$1,440 = ۹۹٪</t>
        </is>
      </c>
      <c r="I131" s="69" t="inlineStr">
        <is>
          <t>۲۲.۳ ساعت/هفته میانگین → $1,600 = ۱۱۰٪</t>
        </is>
      </c>
      <c r="J131" s="96"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1" s="69" t="inlineStr">
        <is>
          <t>خرده‌فروشی، رستوران، کمپوس؛
سریع‌ترین بازار کار دانشجویی</t>
        </is>
      </c>
    </row>
    <row r="132" outlineLevel="1">
      <c r="A132" s="72" t="inlineStr">
        <is>
          <t>⚠️</t>
        </is>
      </c>
      <c r="B132" s="98" t="inlineStr">
        <is>
          <t>Newcastle University (Russell Group) – Newcastle upon Tyne</t>
        </is>
      </c>
      <c r="C132" s="95" t="inlineStr">
        <is>
          <t>$1,460</t>
        </is>
      </c>
      <c r="D132" s="69" t="inlineStr">
        <is>
          <t>۲۰ ساعت/هفته — از ماه ۱</t>
        </is>
      </c>
      <c r="E132" s="69" t="inlineStr">
        <is>
          <t>$16.8 → ≈ $17/ساعت (National Living Wage از آوریل ۲۰۲۶)؛
IT: $19 → ≈ $18/ساعت (کمپوس/تک $17–20)</t>
        </is>
      </c>
      <c r="F132" s="66" t="inlineStr">
        <is>
          <t>۲۰.۳ ساعت ✗ (سقف ۲۰)</t>
        </is>
      </c>
      <c r="G132" s="66" t="inlineStr">
        <is>
          <t>۱۸.۴ ساعت ✓</t>
        </is>
      </c>
      <c r="H132" s="69" t="inlineStr">
        <is>
          <t>$1,440 = ۹۹٪</t>
        </is>
      </c>
      <c r="I132" s="69" t="inlineStr">
        <is>
          <t>۲۲.۳ ساعت/هفته میانگین → $1,600 = ۱۱۰٪</t>
        </is>
      </c>
      <c r="J132" s="96"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2" s="69" t="inlineStr">
        <is>
          <t>خرده‌فروشی، رستوران، کمپوس؛
سریع‌ترین بازار کار دانشجویی</t>
        </is>
      </c>
    </row>
    <row r="133" outlineLevel="1">
      <c r="A133" s="72" t="inlineStr">
        <is>
          <t>⚠️</t>
        </is>
      </c>
      <c r="B133" s="98" t="inlineStr">
        <is>
          <t>University of Sheffield (Russell Group) – Sheffield</t>
        </is>
      </c>
      <c r="C133" s="95" t="inlineStr">
        <is>
          <t>$1,460</t>
        </is>
      </c>
      <c r="D133" s="69" t="inlineStr">
        <is>
          <t>۲۰ ساعت/هفته — از ماه ۱</t>
        </is>
      </c>
      <c r="E133" s="69" t="inlineStr">
        <is>
          <t>$16.8 → ≈ $17/ساعت (National Living Wage از آوریل ۲۰۲۶)؛
IT: $19 → ≈ $18/ساعت (کمپوس/تک $17–20)</t>
        </is>
      </c>
      <c r="F133" s="66" t="inlineStr">
        <is>
          <t>۲۰.۳ ساعت ✗ (سقف ۲۰)</t>
        </is>
      </c>
      <c r="G133" s="66" t="inlineStr">
        <is>
          <t>۱۸.۴ ساعت ✓</t>
        </is>
      </c>
      <c r="H133" s="69" t="inlineStr">
        <is>
          <t>$1,440 = ۹۹٪</t>
        </is>
      </c>
      <c r="I133" s="69" t="inlineStr">
        <is>
          <t>۲۲.۳ ساعت/هفته میانگین → $1,600 = ۱۱۰٪</t>
        </is>
      </c>
      <c r="J133" s="96"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3" s="69" t="inlineStr">
        <is>
          <t>خرده‌فروشی، رستوران، کمپوس؛
سریع‌ترین بازار کار دانشجویی</t>
        </is>
      </c>
    </row>
    <row r="134" outlineLevel="1">
      <c r="A134" s="99" t="inlineStr">
        <is>
          <t>❌</t>
        </is>
      </c>
      <c r="B134" s="98" t="inlineStr">
        <is>
          <t>Queen Mary University of London (Russell Group) – London – Mile End</t>
        </is>
      </c>
      <c r="C134" s="95" t="inlineStr">
        <is>
          <t>$2,190</t>
        </is>
      </c>
      <c r="D134" s="69" t="inlineStr">
        <is>
          <t>۲۰ ساعت/هفته — از ماه ۱</t>
        </is>
      </c>
      <c r="E134" s="69" t="inlineStr">
        <is>
          <t>$16.8 → ≈ $17/ساعت (National Living Wage از آوریل ۲۰۲۶)؛
IT: $19 → ≈ $18/ساعت (کمپوس/تک $17–20)</t>
        </is>
      </c>
      <c r="F134" s="66" t="inlineStr">
        <is>
          <t>۳۰.۴ ساعت ✗ (سقف ۲۰)</t>
        </is>
      </c>
      <c r="G134" s="66" t="inlineStr">
        <is>
          <t>۲۷.۶ ساعت ✗ (سقف ۲۰)</t>
        </is>
      </c>
      <c r="H134" s="69" t="inlineStr">
        <is>
          <t>$1,440 = ۶۶٪</t>
        </is>
      </c>
      <c r="I134" s="69" t="inlineStr">
        <is>
          <t>۲۲.۳ ساعت/هفته میانگین → $1,600 = ۷۳٪</t>
        </is>
      </c>
      <c r="J134" s="100" t="inlineStr">
        <is>
          <t>❌ با سقف قانونی نمی‌شود (۶۶٪ زندگی)؛
دستمزد لازم $25.6 در ساعت؛
⚠️ فقط زندگی — شهریهٔ Russell Group باید از جای دیگری (بورس) بیاید، گام ۱ ❌</t>
        </is>
      </c>
      <c r="K134" s="69" t="inlineStr">
        <is>
          <t>خرده‌فروشی، رستوران، کمپوس؛
سریع‌ترین بازار کار دانشجویی</t>
        </is>
      </c>
    </row>
    <row r="135" outlineLevel="1">
      <c r="A135" s="72" t="inlineStr">
        <is>
          <t>⚠️</t>
        </is>
      </c>
      <c r="B135" s="71" t="inlineStr">
        <is>
          <t>Carleton University – Ottawa</t>
        </is>
      </c>
      <c r="C135" s="95" t="inlineStr">
        <is>
          <t>$1,410</t>
        </is>
      </c>
      <c r="D135" s="69" t="inlineStr">
        <is>
          <t>۲۴ ساعت/هفته — از ماه ۱</t>
        </is>
      </c>
      <c r="E135" s="69" t="inlineStr">
        <is>
          <t>$12.6 → ≈ $12/ساعت (حداقل انتاریو از اکتبر ۲۰۲۶)؛
IT: $16 → ≈ $14/ساعت (IT/co-op $14–18؛ TA $28–35 (۵–۱۰ ساعت))</t>
        </is>
      </c>
      <c r="F135" s="66" t="inlineStr">
        <is>
          <t>۲۸ ساعت ✗ (سقف ۲۴)</t>
        </is>
      </c>
      <c r="G135" s="66" t="inlineStr">
        <is>
          <t>۲۲.۸ ساعت ✓</t>
        </is>
      </c>
      <c r="H135" s="69" t="inlineStr">
        <is>
          <t>$1,210 = ۸۶٪</t>
        </is>
      </c>
      <c r="I135" s="69" t="inlineStr">
        <is>
          <t>۲۹.۲ ساعت/هفته میانگین → $1,470 = ۱۰۴٪</t>
        </is>
      </c>
      <c r="J135" s="96" t="inlineStr">
        <is>
          <t>⚠️ فقط با کار IT (≥ $14.7 در ساعت): از ماه ۱ قانوناً، واقع‌بینانه ماه ۳؛
با کف در سقف ۲۴ ساعت فقط ۸۶٪ زندگی</t>
        </is>
      </c>
      <c r="K135"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6" outlineLevel="1">
      <c r="A136" s="61" t="inlineStr">
        <is>
          <t>✅</t>
        </is>
      </c>
      <c r="B136" s="71" t="inlineStr">
        <is>
          <t>University of Windsor – Windsor</t>
        </is>
      </c>
      <c r="C136" s="95" t="inlineStr">
        <is>
          <t>$1,150</t>
        </is>
      </c>
      <c r="D136" s="69" t="inlineStr">
        <is>
          <t>۲۴ ساعت/هفته — از ماه ۱</t>
        </is>
      </c>
      <c r="E136" s="69" t="inlineStr">
        <is>
          <t>$12.6 → ≈ $12/ساعت (حداقل انتاریو از اکتبر ۲۰۲۶)؛
IT: $16 → ≈ $14/ساعت (IT/co-op $14–18؛ TA $28–35 (۵–۱۰ ساعت))</t>
        </is>
      </c>
      <c r="F136" s="66" t="inlineStr">
        <is>
          <t>۲۲.۷ ساعت ✓</t>
        </is>
      </c>
      <c r="G136" s="66" t="inlineStr">
        <is>
          <t>۱۸.۵ ساعت ✓</t>
        </is>
      </c>
      <c r="H136" s="69" t="inlineStr">
        <is>
          <t>$1,210 = ۱۰۶٪</t>
        </is>
      </c>
      <c r="I136" s="69" t="inlineStr">
        <is>
          <t>۲۹.۲ ساعت/هفته میانگین → $1,470 = ۱۲۸٪</t>
        </is>
      </c>
      <c r="J136" s="97" t="inlineStr">
        <is>
          <t>✅ از ماه ۱ قانوناً؛
واقع‌بینانه ماه ۳ — با ۲۲.۷ ساعت در هفته حتی با کف</t>
        </is>
      </c>
      <c r="K136"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7" outlineLevel="1">
      <c r="A137" s="99" t="inlineStr">
        <is>
          <t>❌</t>
        </is>
      </c>
      <c r="B137" s="71" t="inlineStr">
        <is>
          <t>University of Toronto – Toronto</t>
        </is>
      </c>
      <c r="C137" s="95" t="inlineStr">
        <is>
          <t>$1,660</t>
        </is>
      </c>
      <c r="D137" s="69" t="inlineStr">
        <is>
          <t>۲۴ ساعت/هفته — از ماه ۱</t>
        </is>
      </c>
      <c r="E137" s="69" t="inlineStr">
        <is>
          <t>$12.6 → ≈ $12/ساعت (حداقل انتاریو از اکتبر ۲۰۲۶)؛
IT: $16 → ≈ $14/ساعت (IT/co-op $14–18؛ TA $28–35 (۵–۱۰ ساعت))</t>
        </is>
      </c>
      <c r="F137" s="66" t="inlineStr">
        <is>
          <t>۳۲.۹ ساعت ✗ (سقف ۲۴)</t>
        </is>
      </c>
      <c r="G137" s="66" t="inlineStr">
        <is>
          <t>۲۶.۸ ساعت ✗ (سقف ۲۴)</t>
        </is>
      </c>
      <c r="H137" s="69" t="inlineStr">
        <is>
          <t>$1,210 = ۷۳٪</t>
        </is>
      </c>
      <c r="I137" s="69" t="inlineStr">
        <is>
          <t>۲۹.۲ ساعت/هفته میانگین → $1,470 = ۸۹٪</t>
        </is>
      </c>
      <c r="J137" s="100" t="inlineStr">
        <is>
          <t>❌ با سقف قانونی نمی‌شود (۷۳٪ زندگی)؛
دستمزد لازم $17.3 در ساعت</t>
        </is>
      </c>
      <c r="K137"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8" outlineLevel="1">
      <c r="A138" s="72" t="inlineStr">
        <is>
          <t>⚠️</t>
        </is>
      </c>
      <c r="B138" s="71" t="inlineStr">
        <is>
          <t>University of Waterloo – Waterloo</t>
        </is>
      </c>
      <c r="C138" s="95" t="inlineStr">
        <is>
          <t>$1,290</t>
        </is>
      </c>
      <c r="D138" s="69" t="inlineStr">
        <is>
          <t>۲۴ ساعت/هفته — از ماه ۱</t>
        </is>
      </c>
      <c r="E138" s="69" t="inlineStr">
        <is>
          <t>$12.6 → ≈ $12/ساعت (حداقل انتاریو از اکتبر ۲۰۲۶)؛
IT: $16 → ≈ $14/ساعت (IT/co-op $14–18؛ TA $28–35 (۵–۱۰ ساعت))</t>
        </is>
      </c>
      <c r="F138" s="66" t="inlineStr">
        <is>
          <t>۲۵.۵ ساعت ✗ (سقف ۲۴)</t>
        </is>
      </c>
      <c r="G138" s="66" t="inlineStr">
        <is>
          <t>۲۰.۸ ساعت ✓</t>
        </is>
      </c>
      <c r="H138" s="69" t="inlineStr">
        <is>
          <t>$1,210 = ۹۴٪</t>
        </is>
      </c>
      <c r="I138" s="69" t="inlineStr">
        <is>
          <t>۲۹.۲ ساعت/هفته میانگین → $1,470 = ۱۱۴٪</t>
        </is>
      </c>
      <c r="J138" s="96" t="inlineStr">
        <is>
          <t>⚠️ فقط با کار IT (≥ $13.5 در ساعت): از ماه ۱ قانوناً، واقع‌بینانه ماه ۳؛
با کف در سقف ۲۴ ساعت فقط ۹۴٪ زندگی</t>
        </is>
      </c>
      <c r="K138"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9" outlineLevel="1">
      <c r="A139" s="72" t="inlineStr">
        <is>
          <t>⚠️</t>
        </is>
      </c>
      <c r="B139" s="71" t="inlineStr">
        <is>
          <t>Dalhousie University – Halifax</t>
        </is>
      </c>
      <c r="C139" s="95" t="inlineStr">
        <is>
          <t>$1,290</t>
        </is>
      </c>
      <c r="D139" s="69" t="inlineStr">
        <is>
          <t>۲۴ ساعت/هفته — از ماه ۱</t>
        </is>
      </c>
      <c r="E139" s="69" t="inlineStr">
        <is>
          <t>$12 → ≈ $11/ساعت (حداقل نوا اسکوشیا از اکتبر ۲۰۲۶)؛
IT: $16 → ≈ $14/ساعت (IT/co-op $14–18؛ TA $28–35 (۵–۱۰ ساعت))</t>
        </is>
      </c>
      <c r="F139" s="66" t="inlineStr">
        <is>
          <t>۲۶.۹ ساعت ✗ (سقف ۲۴)</t>
        </is>
      </c>
      <c r="G139" s="66" t="inlineStr">
        <is>
          <t>۲۰.۸ ساعت ✓</t>
        </is>
      </c>
      <c r="H139" s="69" t="inlineStr">
        <is>
          <t>$1,150 = ۸۹٪</t>
        </is>
      </c>
      <c r="I139" s="69" t="inlineStr">
        <is>
          <t>۲۹.۲ ساعت/هفته میانگین → $1,390 = ۱۰۸٪</t>
        </is>
      </c>
      <c r="J139" s="96" t="inlineStr">
        <is>
          <t>⚠️ فقط با کار IT (≥ $13.5 در ساعت): از ماه ۱ قانوناً، واقع‌بینانه ماه ۳؛
با کف در سقف ۲۴ ساعت فقط ۸۹٪ زندگی</t>
        </is>
      </c>
      <c r="K139"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40" outlineLevel="1">
      <c r="A140" s="72" t="inlineStr">
        <is>
          <t>⚠️</t>
        </is>
      </c>
      <c r="B140" s="71" t="inlineStr">
        <is>
          <t>Ontario Tech University – Oshawa</t>
        </is>
      </c>
      <c r="C140" s="95" t="inlineStr">
        <is>
          <t>$1,290</t>
        </is>
      </c>
      <c r="D140" s="69" t="inlineStr">
        <is>
          <t>۲۴ ساعت/هفته — از ماه ۱</t>
        </is>
      </c>
      <c r="E140" s="69" t="inlineStr">
        <is>
          <t>$12.6 → ≈ $12/ساعت (حداقل انتاریو از اکتبر ۲۰۲۶)؛
IT: $16 → ≈ $14/ساعت (IT/co-op $14–18؛ TA $28–35 (۵–۱۰ ساعت))</t>
        </is>
      </c>
      <c r="F140" s="66" t="inlineStr">
        <is>
          <t>۲۵.۵ ساعت ✗ (سقف ۲۴)</t>
        </is>
      </c>
      <c r="G140" s="66" t="inlineStr">
        <is>
          <t>۲۰.۸ ساعت ✓</t>
        </is>
      </c>
      <c r="H140" s="69" t="inlineStr">
        <is>
          <t>$1,210 = ۹۴٪</t>
        </is>
      </c>
      <c r="I140" s="69" t="inlineStr">
        <is>
          <t>۲۹.۲ ساعت/هفته میانگین → $1,470 = ۱۱۴٪</t>
        </is>
      </c>
      <c r="J140" s="96" t="inlineStr">
        <is>
          <t>⚠️ فقط با کار IT (≥ $13.5 در ساعت): از ماه ۱ قانوناً، واقع‌بینانه ماه ۳؛
با کف در سقف ۲۴ ساعت فقط ۹۴٪ زندگی</t>
        </is>
      </c>
      <c r="K140" s="63"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41" outlineLevel="1" ht="88.38461538461539" customHeight="1">
      <c r="A141"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 کانادا حداقل استانی $10.6–12.9)؛
«IT» = نرخ معمول کار دانشجویی فنی (آلمان $19 · انگلستان $19 · سوئیس $34 · سوئد $17 · کانادا $16؛ TA کانادا $28–35 ولی ۵–۱۰ ساعت).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کانادا ۲).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142"/>
    <row r="143">
      <c r="A143" s="14" t="inlineStr">
        <is>
          <t>ت) نتیجه در ۵ خط</t>
        </is>
      </c>
    </row>
    <row r="144" outlineLevel="1" ht="198" customHeight="1">
      <c r="A144" s="60"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(به خواست شما فقط Russell Group) همه ❌: ارزان‌ترین Exeter $39,900 → $54.2k، Newcastle ≈ $56.3k، York $57.9k، Liverpool $59.4k، Sheffield/Durham/Leeds/Nottingham/Birmingham $60–61k، QMUL (لندن) $67.7k، Imperial $79.7k — یعنی $14–40k بالای سقف؛
فقط بورس بزرگ (Spärck ۱۰۰٪، Newcastle VC Excellence ۵۰٪، Exeter Excellence $13k تقریباً) یا Chevening می‌بندد؛
سوئد BTH/MDU ✅، LiU ❌؛
هلند ❌؛
فنلاند Oulu $33.7k و Tampere/Turku $38.3k ✅ (تمکن فقط $10,900 در حساب خودتان)، LUT/Helsinki/Aalto ❌؛
کانادا (بدون کبک) MSc پایان‌نامه‌ای همه ✅ ($23–35k: Memorial $23.3k … USask $34.6k؛ تمکن $16,500 در حساب خارج از ایران یا نامهٔ فاندینگ) و درسی‌های Memorial ($27.5–37.6k) / Alberta ($35k) ✅، Windsor $45.3k، Carleton $54–57k، Toronto $80k ❌؛
دانمارک روی کاغذ ✅ چون با پرداخت شهریه از تمکن معاف است — و همین نشان می‌دهد گام ۱ به‌تنهایی کافی نیست.</t>
        </is>
      </c>
    </row>
    <row r="145" outlineLevel="1" ht="179" customHeight="1">
      <c r="A145" s="60" t="inlineStr">
        <is>
          <t>۲) گام ۲ = زندگی واقعی: شهریه + n ماه از $40k، بعد کار با حداکثر ساعت مجاز.
آلمان: شهریه + تمام ۲۴ ماه، ۲۰ ساعت × $16.6 ≈ $1,305 ≥ زندگی ✅. انگلستان RG: شهریه به‌تنهایی $39.9–61k است → از $40k صفر ماه زندگی می‌ماند ❌ (۲۰ ساعت × $16.8 ≈ $1,440 ≈ زندگی فقط وقتی کمک می‌کند که شهریه از جای دیگری — بورس — پرداخت شده باشد).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فنلاند: Tampere شهریه + ۱۲ ماه، Oulu + ۱۸ ماه، بعد ۳۰ ساعت × $14.2 ≈ $1,590 ≥ زندگی → روی کاغذ ✅ بدون کسری؛
عملاً ⚠️ چون بدون فنلاندی کار خدماتی کم است (ولی ۱۵–۲۰ ساعت هم کافی است).
دانمارک ۳.۸ ماه + ویزا ❌. کانادا: Memorial/Manitoba شهریه + تمام ۲۴ ماه حتی بدون کار ✅؛
Calgary/Alberta/USask ۲۰–۲۲ ماه، بعد ۲۴ ساعت × $10.6–11.1 ≈ زندگی ✅؛
UVic ⚠️ (ویکتوریا گران)؛
Memorial MAI تمام ۱۶ ماه ✅ — همه بدون احتساب TA/RA که در پایان‌نامه‌ای معمول است (Calgary تضمینی).</t>
        </is>
      </c>
    </row>
    <row r="146" outlineLevel="1" ht="103" customHeight="1">
      <c r="A146" s="60" t="inlineStr">
        <is>
          <t>۳) با وزن‌های شما (کار ۲۸.۳ = حقوق ۲۸.۳ = انگلیسی ۲۸.۳ / هزینه ۱۵) بین برنامه‌های شدنی: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سوئیس بالاست چون حقوق ۱۰/۱۰ دارد و شهریه‌اش ناچیز است؛
Calgary/Alberta/UVic بالا هستند چون انگلیسی ۱۰/۱۰ + شهریهٔ کم دارند، ولی «کار ۶ / حقوق ۴» یعنی بعد از مدرک از سوئیس/آلمان سخت‌تر و کم‌درآمدتر است؛
امتیاز را همیشه کنار حکم دو گام بخوانید.</t>
        </is>
      </c>
    </row>
    <row r="147" outlineLevel="1" ht="160" customHeight="1">
      <c r="A147" s="60"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 و با شرط Russell Group هیچ برنامه‌ای گام ۱ را بدون بورس رد نمی‌کند (کمترین کسری: Exeter $14.2k).
کانادا (بدون کبک): ریسک پول نیست — ریسک «بلهٔ استاد راهنما» (بدون آن پذیرش پایان‌نامه‌ای وجود ندارد) و ویزای ۲۰–۳۰ هفته‌ای از آنکارا بدون سفارت در تهران است (از دست دادن سپتامبر ۲۰۲۷ واقعی → ژانویه ۲۰۲۸)؛
پاداش: ۱۰۰٪ انگلیسی، PGWP ۳ ساله، PR بدون زبان دوم، تابعیت ۳ ساله؛
بهایش حقوق شروع $38–51k و بازار جونیور اشباع ۲۰۲۶.</t>
        </is>
      </c>
    </row>
    <row r="148" outlineLevel="1" ht="331" customHeight="1">
      <c r="A148" s="60" t="inlineStr">
        <is>
          <t>۵) توصیه: ۸ درخواست — ۳ سوئیس (HSLU، Basel، Neuchâtel) + ۳ آلمان (Stuttgart، Darmstadt، Saarland) + ۲ انگلستان Russell Group فقط به شرط بورس (Liverpool Advanced CS — تنها RG با پذیرش رسمی 2:2، فرم جایگزین ایران، مهلت ۲۳ اوت ۲۰۲۷ · Exeter Advanced CS $39,900 + درخواست Exeter Excellence $13,300؛ Southampton AI فقط اگر می‌خواهید شانس Spärck را امتحان کنید) — بدون بورس، این دو درخواست هزینهٔ درخواست و وقت است، نه راه رفتن.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بورس آمد (یا خانواده $15–20k اضافه بر $40k دارد).
فنلاند (اضافه‌شده ۲۸ سپتامبر): یک فرم مشترک اختیاری (Tampere + Oulu + Turku، $115، تا ۲۱ ژانویه ۲۰۲۷) به‌عنوان بیمهٔ ارزانِ ۱۰۰٪ انگلیسی با ویزای شدنی از تهران، ۳۰ ساعت کار، ۲ سال کاریابی و آسان‌ترین PR — اگر سوئیس ($25,400) و آلمان (سفارت) هر دو گیر کردند، Tampere/Oulu محتمل‌ترین راهِ رفتن در سپتامبر ۲۰۲۷ است؛
بهایش بازار کار ضعیف‌تر (بیکاری ۹٪) و حقوق متوسط.
کانادا (اضافه‌شده ۲۹ سپتامبر، بدون کبک): مسیر پایان‌نامه‌ایِ موازی — نوامبر–دسامبر ۲۰۲۶ ایمیل به ۱۵–۲۵ استاد در Alberta / Calgary / Manitoba / USask / Memorial / Regina (+ UVic؛ و Waterloo / Dalhousie / Ontario Tech فقط اگر استاد صریحاً فاندینگ را تأیید کند — بدون آن گام ۱ ❌)؛
Alberta تا ۱۵ دسامبر، بقیه ژانویه–فوریه؛
درخواست فقط جایی که استاد جواب مثبت داده (هر درخواست $70–95).
اگر پذیرش پایان‌نامه‌ای با نامهٔ فاندینگ آمد، با وزن‌های شما (Calgary / Alberta ۷۰.۲) عملاً هم‌ردیف Basel و بالاتر از آلمان است — با سه شرط: پول در حساب خارج از ایران تا مارس ۲۰۲۷، پروندهٔ ویزا تا اواخر مارس، و پذیرفتن برنامهٔ B ژانویه ۲۰۲۸ (مجوز تحصیل ایرانی‌ها ۲۰–۳۰ هفته).
قاعده: پذیرش پایان‌نامه‌ای + فاندینگ کانادا ≈ سوئیس با $25,400 › آلمان › فنلاند؛
پذیرش درسی کانادا بدون فاندینگ (Memorial / Alberta) ≈ فنلاند (پشتوانهٔ ارزانِ ۱۰۰٪ انگلیسی)؛
Windsor / Toronto با بودجهٔ شما نه.</t>
        </is>
      </c>
    </row>
    <row r="149"/>
    <row r="150">
      <c r="A150" s="14" t="inlineStr">
        <is>
          <t>ث) چهار قدم بعدی</t>
        </is>
      </c>
    </row>
    <row r="151" outlineLevel="1" ht="141" customHeight="1">
      <c r="A151" s="101" t="inlineStr">
        <is>
          <t>⚠️ همین هفته: Chevening ۲۰۲۷/۲۸ ساعت ۱۱:۰۰ UTC روز ۶ اکتبر ۲۰۲۶ بسته می‌شود — تنها بورس کاملی که همهٔ Russell Group را برای شما باز می‌کند (ایران در فهرست؛ ۲,۸۰۰ ساعت سابقهٔ کار؛ مدرک کارشناسی باید تمام شده باشد؛ پیشنهاد بدون شرط تا ۸ ژوئیه ۲۰۲۷) — ولی تعهد بازگشت ۲ سالهٔ بعد از مدرک دارد که با هدف مهاجرت نمی‌خواند؛
فقط اگر این شرط را می‌پذیرید اقدام کنید · اکتبر – دسامبر ۲۰۲۶: نظام‌وظیفه · IELTS Academic خارج از ایران تا دسامبر (Joint MSc سوئیس مدرک زبان نمی‌خواهد؛ Stuttgart / Saarland / Darmstadt IELTS 7؛ HSLU / Basel B2–C1؛ Passau B2؛ انگلستان RG 6.5، لندن 7.0)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 · کانادا: از اوایل نوامبر ایمیل به استادان (CV + ریزنمرات با معدل دو سال آخر ۱۶.۹۲ + GitHub)؛
IELTS 6.5 (هر بخش 6.0) برای همه کافی است (Windsor / MScAC 7.0)؛
حساب بانکی خارج از ایران را از حالا آماده کنید — GIC از ایران باز نمی‌شود و بانک ایرانی پذیرفته نیست.</t>
        </is>
      </c>
    </row>
    <row r="152" outlineLevel="1" ht="65" customHeight="1">
      <c r="A152" s="60" t="inlineStr">
        <is>
          <t>۱۵ دسامبر ۲۰۲۶: Alberta Computing Science (فاندینگ؛ نهایی ۱۵ ژانویه) · ژانویه – فوریه ۲۰۲۷: Calgary / Manitoba / USask / Memorial / Carleton / Dalhousie / Waterloo (≈ با صفحهٔ گروه چک شود؛ Regina و Ontario Tech تا ≈ مارس–آوریل) · ۷–۲۱ ژانویه ۲۰۲۷: درخواست مشترک فنلاند (Tampere/Oulu/Turku، اختیاری) · ۱۵ ژانویه ۲۰۲۷: Stuttgart (و BTH/MDU اگر پشتوانهٔ سوئد را خواستید) · ۲۸ فوریه: Fribourg (ویزایی‌ها) · ۳۱ مارس: Neuchâtel · ۱ آوریل: HSLU · ۳۰ آوریل: Basel · ۳۱ می: Passau · می – ژوئیه: Darmstadt / Saarland · انگلستان Russell Group: Liverpool از ۵ اکتبر ۲۰۲۶ باز (مهلت ۲۳ اوت ۲۰۲۷) · Manchester دورهای ≈ نوامبر / ژانویه / فوریه · Newcastle rolling (VC Excellence تا ۸ ژوئن ۲۰۲۷) · Leeds ۳۰ ژوئیه ۲۰۲۷ · Exeter Excellence بعد از پیشنهاد — همه فقط اگر مسیر بورس را می‌روید.</t>
        </is>
      </c>
    </row>
    <row r="153" outlineLevel="1" ht="65" customHeight="1">
      <c r="A153" s="60"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 فنلاند $10,900 در حساب خودتان با گردش ۶ ماه + شهریهٔ سال اول پرداخت‌شده · کانادا $16,500 + شهریهٔ سال اول + سفر در حساب خارج از ایران به نام خودتان (صورت‌حساب ۴ ماه) یا نامهٔ فاندینگ دانشگاه (Calgary / Alberta).
همهٔ این‌ها از همان $40k است، ولی باید یک‌جا نشان داده شود — و انتقال پول از ایران زمان و کارمزد دارد.</t>
        </is>
      </c>
    </row>
    <row r="154" outlineLevel="1" ht="84" customHeight="1">
      <c r="A154" s="60" t="inlineStr">
        <is>
          <t>می – ژوئیه ۲۰۲۷: ویزا (سوئیس: سفارت تهران با وقت قبلی · آلمان: سفارت فقط اضطراری → برنامهٔ B از ترکیه / ارمنستان · انگلستان: VAC تهران متغیر · فنلاند: Enter Finland + VFS تهران، ۱–۲ ماه · کانادا: بدون سفارت در تهران — آنلاین، بیومتریک/پزشکی در ترکیه/امارات/ارمنستان، ۲۰–۳۰ هفته → پرونده تا اواخر مارس، وگرنه ژانویه ۲۰۲۸) · مسکن را همان روز پذیرش شروع کنید (Stuttgart صف ۶–۸ ماه؛ انگلستان RG معمولاً خوابگاه ارشد بین‌المللی را با درخواست تا ژوئیه/اوت می‌دهند، Durham/Imperial تضمین ندارند؛ سوئیس خوابگاه دانشگاه/WOKO؛ کانادا: خوابگاه ارشد (Crowsnest / Graduate House / Paton) همان روز پذیرش، بدون تضمین) · آلمان/انگلستان: از هفتهٔ اول دنبال کار ۲۰ ساعته بروید · کانادا: TA/RA داخل کمپوس از ترم اول (بدون سقف)، خارج کمپوس ۲۴ ساعت · سوئیس: از ماه ۵ برای ماه ۷ آماده شوید (کارفرما مجوز می‌گیرد) و تعطیلات ترم را تمام‌وقت کار کنید.</t>
        </is>
      </c>
    </row>
    <row r="155"/>
    <row r="156">
      <c r="A156" s="14" t="inlineStr">
        <is>
          <t>ج) بقیهٔ فایل</t>
        </is>
      </c>
    </row>
    <row r="157" outlineLevel="1" ht="65" customHeight="1">
      <c r="A157" s="60" t="inlineStr">
        <is>
          <t>بقیهٔ شیت‌ها پیوست‌اند و فقط برای جزئیات: «جدول نهایی ۲۰۲۶» (۲۸ معیار)، «برنامه‌ها» (۱۴۲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143:K143"/>
    <mergeCell ref="A157:K157"/>
    <mergeCell ref="A39:K39"/>
    <mergeCell ref="A148:K148"/>
    <mergeCell ref="A1:K1"/>
    <mergeCell ref="A146:K146"/>
    <mergeCell ref="A153:K153"/>
    <mergeCell ref="A41:K41"/>
    <mergeCell ref="A108:K108"/>
    <mergeCell ref="A66:K66"/>
    <mergeCell ref="A37:K37"/>
    <mergeCell ref="A145:K145"/>
    <mergeCell ref="A26:K26"/>
    <mergeCell ref="A154:K154"/>
    <mergeCell ref="A2:K2"/>
    <mergeCell ref="A151:K151"/>
    <mergeCell ref="A150:K150"/>
    <mergeCell ref="A144:K144"/>
    <mergeCell ref="A141:K141"/>
    <mergeCell ref="A4:K4"/>
    <mergeCell ref="A147:K147"/>
    <mergeCell ref="A156:K156"/>
    <mergeCell ref="A38:K38"/>
    <mergeCell ref="A152:K152"/>
    <mergeCell ref="A68:K68"/>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K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46" customWidth="1" min="9" max="9"/>
    <col width="46" customWidth="1" min="10" max="10"/>
    <col width="34" customWidth="1" min="11" max="11"/>
  </cols>
  <sheetData>
    <row r="1" ht="44" customHeight="1">
      <c r="A1" s="15" t="inlineStr">
        <is>
          <t>ردیف</t>
        </is>
      </c>
      <c r="B1" s="15" t="inlineStr">
        <is>
          <t>معیار</t>
        </is>
      </c>
      <c r="C1" s="17" t="inlineStr">
        <is>
          <t>آلمان</t>
        </is>
      </c>
      <c r="D1" s="22" t="inlineStr">
        <is>
          <t>هلند</t>
        </is>
      </c>
      <c r="E1" s="21" t="inlineStr">
        <is>
          <t>سوئد</t>
        </is>
      </c>
      <c r="F1" s="23" t="inlineStr">
        <is>
          <t>دانمارک</t>
        </is>
      </c>
      <c r="G1" s="16" t="inlineStr">
        <is>
          <t>سوئیس</t>
        </is>
      </c>
      <c r="H1" s="20" t="inlineStr">
        <is>
          <t>انگلستان (England)</t>
        </is>
      </c>
      <c r="I1" s="19" t="inlineStr">
        <is>
          <t>فنلاند</t>
        </is>
      </c>
      <c r="J1" s="18" t="inlineStr">
        <is>
          <t>کانادا (بدون کبک)</t>
        </is>
      </c>
      <c r="K1" s="15" t="inlineStr">
        <is>
          <t>منبع اصلی</t>
        </is>
      </c>
    </row>
    <row r="2">
      <c r="A2" s="66" t="inlineStr">
        <is>
          <t>۱</t>
        </is>
      </c>
      <c r="B2" s="24" t="inlineStr">
        <is>
          <t>برنامه‌های هدف واقع‌بینانه (Safe / Target / Reach) — با معدل ≈ ۱۵.۷ از ۲۰ و IELTS ≈ 7</t>
        </is>
      </c>
      <c r="C2" s="10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03"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50"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04"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33"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45" t="inlineStr">
        <is>
          <t>فقط Russell Group (به خواست شما):
Liverpool – MSc Advanced Computer Science (2:2 رسمی؛ فرم درخواست جایگزین برای ایران) → Safe/Target
Exeter – MSc Advanced Computer Science (2:1؛ $39,900 = ارزان‌ترین RG) → Target
Newcastle – MSc Advanced CS / Cyber Security / Cloud Computing / Game Engineering (2:1 یا 2:2 + سابقه) → Target
York – MSc Advanced CS / Cyber Security / HCIT (جدول رسمی ایران: 2:2 = ۱۳/۲۰) → Target
Sheffield – MSc Advanced CS / AI / Cybersecurity &amp; AI (جدول رسمی ایران: 2:1 = ۱۴/۲۰) → Target
Durham – MSc Advanced CS (2:1 = ۱۴–۱۶/۲۰ رسمی) → Target
QMUL لندن – MSc Advanced CS / Computer Games (2:1 = ۱۵–۱۶/۲۰ رسمی) → Target
Leeds / Nottingham / Birmingham / Southampton – Advanced CS / AI / Cyber / Graphics &amp; Games (2:1؛ معادل ایرانی رسمی نیافتم) → Target/Reach
Manchester / Warwick / Bristol → Target/Reach
KCL (۱۷/۲۰) / UCL / Imperial (First) → Reach
⚠️ هیچ‌کدام بدون بورس در بودجهٔ $40,000 جا نمی‌شوند (ردیف ۹)</t>
        </is>
      </c>
      <c r="I2" s="35" t="inlineStr">
        <is>
          <t>Tampere University – MSc Computing Sciences &amp; Electrical Engineering: AI-native Software / Data Science / Information Security / Human-Technology Interaction ($13,700) → Target
University of Oulu – MSc (Tech) Computer Science and Engineering: AI / Applied Computing ($11,400؛ ۷۰ جا) → Target
University of Turku – MSc (Tech) ICT: Software Engineering / Cyber Security ($13,700؛ سهمیهٔ ۵۵ نفر) → Target
LUT (Lappeenranta) – MSc (Tech) Software Engineering ($17,100) → Target ولی گام ۱ فقط با بورس
Aalto (Espoo) – CS / ML-DS-AI / SECCLO / Game Design &amp; Development ($19,400) و University of Helsinki – CS / Data Science ($17,100) → Reach و خارج بودجه
(همه با کارشناسی مرتبط + IELTS 6.5؛ Tampere/Oulu/Turku/LUT از «درخواست مشترک» studyinfo.fi: یک فرم، تا ۶ برنامه، ۷–۲۱ ژانویه ۲۰۲۷، کارمزد $115)</t>
        </is>
      </c>
      <c r="J2" s="37" t="inlineStr">
        <is>
          <t>MSc پایان‌نامه‌ای (استاد راهنما + معمولاً TA/RA):
Memorial (St. John's) – MSc Computer Science ($6,810 کل دوره) → Target
Manitoba (Winnipeg) – MSc Computer Science (≈ $11,600 کل؛ کف رسمی ایران ۱۵/۲۰ دو سال آخر ✓) → Target
Saskatchewan (Saskatoon) – MSc Computer Science ($9,050/سال) → Target
Alberta (Edmonton) – MSc Computing Science (≈ $7,000/سال؛ QS ≈ 94) → Target/Reach
Calgary – MSc Computer Science ($6,040/سال + فاندینگ تضمینی $17,900/سال) → Target/Reach
UVic (Victoria) – MSc Computer Science (≈ $5,810/سال) → Target/Reach
Carleton (Ottawa) – MCS (≈ $18,700/سال؛ فقط با فاندینگ) → Target
Regina – MSc Computer Science thesis ($14,000 کل دوره؛ اضافه‌شده ۳.۱۳) → Target
Dalhousie (Halifax) – MCSc thesis ($13,700/سال؛ فقط با فاندینگ؛ ۳.۱۳) → Target
Ontario Tech (Oshawa) – MSc Computer Science thesis ($14,200/سال؛ فقط با فاندینگ؛ ۳.۱۳) → Target
Waterloo – MMath Computer Science thesis ($5,420/ترم = $32,500 کل؛ فقط با فاندینگ؛ ۳.۱۳) → Reach
درسی (بدون فاندینگ): Memorial MSc non-thesis ($11,000 کل) → Safe/Target
Memorial MAI / MASc SE ($21,100، ۱۶ ماه) → Target
Alberta MSc course-based (≈ $18k کل) → Target
Windsor MAC (≈ $29k، ۱۶ ماه) → Safe ولی خارج بودجه
Dalhousie MACS ($33,800، ۱۶ ماه) و Ontario Tech MITS ($34,100) → Safe/Target ولی خارج بودجه
Waterloo MDSAI ($39,800) و Toronto MScAC ($63,500) → Reach و خارج بودجه
(بسته برای شما: UBC و SFU — کف رسمی ایران ۱۶/۲۰ روی کل دوره؛ کبک به خواست شما حذف شد)</t>
        </is>
      </c>
      <c r="K2" s="105"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6" t="inlineStr">
        <is>
          <t>۲</t>
        </is>
      </c>
      <c r="B3" s="24" t="inlineStr">
        <is>
          <t>رتبه QS World University Rankings 2027 (ژوئن ۲۰۲۶)</t>
        </is>
      </c>
      <c r="C3" s="102" t="inlineStr">
        <is>
          <t>TU Dresden 185
FAU 218
TU Darmstadt 250
Stuttgart 318</t>
        </is>
      </c>
      <c r="D3" s="103" t="inlineStr">
        <is>
          <t>Twente =223 · Radboud =283</t>
        </is>
      </c>
      <c r="E3" s="50" t="inlineStr">
        <is>
          <t>Linköping 308
BTH و Halmstad در QS رتبه ندارند</t>
        </is>
      </c>
      <c r="F3" s="104" t="inlineStr">
        <is>
          <t>SDU =283 · Aalborg =329</t>
        </is>
      </c>
      <c r="G3" s="33" t="inlineStr">
        <is>
          <t>ETH Zürich =8
EPFL =22
UZH =98
Basel =150
Bern =191
USI =456
Fribourg =670
ZHAW 851–900
HSLU رتبه ندارد</t>
        </is>
      </c>
      <c r="H3" s="36" t="inlineStr">
        <is>
          <t>Imperial 2
UCL 9
KCL ≈ 31
Manchester 35
Bristol 54
Warwick 69
Birmingham ≈ 76
Sheffield 82
Leeds ≈ 86
Southampton ≈ 87
Durham 94
Nottingham ≈ 97
QMUL ≈ 110
Newcastle 149
York 158
Exeter ≈ 161
Liverpool ≈ 165 (≈ = رتبهٔ QS 2026؛ بقیه QS 2027)</t>
        </is>
      </c>
      <c r="I3" s="35" t="inlineStr">
        <is>
          <t>Helsinki 123
Aalto 126
Oulu 360
LUT 390
Turku 398
Tampere 436 (Jyväskylä 521)</t>
        </is>
      </c>
      <c r="J3" s="37" t="inlineStr">
        <is>
          <t>Toronto 29
Alberta ≈ 94
Waterloo ≈ 115
Calgary ≈ 180
Dalhousie ≈ 280
Saskatchewan ≈ 350
Victoria ≈ 350
Carleton ≈ 560
Windsor ≈ 650
Manitoba ≈ 690
Memorial ≈ 800+
Ontario Tech / Regina ≈ 1000+ (QS 2026؛ UBC 40 و SFU ≈ 300 برای شما بسته‌اند)</t>
        </is>
      </c>
      <c r="K3" s="106" t="inlineStr">
        <is>
          <t>topuniversities.com (QS WUR 2027)؛
utwente.nl/rankings</t>
        </is>
      </c>
    </row>
    <row r="4">
      <c r="A4" s="66" t="inlineStr">
        <is>
          <t>۳</t>
        </is>
      </c>
      <c r="B4" s="24" t="inlineStr">
        <is>
          <t>طول دوره ارشد</t>
        </is>
      </c>
      <c r="C4" s="43" t="inlineStr">
        <is>
          <t>۲ سال (120 ECTS)</t>
        </is>
      </c>
      <c r="D4" s="107" t="inlineStr">
        <is>
          <t>۲ سال (120 ECTS)</t>
        </is>
      </c>
      <c r="E4" s="46" t="inlineStr">
        <is>
          <t>۲ سال (120 ECTS) — گزینه یک‌ساله حضوری معتبر ندارد</t>
        </is>
      </c>
      <c r="F4" s="48" t="inlineStr">
        <is>
          <t>۲ سال (120 ECTS)</t>
        </is>
      </c>
      <c r="G4" s="42" t="inlineStr">
        <is>
          <t>۱.۵ سال (90 ECTS: Neuchâtel/Fribourg/Bern/UZH/Basel/ZHAW) یا ۲ سال (120 ECTS: ETH، EPFL، USI، HSLU)</t>
        </is>
      </c>
      <c r="H4" s="45" t="inlineStr">
        <is>
          <t>۱ سال (۱۲ ماه)</t>
        </is>
      </c>
      <c r="I4" s="44" t="inlineStr">
        <is>
          <t>۲ سال (120 ECTS)</t>
        </is>
      </c>
      <c r="J4" s="27" t="inlineStr">
        <is>
          <t>۲ سال (۶ ترم) برای MSc پایان‌نامه‌ای/درسی؛
۱۶ ماه پیوسته برای Memorial MAI/MASc SE، Windsor MAC، Dalhousie MACS، Ontario Tech MITS، Waterloo MDSAI و Toronto MScAC</t>
        </is>
      </c>
      <c r="K4" s="105" t="inlineStr">
        <is>
          <t>سایت برنامه‌ها</t>
        </is>
      </c>
    </row>
    <row r="5">
      <c r="A5" s="66" t="inlineStr">
        <is>
          <t>۴</t>
        </is>
      </c>
      <c r="B5" s="24" t="inlineStr">
        <is>
          <t>شهریهٔ سالانه رسمی بدون بورس (2026/27) — جزئیات هر دانشگاه</t>
        </is>
      </c>
      <c r="C5" s="43"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03" t="inlineStr">
        <is>
          <t>Twente: $24,700
Radboud: $22,500 (2026/27، رسمی)</t>
        </is>
      </c>
      <c r="E5" s="50" t="inlineStr">
        <is>
          <t>Linköping: $16,800
Halmstad: ≈ $15,300
BTH: $14,100 ($7,070 در ترم)</t>
        </is>
      </c>
      <c r="F5" s="104" t="inlineStr">
        <is>
          <t>AAU: ≈ $17,000 (2025/26: $8,500 در ترم؛ نرخ ۲۰۲۶ هنوز روی سایت AAU نیست)
SDU: $19,700 (نرخ رسمی برای ورودی سپتامبر ۲۰۲۶ به بعد — رقم قدیمی $15,800 دیگر معتبر نیست)</t>
        </is>
      </c>
      <c r="G5" s="42"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36" t="inlineStr">
        <is>
          <t>Exeter $39,900 (2027/28 رسمی)
Newcastle ≈ $42,000 (ورودی ۲۰۲۶)
York $43,600 (2027/28 رسمی)
Liverpool $45,100 (2026/27)
Durham $45,700 (2026)
Sheffield $45,800 (2027/28 رسمی)
Leeds $45,800 (۲۰۲۷ رسمی)
Birmingham ≈ $46,000
Nottingham $46,100 (۲۰۲۷ رسمی)
Southampton $48,800 (۲۰۲۷ رسمی)
QMUL $49,000 (۲۰۲۷ رسمی)
Warwick $49,600 (2026)
Bristol $50,200 (2027/28 رسمی)
Manchester $52,200 (2026؛ ۲۰۲۷ اعلام نشده)
KCL $53,600 (2026)
UCL ≈ $56,600–61,900
Imperial $61,000 (2026/27)
≈ = رقم رسمی ۲۰۲۷ هنوز منتشر نشده؛
بورس‌ها جدا (ردیف ۵ب)</t>
        </is>
      </c>
      <c r="I5" s="35" t="inlineStr">
        <is>
          <t>Oulu (CSE): $11,400 — رسمی 2026/27؛
۳۰٪ معافیت سال دوم
Tampere (CSEE): $13,700 — رسمی؛
Early-bird −$2,280 سال اول
Turku (ICT): $13,700 — رسمی؛
Early-bird −$2,280؛
۵۰٪ سال دوم برای همه با ۵۵ واحد
LUT: $17,100 — رسمی
Helsinki (CS / Data Science): $17,100 — رسمی (صفحهٔ برنامه، ورودی ۲۰۲۷)
Aalto (گروه فناوری): $19,400 — رسمی (ورودی ۲۰۲۷)
(قانون «شهریهٔ تمام‌هزینه» از اوت ۲۰۲۶؛ نرخ‌های بالا برای ورودی ۲۰۲۷ اعلام شده‌اند — صفحهٔ برنامه را در دسامبر ۲۰۲۶ دوباره ببینید)</t>
        </is>
      </c>
      <c r="J5" s="37" t="inlineStr">
        <is>
          <t>Memorial: MSc thesis $1,140 × ۶ ترم = $6,810 کل
non-thesis $1,830 × ۶ = $11,000 کل
MAI/MASc SE $21,100 کل (رسمی 2026/27)
Manitoba: $4,870 × ۲ ترم سال اول + $475/ترم ادامه ≈ $11,600 کل (رسمی 2025/26)
Saskatchewan: $3,020 × ۳ = $9,050/سال (رسمی 2026/27)
Alberta: thesis $7,410/سال ورودی ۲۰۲۶ (ثابت) → ورودی ۲۰۲۷ −۵.۵٪ ≈ $7,000
course-based $580/واحد (≈ ۳۰ واحد)
Calgary: $2,010 × ۳ = $6,040/سال (رسمی 2026/27) + فاندینگ تضمینی $17,900/سال
UVic: ≈ $1,940 × ۳ = $5,810/سال (2025/26)
Carleton: ≈ $18,800/سال thesis (2025/26)؛
non-thesis $6,810/ترم (رسمی پاییز ۲۰۲۶)
Regina (۳.۱۳): $260/واحد × ۳۰ + سورشارژ $1,050/ترم × ۶ = $14,000 کل (رسمی پاییز ۲۰۲۶)
Dalhousie (۳.۱۳): $7,970 + بین‌المللی پایان‌نامه‌ای $5,690 = $13,700/سال؛
MACS غیرپایان‌نامه‌ای $8,450/ترم × ۴ = $33,800 (رسمی 2026/27)
Ontario Tech (۳.۱۳): MSc نرخ ثابت $14,200/سال؛
MITS $3,410/درس × ۱۰ = $34,100 (رسمی 2026/27)
Waterloo (۳.۱۳): MMath CS $5,420/ترم × ۶ = $32,500؛
MDSAI $4,420/درس × ۹ = $39,800 (رسمی پاییز ۲۰۲۶)
Windsor MAC: ≈ $21,600/سال (۱۶ ماه ≈ $29k؛ ثانویه)
Toronto MScAC: $63,500 برای ۱۶ ماه (رسمی ۲۰۲۶)
+ هزینه‌های اجباری $705–1,760/سال (بیمه، U-Pass، انجمن) در همه</t>
        </is>
      </c>
      <c r="K5" s="106" t="inlineStr">
        <is>
          <t>utwente.nl؛
liu.se؛
bth.se؛
sdu.dk؛
studyindenmark.dk؛
ethz.ch؛
epfl.ch؛
uzh.ch؛
usi.ch؛
swissuniversities.ch؛
brunel.ac.uk؛
tees.ac.uk؛
northumbria.ac.uk؛
le.ac.uk؛
essex.ac.uk؛
york.ac.uk</t>
        </is>
      </c>
    </row>
    <row r="6">
      <c r="A6" s="66" t="inlineStr">
        <is>
          <t>۵</t>
        </is>
      </c>
      <c r="B6" s="24" t="inlineStr">
        <is>
          <t>شهریهٔ سالانه — بازهٔ خلاصهٔ گزینه‌های هدف</t>
        </is>
      </c>
      <c r="C6" s="102" t="inlineStr">
        <is>
          <t>$350–900 (Stuttgart ≈ $3,400؛ FAU از ۲۰۲۷ ≈ $9,300)</t>
        </is>
      </c>
      <c r="D6" s="107" t="inlineStr">
        <is>
          <t>$22,500–24,700</t>
        </is>
      </c>
      <c r="E6" s="46" t="inlineStr">
        <is>
          <t>$14,100–16,800</t>
        </is>
      </c>
      <c r="F6" s="48" t="inlineStr">
        <is>
          <t>$17,000–19,700</t>
        </is>
      </c>
      <c r="G6" s="33" t="inlineStr">
        <is>
          <t>$1,900–2,400 (Neuchâtel/Basel/UZH/Fribourg)
≈ $3,100–3,800 (ZHAW/HSLU)
≈ $5,400–5,500 (ETH/EPFL)
≈ $6,300 (Bern، از پاییز ۲۰۲۶)
$9,700 (USI) — ارزان‌ترین بعد از آلمان</t>
        </is>
      </c>
      <c r="H6" s="36" t="inlineStr">
        <is>
          <t>$39,900–61,000 (Exeter $39,900 · Newcastle $42,000 · York $43,600 · Liverpool تا Nottingham $45,100–46,100 · Southampton/QMUL/Warwick/Bristol $48,800–50,200 · Manchester $52,200 · KCL $53,600 · UCL/Imperial $56,600–61,000)</t>
        </is>
      </c>
      <c r="I6" s="35" t="inlineStr">
        <is>
          <t>$11,400–13,700 (Oulu / Tampere / Turku)
$17,100 (LUT / Helsinki)
$19,400 (Aalto) — بعد از آلمان و سوئیس ارزان‌ترین شهریه، و برخلاف آن دو ۱۰۰٪ انگلیسی</t>
        </is>
      </c>
      <c r="J6" s="27" t="inlineStr">
        <is>
          <t>پایان‌نامه‌ای $3,410–9,050/سال (Memorial $3,410 · Calgary $6,040 · UVic ≈ $5,810 · Manitoba ≈ $5,820 · Alberta ≈ $7,000 · Regina $7,010 · USask $9,050) — بعد از آلمان و سوئیس ارزان‌ترین، و برخلاف آن دو ۱۰۰٪ انگلیسی؛
پایان‌نامه‌ای‌های گران‌تر (فقط با فاندینگ): Dalhousie $13,700
Ontario Tech $14,200
Waterloo $16,300
Carleton ≈ 26.6k؛
درسی: Memorial $5,500
Alberta ≈ $9,230
Windsor ≈ $21.6k
Dal MACS $25k
Ontario Tech MITS $25.6k
Waterloo MDSAI $29.8k
Toronto $47.6k (نرخ سالانهٔ معادل)</t>
        </is>
      </c>
      <c r="K6" s="105" t="inlineStr">
        <is>
          <t>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7">
      <c r="A7" s="66" t="inlineStr">
        <is>
          <t>۵ب</t>
        </is>
      </c>
      <c r="B7" s="24" t="inlineStr">
        <is>
          <t>بورس / تخفیف شهریهٔ واقعاً در دسترسِ شما (غیر-EU، معدل ۱۵.۷۷ ≈ ۷۹٪، ورودی ۲۰۲۷)</t>
        </is>
      </c>
      <c r="C7" s="43"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03"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46"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04"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33"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36" t="inlineStr">
        <is>
          <t>Russell Group: تخفیف خودکار برای ایران تقریباً هیچ.
• Newcastle VC International $10,600 — خودکار با پذیرش + ودیعه تا ۲ اوت ۲۰۲۷ (فهرست کشوری ۲۰۲۷ را چک کنید)
VC Excellence تا ۵۰٪ — فرم تا ۸ ژوئن ۲۰۲۷ (فهرست ۲۰۲۵ ایران نداشت)
• Exeter Excellence $3,980 / $6,630 / $13,300 — بعد از پیشنهاد، رقابتی؛
حتی با $13,300 گام ۱ ≈ $1,000 کم می‌آورد (⚠️)
• Southampton Spärck AI — ۱۱ بورس کامل + کمک‌هزینه، فقط MSc AI، بسیار رقابتی
• ❌ Sheffield $9,280 (۱۰ کشور، ایران نه)
❌ Manchester Global Futures (ایران نه)
❌ Newcastle Future Leaders (هند/پاکستان/نیجریه)
❌ GREAT (ایران نیست)
❌ Commonwealth
• Chevening ۲۰۲۷/۲۸: کامل (شهریه + زندگی)؛
مهلت ۶ اکتبر ۲۰۲۶ ساعت ۱۱:۰۰ UTC؛
۲,۸۰۰ ساعت سابقهٔ کار؛
ایران در فهرست — ولی تعهد بازگشت ۲ ساله بعد از مدرک؛
با هدف مهاجرت نمی‌خواند
اثر: بدون بورس هیچ RG در $40,000 جا نمی‌شود؛
با Exeter $13,300 → $41,000 (⚠️ مرزی)؛
با Newcastle $10,600 → $45,700 (❌)</t>
        </is>
      </c>
      <c r="I7" s="35" t="inlineStr">
        <is>
          <t>• Tampere: بورس ۵۰٪ شهریه برای کل دوره، هنگام پذیرش و بر اساس رتبهٔ پذیرش (گزینشی — با معدل ۱۵.۷۷ بعید ولی ممکن) + Early-bird $2,280 سال اول برای هر پذیرفته‌ای که در مهلت بپردازد
• Turku: Early-bird $2,280 (پرداخت تا ≈ ۲۸ روز بعد از اعلام نتایج) + ۵۰٪ شهریهٔ سال دوم برای «همهٔ» دانشجویانی که ۵۵ واحد سال اول را می‌گذرانند → قابل اتکاترین بورس فنلاند: کل شهریه $11,400 + $6,840 = $18,200
• Oulu: ۳۰٪ معافیت سال دوم با پیشرفت تحصیلی → کل $19,400
• LUT: بورس Early-bird / ادامهٔ تحصیل تا $5,700
• Aalto / Helsinki: معافیت ۵۰–۱۰۰٪ معدود برای بالاترین رتبه‌ها → با معدل شما نه</t>
        </is>
      </c>
      <c r="J7" s="27" t="inlineStr">
        <is>
          <t>• به‌جای بورس، «فاندینگ» پایان‌نامه‌ای (TA + RA + بورس ورودی): Calgary حداقل تضمینی $17,900/سال × ۲ سال برای بین‌المللی‌ها (رسمی)
Alberta «بیشتر دانشجویان پایان‌نامه‌ای با فاندینگ تضمینی ۵ ترم» (FAQ رسمی)
Manitoba/USask/UVic/Memorial/Carleton بسته به استاد راهنما، معمولاً $11–18k/سال (≈)
• بورس‌های ورودی رقابتی: Manitoba UMGF $9,870
Alberta AGES-International ≈ $7,750
USask Dean's Scholarship
Memorial SGS baseline (≈)
• درسی‌ها (Memorial non-thesis/MAI، Alberta course-based، Windsor MAC، Toronto MScAC): عملاً هیچ — MScAC به‌جایش ۸ ماه کارآموزی با حقوق (≈ $28–39k) دارد
• هیچ‌کدام بورس دولتی برای ایرانی‌ها ندارند (Vanier فقط دکتری)</t>
        </is>
      </c>
      <c r="K7" s="106"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6" t="inlineStr">
        <is>
          <t>۶</t>
        </is>
      </c>
      <c r="B8" s="24" t="inlineStr">
        <is>
          <t>هزینه زندگی ماهانه واقعی دانشجو (و حداقل قانونی ویزا ۲۰۲۶)</t>
        </is>
      </c>
      <c r="C8" s="102" t="inlineStr">
        <is>
          <t>$1,080–1,420 (Dresden/Erlangen ارزان‌تر؛ Stuttgart/Darmstadt گران‌تر)
حداقل حساب مسدود: $1,130/ماه</t>
        </is>
      </c>
      <c r="D8" s="107" t="inlineStr">
        <is>
          <t>$1,250–1,710 در Enschede/Nijmegen
حداقل IND: $1,290/ماه</t>
        </is>
      </c>
      <c r="E8" s="46" t="inlineStr">
        <is>
          <t>$1,080–1,310
حداقل Migrationsverket: $1,080/ماه</t>
        </is>
      </c>
      <c r="F8" s="48" t="inlineStr">
        <is>
          <t>$1,220–1,530 در Aalborg/Odense
حداقل SIRI: $1,130/ماه</t>
        </is>
      </c>
      <c r="G8" s="33"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8" s="36" t="inlineStr">
        <is>
          <t>Liverpool / Newcastle / Sheffield / Durham: $1,260–1,660
Leeds / Birmingham / Nottingham / York / Coventry: $1,330–1,790
Exeter / Southampton / Bristol: $1,390–1,920
لندن: QMUL Mile End $1,990–2,390؛
Imperial/UCL/KCL $2,120–2,520
حداقل ویزا: $1,550 / $2,030 در ماه (× ۹)؛
از ۳۰ نوامبر ۲۰۲۶: $1,590 / $2,080</t>
        </is>
      </c>
      <c r="I8" s="35" t="inlineStr">
        <is>
          <t>Tampere / Turku: $910–1,140 (خوابگاه TOAS/TYS: اتاق مشترک $240–465، استودیو $275–685)
Oulu: $855–1,080 (PSOAS $285–435)
Lappeenranta: $800–1,030 (LOAS)
Espoo / Helsinki: $1,080–1,480 (HOAS/AYY اتاق $340–515، استودیو $515–685؛ بازار آزاد اتاق $570–855)
حداقل Migri: $910/ماه = $10,900 در سال (مستقل از شهر)</t>
        </is>
      </c>
      <c r="J8" s="37" t="inlineStr">
        <is>
          <t>St. John's / Winnipeg / Saskatoon: $985–1,230 (اتاق $460–740 + خوراک ≈ $210 + شخصی ≈ $245)
Edmonton: $1,060–1,270
Calgary: $1,160–1,410
Ottawa: $1,270–1,550
Victoria: $1,340–1,620
Toronto: $1,480–1,830
(یک‌خوابهٔ CMHC اکتبر ۲۰۲۵: Winnipeg $835 · Saskatoon $800 · Edmonton $930 · Calgary $1,070 · Ottawa $1,150 · Toronto $1,240 · Victoria $1,300؛ MUN رسمی: اتاق $740 + خوراک $2,540/سال + شخصی $2,920/سال)
حداقل قانونی ویزا: $16,500/سال = $1,380/ماه (از ۱ سپتامبر ۲۰۲۶، خارج کبک)</t>
        </is>
      </c>
      <c r="K8" s="106" t="inlineStr">
        <is>
          <t>make-it-in-germany.com؛
ind.nl؛
migrationsverket.se؛
nyidanmark.dk؛
sem.admin.ch؛
gov.uk (HC 584)</t>
        </is>
      </c>
    </row>
    <row r="9">
      <c r="A9" s="66" t="inlineStr">
        <is>
          <t>۷</t>
        </is>
      </c>
      <c r="B9" s="24" t="inlineStr">
        <is>
          <t>هزینه سال اول = شهریه + ۱۲ ماه زندگی (دلار)</t>
        </is>
      </c>
      <c r="C9" s="102" t="inlineStr">
        <is>
          <t>$13,000–18,000 (Stuttgart تا $22,500؛ FAU از ۲۰۲۷ تا ≈ $26,000)</t>
        </is>
      </c>
      <c r="D9" s="107" t="inlineStr">
        <is>
          <t>$37,500–45,000</t>
        </is>
      </c>
      <c r="E9" s="46" t="inlineStr">
        <is>
          <t>$27,000–32,500</t>
        </is>
      </c>
      <c r="F9" s="48" t="inlineStr">
        <is>
          <t>$31,500–38,000</t>
        </is>
      </c>
      <c r="G9" s="33" t="inlineStr">
        <is>
          <t>$23,000–42,000 (Neuchâtel/Fribourg $23–31k · Lucerne $26–32k · Bern $27–35k · Lugano/Lausanne $30–37k · Zürich $30–42k)</t>
        </is>
      </c>
      <c r="H9" s="36" t="inlineStr">
        <is>
          <t>$56,600–91,200 (Exeter $56,600–61,300 · Newcastle $57,100–61,900 · York $59,500–65,100 · Liverpool/Durham/Sheffield $60,200–65,700 · Leeds/Birmingham/Nottingham $61,700–66,800 · Southampton/Warwick $65,500–70,200 · Bristol/Manchester $68,900–73,700 · QMUL $72,800–77,600 · KCL $79,000–83,800 · UCL/Imperial $82,000–91,200)</t>
        </is>
      </c>
      <c r="I9" s="35" t="inlineStr">
        <is>
          <t>$21,700–35,900 (Oulu $22–24k · Tampere/Turku $25–27k · LUT $26–30k · Helsinki $31–35k · Aalto $32–35k)</t>
        </is>
      </c>
      <c r="J9" s="27" t="inlineStr">
        <is>
          <t>پایان‌نامه‌ای $16,900–23,600 (Memorial $17k · Manitoba $19k · Regina $19.7k · Alberta $20.9k · Calgary $21.5k · USask $22.1k · UVic $23.5k؛ Dalhousie $29.1k · Ontario Tech $30k · Waterloo $32k)
درسی: Memorial $19k
Alberta $23k
Windsor ≈ $35k
Carleton ≈ $35k
Dal MACS $40.8k
Toronto ≈ $68k</t>
        </is>
      </c>
      <c r="K9" s="105" t="inlineStr">
        <is>
          <t>محاسبه از ردیف‌های ۴ و ۶؛
بدون بلیت، ویزا، بیمه، ودیعه (۱۰–۱۵٪ اضافه کنید)</t>
        </is>
      </c>
    </row>
    <row r="10">
      <c r="A10" s="66" t="inlineStr">
        <is>
          <t>۸</t>
        </is>
      </c>
      <c r="B10" s="24" t="inlineStr">
        <is>
          <t>هزینه کل تا فارغ‌التحصیلی (شهریه × سال‌ها + زندگی) — مهم‌ترین عدد مالی</t>
        </is>
      </c>
      <c r="C10" s="43" t="inlineStr">
        <is>
          <t>$27,000–36,000 (۲ سال؛ Stuttgart تا $45,000؛ FAU از ۲۰۲۷ تا ≈ $53,000) — ارزان‌ترین</t>
        </is>
      </c>
      <c r="D10" s="107" t="inlineStr">
        <is>
          <t>$75,000–90,000 (۲ سال) — گران‌ترین</t>
        </is>
      </c>
      <c r="E10" s="46" t="inlineStr">
        <is>
          <t>$54,000–65,000 (۲ سال)</t>
        </is>
      </c>
      <c r="F10" s="48" t="inlineStr">
        <is>
          <t>$63,000–76,000 (۲ سال)</t>
        </is>
      </c>
      <c r="G10" s="33" t="inlineStr">
        <is>
          <t>$35,000–84,000 (Neuchâtel/Fribourg ۱.۵ سال $35–47k · Bern $39–51k · UZH $45–58k · HSLU $53–64k · USI/EPFL $60–75k · ETH $66–84k) — بعد از هلند گران‌ترین؛
شهریه ناچیز است، هزینهٔ زندگی همه‌چیز را تعیین می‌کند</t>
        </is>
      </c>
      <c r="H10" s="45" t="inlineStr">
        <is>
          <t>$56,600–91,200 (۱ سال — همان ردیف ۷)</t>
        </is>
      </c>
      <c r="I10" s="44" t="inlineStr">
        <is>
          <t>$43,300–71,800 (۲ سال): Oulu $43–49k
Tampere/Turku $49–55k (Turku با Early-bird و بورس سال دوم ≈ $42–48k)
LUT $54–59k
Helsinki $62–70k
Aalto $65–72k — نزدیک سوئد؛
ارزان‌تر از انگلستان، هلند و دانمارک؛
۱۰۰٪ انگلیسی</t>
        </is>
      </c>
      <c r="J10" s="27" t="inlineStr">
        <is>
          <t>پایان‌نامه‌ای بدون فاندینگ $33,800–47,200 (۲ سال): Memorial $34k
Manitoba $38k
Regina $39k
Alberta $42k
Calgary $43k
USask $44k
UVic $47k (Dalhousie $58k · Ontario Tech $59k · Waterloo $63k — فقط با فاندینگ) — با TA/RA معمول ($11–18k/سال؛ Calgary تضمینی) عملاً $7–24.7k
درسی: Memorial non-thesis $37k
MAI/MASc SE $39k (۱۶ ماه)
Alberta $46k
Windsor $47k
Dal MACS $54k
Ontario Tech MITS $55k
Waterloo MDSAI $61k
Carleton $71k
Toronto $90k — پایان‌نامه‌ای‌ها هم‌سطح آلمان/سوئیس ارزان و زیر فنلاند؛
۱۰۰٪ انگلیسی</t>
        </is>
      </c>
      <c r="K10" s="105" t="inlineStr">
        <is>
          <t>محاسبه؛
جدول اول فقط سال اول را مقایسه کرده بود</t>
        </is>
      </c>
    </row>
    <row r="11">
      <c r="A11" s="66" t="inlineStr">
        <is>
          <t>۹</t>
        </is>
      </c>
      <c r="B11" s="24"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43"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47" t="inlineStr">
        <is>
          <t>❌ گام ۱: شهریه + تمکن $15,500 ($15.5k) = Twente $65k، Radboud $60.4k، UvA یک‌ساله $54.6k. گام ۲ هم منفی (UvA: ۰.۵ ماه + کار ۱۶ ساعت × $16.8 ≈ $1,090 در برابر $1,710 → کسری $6.5k)</t>
        </is>
      </c>
      <c r="E11" s="46"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48"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42"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1" s="45" t="inlineStr">
        <is>
          <t>گام ۱ (شهریهٔ سال + ۹ × $1,590 = $14.3k؛ لندن ۹ × $2,080 = $18.7k؛ ۲۸ روز؛ حساب والدین مجاز) — همهٔ Russell Group ❌: Exeter $54,200 (کمترین کسری: $14,200)
Newcastle ≈ $56,300
York $57,900
Liverpool $59,400
Durham/Sheffield/Leeds/Birmingham/Nottingham $60,100–60,500
Southampton $63,100
Warwick $64,000
Bristol $64,600
Manchester $66,600
QMUL (لندن) $67,700
KCL $72,300
UCL $75,300
Imperial $79,700. گام ۲ ❌: شهریه به‌تنهایی $39,900–61,000 است → از $40,000 صفر ماه زندگی می‌ماند (Exeter ۰.۱ ماه).
فقط با بورس: Exeter −$13,300 → ۸.۴ ماه زندگی + ۲۰ ساعت × $16.8 ≈ $1,440 ≈ زندگی ✅ (گام ۱ ⚠️ $1,000 کسری)؛
Newcastle −$10,600 → گام ۱ $45,700 ❌</t>
        </is>
      </c>
      <c r="I11" s="44" t="inlineStr">
        <is>
          <t>گام ۱ (تمکن $10,900 در حساب به نام خودتان، هر بانکی + شهریهٔ کل): Oulu $33,700 ✅
Tampere / Turku $38,300 ✅
LUT $45,100 ❌ (با بورس $5,700 ✅ مرزی)
Helsinki $45,100 ❌
Aalto $49,700 ❌.
گام ۲: Tampere شهریه $27,400 + ≈ ۱۲ ماه زندگی از $40k؛
بعد ۳۰ ساعت × ≈ $14.2 (توافق جمعی) ≈ $1,600 خالص ≥ زندگی ≈ $1,030 → روی کاغذ ✅ بدون کسری؛
Oulu ≈ ۱۸ ماه پوشش ✅.
⚠️ عملاً: بدون فنلاندی کار خدماتی کم است و بیکاری ۹٪ — ولی حتی با ۱۵–۲۰ ساعت (≈ $800–1,060 خالص) Tampere/Oulu می‌بندند</t>
        </is>
      </c>
      <c r="J11" s="27" t="inlineStr">
        <is>
          <t>گام ۱ (تمکن $16,500 + شهریهٔ کل ≤ $40k): MSc پایان‌نامه‌ای ارزان همه ✅ — Memorial $23.3k
UVic $28.1k
Manitoba $28.2k
Calgary $28.6k (با فاندینگ تضمینی $16.5k)
Regina $30.5k
Alberta $30.5k
USask $34.6k؛
درسی‌های Memorial ($27.5k؛ MAI/MASc SE $37.6k) و Alberta course-based ($35k) هم ✅؛
پایان‌نامه‌ای‌های گران بدون نامهٔ فاندینگ ❌: Dalhousie $43.8k (کسری $3.8k)
Ontario Tech $44.9k
Waterloo MMath $49.1k
Carleton $54–57k — با TA/RA معمول همه ✅؛
درسی‌های گران ❌: Windsor $45.3k
Dal MACS $50.3k
Ontario Tech MITS $50.6k
Waterloo MDSAI $56.3k
Toronto $80k.
گام ۲ (شهریه + n ماه زندگی از $40k، بعد ۲۴ ساعت × حداقل دستمزد استان): Memorial/Manitoba/Regina شهریه + تمام ۲۴ ماه ✅ حتی بدون کار
Calgary/Alberta/USask ۲۰–۲۲ ماه + ۲۴ ساعت × $10.6–11.1 ≈ $1,010–1,060 خالص ≈ زندگی ✅
UVic ⚠️ (ویکتوریا گران؛ کسری ≈ $1.2k فقط با کار تابستان)
Memorial MAI تمام ۱۶ ماه ✅.
⚠️ همهٔ این‌ها بدون TA/RA حساب شده؛
با فاندینگ معمول عملاً از $40k پول برمی‌گردد.
گلوگاه پول نیست: استاد راهنما + ویزای کند از ایران است</t>
        </is>
      </c>
      <c r="K11" s="105"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6" t="inlineStr">
        <is>
          <t>۱۰</t>
        </is>
      </c>
      <c r="B12" s="24" t="inlineStr">
        <is>
          <t>مسکن در بدو ورود</t>
        </is>
      </c>
      <c r="C12" s="43" t="inlineStr">
        <is>
          <t>خوابگاه Studierendenwerk با لیست انتظار؛
Stuttgart و Darmstadt سخت، Dresden و Erlangen آسان‌تر.
بلافاصله بعد از پذیرش ثبت‌نام کنید.</t>
        </is>
      </c>
      <c r="D12" s="107" t="inlineStr">
        <is>
          <t>کمبود شدید ملی؛
ولی Twente (کمپوس) و Radboud/SSH&amp; اتاق رزروشده برای بین‌المللی‌ها دارند — مهلت را از دست ندهید.</t>
        </is>
      </c>
      <c r="E12" s="46" t="inlineStr">
        <is>
          <t>تضمین سراسری نیست: Linköping به شهریه‌پردازها یک پیشنهاد اتاق برای سال اول می‌دهد؛
Halmstad تضمین ندارد؛
BTH تأیید نشد.</t>
        </is>
      </c>
      <c r="F12" s="48" t="inlineStr">
        <is>
          <t>دفتر اسکان بین‌المللی AAU/SDU؛
Aalborg و Odense نسبتاً در دسترس.</t>
        </is>
      </c>
      <c r="G12" s="33"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45" t="inlineStr">
        <is>
          <t>اغلب RG برای ارشد بین‌المللی با درخواست تا مهلت خوابگاه می‌دهند: York تضمین (تا ۳۱ ژوئیه)، Manchester تضمین برای کل دوره (تا ۳۱ اوت)، Liverpool/Sheffield/Leeds/Newcastle/Exeter/Southampton/QMUL معمولاً بله (تأیید کنید)؛
Durham برای ارشد تضمین ندارد؛
Imperial/UCL/KCL ❌</t>
        </is>
      </c>
      <c r="I12" s="44" t="inlineStr">
        <is>
          <t>بنیادهای خوابگاهی غیرانتفاعی هر شهر (TOAS تامپره، PSOAS اولو، TYS تورکو، LOAS لاپین‌رانتا، HOAS/AYY هلسینکی–اسپو): بلافاصله بعد از پذیرش (آوریل–می) درخواست بدهید؛
در Tampere/Oulu/Turku معمولاً تا سپتامبر جا هست، در Helsinki/Espoo صف چند ماهه؛
اجاره شامل آب/برق/اینترنت؛
ضامن نمی‌خواهند، ودیعه معمولاً ۰ تا ۱ ماه</t>
        </is>
      </c>
      <c r="J12" s="27" t="inlineStr">
        <is>
          <t>خوابگاه‌های ویژهٔ ارشد در بیشتر دانشگاه‌ها ولی بدون تضمین (تضمین فقط سال اول کارشناسی): همان روز پذیرش (مارس–می) درخواست بدهید؛
Saskatoon/Winnipeg/St. John's/Edmonton معمولاً جا هست، Victoria/Toronto/Ottawa صف
رسمی 2026/27: Calgary Crowsnest Hall استودیو $985/ماه (۸ ماه)، دوخوابهٔ مشترک $815
USask Graduate House دوخوابهٔ مشترک $855، استودیو $1,060، Seager Wheeler اتاق در واحد ۶ نفره $475
MUN Paton College تک‌نفره با غذا $3,700/ترم ≈ $925
خصوصی: اتاق در خانهٔ مشترک $460–705 (پریری/آتلانتیک) تا $705–1,060 (تورنتو)؛
ودیعه ۱ ماه، بدون ضامن؛
ماه اول Airbnb/خوابگاه و از راه دور پول ندهید</t>
        </is>
      </c>
      <c r="K12" s="105" t="inlineStr">
        <is>
          <t>سایت دانشگاه‌ها؛
hh.se (Find Accommodation)؛
liu.se</t>
        </is>
      </c>
    </row>
    <row r="13">
      <c r="A13" s="66" t="inlineStr">
        <is>
          <t>۱۱</t>
        </is>
      </c>
      <c r="B13" s="24" t="inlineStr">
        <is>
          <t>سقف قانونی کار دانشجویی</t>
        </is>
      </c>
      <c r="C13" s="43" t="inlineStr">
        <is>
          <t>۱۴۰ روز کامل یا ۲۸۰ نیم‌روز در سال (Werkstudent تا ۲۰ ساعت/هفته در ترم)</t>
        </is>
      </c>
      <c r="D13" s="107" t="inlineStr">
        <is>
          <t>۱۶ ساعت/هفته (کارفرما TWV می‌گیرد) یا تمام‌وقت در ژوئن–اوت</t>
        </is>
      </c>
      <c r="E13" s="46" t="inlineStr">
        <is>
          <t>از ۱۱ ژوئن ۲۰۲۶: حداکثر ۱۵ ساعت/هفته در ترم؛
ژوئن–اوت بدون سقف.
تخلف = لغو اقامت. + حداقل پیشرفت تحصیلی ۳۷.۵ واحد سال اول / ۴۵ واحد بعد</t>
        </is>
      </c>
      <c r="F13" s="48" t="inlineStr">
        <is>
          <t>۹۰ ساعت/ماه (سپتامبر–مه) + تمام‌وقت ژوئن–اوت</t>
        </is>
      </c>
      <c r="G13" s="42" t="inlineStr">
        <is>
          <t>غیر-EU: ۶ ماه اول هیچ؛
بعد از آن ۱۵ ساعت/هفته در ترم و تمام‌وقت در تعطیلات؛
کارفرما باید مجوز کانتونی بگیرد؛
کل دورهٔ تحصیل در سوئیس حداکثر ۸ سال</t>
        </is>
      </c>
      <c r="H13" s="45" t="inlineStr">
        <is>
          <t>۲۰ ساعت/هفته در ترم؛ تمام‌وقت در تعطیلات</t>
        </is>
      </c>
      <c r="I13" s="44" t="inlineStr">
        <is>
          <t>۳۰ ساعت در هفته به‌طور میانگین سالانه (Migri، از ۲۰۲۲) — بیشترین سقف بین ۸ کشور (کانادا ۲۴ ساعت + تمام‌وقت در تعطیلات)؛
در تعطیلات بیشتر و در ترم کمتر مجاز است تا میانگین ۳۰ بماند</t>
        </is>
      </c>
      <c r="J13" s="27" t="inlineStr">
        <is>
          <t>۲۴ ساعت در هفته خارج از کمپوس در طول ترم (قانون ۸ نوامبر ۲۰۲۴)؛
در تعطیلات رسمی (تابستان ۴ ماه، کریسمس) تمام‌وقت؛
کار داخل کمپوس (TA/RA/کتابخانه) بدون سقف؛
نیازی به مجوز کار جدا نیست (روی مجوز تحصیل نوشته می‌شود)</t>
        </is>
      </c>
      <c r="K13" s="106" t="inlineStr">
        <is>
          <t>make-it-in-germany.com؛
ind.nl؛
migrationsverket.se (خبر ۲۵ مه ۲۰۲۶)؛
nyidanmark.dk؛
sem.admin.ch؛
gov.uk</t>
        </is>
      </c>
    </row>
    <row r="14">
      <c r="A14" s="66" t="inlineStr">
        <is>
          <t>۱۲</t>
        </is>
      </c>
      <c r="B14" s="24" t="inlineStr">
        <is>
          <t>درآمد واقع‌بینانه کار حین تحصیل (ناخالص، ماهانه)</t>
        </is>
      </c>
      <c r="C14" s="102" t="inlineStr">
        <is>
          <t>$1,140–1,820 (Werkstudent فنی $17–23/ساعت؛ برای رشته شما فراوان)</t>
        </is>
      </c>
      <c r="D14" s="107" t="inlineStr">
        <is>
          <t>تا ≈ $1,140 (۱۶ ساعت × $16.8)؛
یافتن کارفرمای TWV‌گیر سخت</t>
        </is>
      </c>
      <c r="E14" s="46" t="inlineStr">
        <is>
          <t>$340–910 (سقف ۱۵ ساعت؛ کار برای غیرسوئدی‌زبان کمیاب)</t>
        </is>
      </c>
      <c r="F14" s="48" t="inlineStr">
        <is>
          <t>$1,220–1,830 اگر کار پیدا شود؛
اکثر کارهای خدماتی دانمارکی می‌خواهند</t>
        </is>
      </c>
      <c r="G14" s="42" t="inlineStr">
        <is>
          <t>بعد از ماه ششم: ≈ $1,570–2,180 (۱۵ ساعت × $27–34؛ دستیاری آموزشی/پژوهشی در ETH/UZH/ZHAW رایج)</t>
        </is>
      </c>
      <c r="H14" s="45" t="inlineStr">
        <is>
          <t>تا ≈ $1,460 (۲۰ ساعت × $16.8)</t>
        </is>
      </c>
      <c r="I14" s="44" t="inlineStr">
        <is>
          <t>$1,030–1,820 اگر کار پیدا شود (۱۵–۳۰ ساعت × $14–15 توافق جمعی؛ IT/کارآموزی $17–21)؛
بدون فنلاندی کارهای خدماتی محدود؛
Tampere/Espoo بهتر از Oulu/Lappeenranta</t>
        </is>
      </c>
      <c r="J14" s="27" t="inlineStr">
        <is>
          <t>$1,090–1,340 ناخالص با ۲۴ ساعت × حداقل دستمزد (AB $10.6 · SK $11.1 · MB $11.6 · NL $11.5 · ON $12.6 · BC $12.9 — سطوح اکتبر ۲۰۲۶) و تا $1,830–2,260 در تابستان تمام‌وقت؛
TA ≈ $28–35/ساعت ولی ۵–۱۰ ساعت/هفته؛
RA از گرنت استاد؛
کار خدماتی ۲۰۲۶ برای دانشجویان بین‌المللی رقابتی (بیکاری جوانان ۱۲.۹٪)</t>
        </is>
      </c>
      <c r="K14" s="105" t="inlineStr">
        <is>
          <t>حداقل دستمزدهای ۲۰۲۶؛
برآورد.
درآمد دانشجویی را در تأمین مالی ویزا حساب نکنید.</t>
        </is>
      </c>
    </row>
    <row r="15">
      <c r="A15" s="66" t="inlineStr">
        <is>
          <t>۱۳</t>
        </is>
      </c>
      <c r="B15" s="24" t="inlineStr">
        <is>
          <t>زبان محیط کار فنی (IT)</t>
        </is>
      </c>
      <c r="C15" s="43" t="inlineStr">
        <is>
          <t>انگلیسی در استارتاپ‌ها/شرکت‌های بزرگ (Berlin، Munich، Hamburg) کافی؛
اکثر آگهی‌های IT آلمانی B2 می‌خواهند → بدون آلمانی حدود نیمی از بازار بسته است.</t>
        </is>
      </c>
      <c r="D15" s="107" t="inlineStr">
        <is>
          <t>انگلیسی در tech رایج و کافی؛ نه ۱۰۰٪.</t>
        </is>
      </c>
      <c r="E15" s="46" t="inlineStr">
        <is>
          <t>انگلیسی در tech رایج (Stockholm، Göteborg)؛
بازار ۲۰۲۴–۲۶ ضعیف (بیکاری ≈ ۹٪).</t>
        </is>
      </c>
      <c r="F15" s="48" t="inlineStr">
        <is>
          <t>انگلیسی برای بخشی از نقش‌های IT در Copenhagen/Aarhus کافی؛
برای اکثر نقش‌ها دانمارکی B1–B2 ترجیح دارد؛
در Aalborg/Odense سخت‌تر.</t>
        </is>
      </c>
      <c r="G15" s="33"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45" t="inlineStr">
        <is>
          <t>۱۰۰٪ انگلیسی؛
بازار جونیور ۲۰۲۵–۲۶ بسیار رقابتی.</t>
        </is>
      </c>
      <c r="I15" s="44" t="inlineStr">
        <is>
          <t>انگلیسی در شرکت‌های بین‌المللی و بازی‌سازی (Supercell، Rovio، Remedy، Wolt، Nokia، Unity Helsinki) و بیشتر استارتاپ‌های هلسینکی/تامپره کافی؛
بخش عمومی، بانک‌ها و SMEهای محلی فنلاندی می‌خواهند → ≈ نیمی از آگهی‌های جونیور بسته</t>
        </is>
      </c>
      <c r="J15" s="27" t="inlineStr">
        <is>
          <t>انگلیسی ۱۰۰٪ در همهٔ استان‌های بیرون کبک (تنها کشور جدول در کنار انگلستان)؛
اتاوا: مشاغل فدرال دوزبانه می‌خواهند ولی بخش خصوصی نه</t>
        </is>
      </c>
      <c r="K15" s="106" t="inlineStr">
        <is>
          <t>workindenmark.dk؛
آگهی‌های StepStone/LinkedIn؛
ارزیابی</t>
        </is>
      </c>
    </row>
    <row r="16">
      <c r="A16" s="66" t="inlineStr">
        <is>
          <t>۱۴</t>
        </is>
      </c>
      <c r="B16" s="24" t="inlineStr">
        <is>
          <t>زبان برای امور اداری و زندگی روزمره</t>
        </is>
      </c>
      <c r="C16" s="43" t="inlineStr">
        <is>
          <t>قانوناً برای تحصیل لازم نیست؛
عملاً A2–B1 (اداره اتباع، اجاره، بیمه، مالیات).</t>
        </is>
      </c>
      <c r="D16" s="107" t="inlineStr">
        <is>
          <t>انگلیسی کافی؛ نامه‌های رسمی هلندی.</t>
        </is>
      </c>
      <c r="E16" s="46" t="inlineStr">
        <is>
          <t>انگلیسی کافی.</t>
        </is>
      </c>
      <c r="F16" s="48" t="inlineStr">
        <is>
          <t>انگلیسی روزمره کافی؛
سامانه‌ها و نامه‌ها دانمارکی.</t>
        </is>
      </c>
      <c r="G16" s="4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45" t="inlineStr">
        <is>
          <t>انگلیسی.</t>
        </is>
      </c>
      <c r="I16" s="44" t="inlineStr">
        <is>
          <t>انگلیسی روزمره و اداری عملاً کافی (Migri، Kela، DVV، بانک‌ها و مالیات به انگلیسی)؛
نامه‌ها و قراردادها فنلاندی/سوئدی؛
فنلاندی زبان دشواری است ولی برای زندگی روزمره لازم نیست</t>
        </is>
      </c>
      <c r="J16" s="27" t="inlineStr">
        <is>
          <t>انگلیسی کامل (IRCC، بانک، اجاره، مالیات CRA، بیمهٔ استانی) — نیازی به هیچ زبان دیگری نیست؛
فرانسه فقط امتیاز اضافه در Express Entry</t>
        </is>
      </c>
      <c r="K16" s="105" t="inlineStr">
        <is>
          <t>تجربه عمومی؛ ارزیابی</t>
        </is>
      </c>
    </row>
    <row r="17">
      <c r="A17" s="66" t="inlineStr">
        <is>
          <t>۱۵</t>
        </is>
      </c>
      <c r="B17" s="24" t="inlineStr">
        <is>
          <t>مجوز اقامت پس از تحصیل برای جست‌وجوی کار</t>
        </is>
      </c>
      <c r="C17" s="43" t="inlineStr">
        <is>
          <t>۱۸ ماه (§20 AufenthG) — هر کاری مجاز</t>
        </is>
      </c>
      <c r="D17" s="107" t="inlineStr">
        <is>
          <t>۱۲ ماه (zoekjaar) — تا ۳ سال بعد از مدرک قابل درخواست؛
$290</t>
        </is>
      </c>
      <c r="E17" s="46" t="inlineStr">
        <is>
          <t>۱۲ ماه — با اثبات تمکن $1,080/ماه برای کل دوره</t>
        </is>
      </c>
      <c r="F17" s="48" t="inlineStr">
        <is>
          <t>۳ سال، خودکار همراه مجوز تحصیلی برای ارشد state-approved (AAU/SDU) — تا گرفتن «مجوز کار نامحدود» فقط ۹۰ ساعت/ماه</t>
        </is>
      </c>
      <c r="G17" s="42" t="inlineStr">
        <is>
          <t>فقط ۶ ماه (مجوز L برای جست‌وجوی کار، مادهٔ ۲۱ بند ۳ FNIA) — کوتاه‌ترین در بین ۸ کشور (فنلاند ۲ سال، کانادا ۳ سال)؛
کار در این مدت تا ۱۵ ساعت/هفته</t>
        </is>
      </c>
      <c r="H17" s="45" t="inlineStr">
        <is>
          <t>۱۸ ماه Graduate visa برای درخواست‌های از ۱ ژانویه ۲۰۲۷ — $1,240 + IHS $1,370/سال</t>
        </is>
      </c>
      <c r="I17" s="44" t="inlineStr">
        <is>
          <t>۲ سال (مجوز اقامت برای کاریابی/کارآفرینی با حق کار نامحدود)، قابل تقسیم به حداکثر ۳ دوره تا ۵ سال بعد از پایان مجوز تحصیلی؛
شرط: $910/ماه تمکن — Migri</t>
        </is>
      </c>
      <c r="J17" s="37" t="inlineStr">
        <is>
          <t>PGWP تا ۳ سال برای ارشد ≥ ۸ ماه (اجازهٔ کار باز، هر کارفرما/هر شهر) — طولانی‌ترین جدول؛
درخواست تا ۱۸۰ روز بعد از تأیید مدرک؛
CLB 7 (IELTS 6.0 هر بخش)؛
فارغ‌التحصیلان مدرک دانشگاهی از شرط رشته معاف (نوامبر ۲۰۲۵)؛
همسر: اجازهٔ کار فقط برای ارشد ≥ ۱۶ ماه</t>
        </is>
      </c>
      <c r="K17" s="106" t="inlineStr">
        <is>
          <t>make-it-in-germany.com؛
ind.nl؛
migrationsverket.se؛
nyidanmark.dk؛
sem.admin.ch؛
gov.uk (Statement of Changes ۱۴ اکتبر ۲۰۲۵)</t>
        </is>
      </c>
    </row>
    <row r="18">
      <c r="A18" s="66" t="inlineStr">
        <is>
          <t>۱۶</t>
        </is>
      </c>
      <c r="B18" s="24" t="inlineStr">
        <is>
          <t>حداقل حقوق برای ویزای کار (سطوح ۲۰۲۶)</t>
        </is>
      </c>
      <c r="C18" s="43" t="inlineStr">
        <is>
          <t>بلوکارت: $57,800 عمومی / $52,400 برای IT و تازه‌فارغ‌التحصیلان (تا ۳ سال بعد از مدرک)
مجوز کار §18b برای فارغ‌التحصیلان آلمان: بدون کف ثابت</t>
        </is>
      </c>
      <c r="D18" s="103" t="inlineStr">
        <is>
          <t>HSM کاهش‌یافته برای فارغ‌التحصیلان هلند (تا ۳ سال): $3,560/ماه بدون حق تعطیلات ≈ $46,200/سال
زیر ۳۰ سال عادی: $4,970/ماه</t>
        </is>
      </c>
      <c r="E18" s="46" t="inlineStr">
        <is>
          <t>$3,480/ماه (۹۰٪ میانه؛ از ۱۶ ژوئن ۲۰۲۶)
فارغ‌التحصیلان سوئد که از داخل درخواست دهند: ۷۵٪ = $2,900/ماه
هر ژوئن به‌روز می‌شود</t>
        </is>
      </c>
      <c r="F18" s="104" t="inlineStr">
        <is>
          <t>Positive List (مشاغل IT): کف ثابت ندارد (حقوق مطابق استاندارد دانمارکی)
Pay Limit: $84,300
Supplementary: $68,100</t>
        </is>
      </c>
      <c r="G18" s="4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36" t="inlineStr">
        <is>
          <t>Skilled Worker: بالاترینِ $55,300 و نرخ شغل؛
نرخ SOC 2134 (توسعه‌دهنده) = $72,500
تازه‌کار (حداکثر ۴ سال): ۷۰٪ = $50,700
+ انگلیسی B2 (از ۸ ژانویه ۲۰۲۶)</t>
        </is>
      </c>
      <c r="I18" s="44" t="inlineStr">
        <is>
          <t>بدون کف قانونی؛
«مجوز کار عادی» = حقوق توافق جمعی یا دست‌کم $1,820/ماه (۲۰۲۶) — همان چیزی که یک جونیور می‌گیرد؛
«متخصص» (IT) ≥ $4,490/ماه (۲۰۲۶) بدون آزمون بازار کار؛
مجوز ویژهٔ «مدرک فنلاندی» برای فارغ‌التحصیلان — Migri</t>
        </is>
      </c>
      <c r="J18" s="37" t="inlineStr">
        <is>
          <t>PGWP کف حقوقی ندارد (اجازهٔ کار باز)؛
برای ماندن بعد از PGWP معیار «امتیاز CRS» است نه حقوق: CEC ۲۰۲۶ برش ۵۰۷–۵۲۳؛
LMIA (اگر لازم شد) دستمزد میانهٔ استان ≈ $20–25/ساعت؛
حقوق جونیور $38–51k = $18–25/ساعت</t>
        </is>
      </c>
      <c r="K18" s="106" t="inlineStr">
        <is>
          <t>make-it-in-germany.com؛
ind.nl؛
migrationsverket.se؛
nyidanmark.dk؛
sem.admin.ch (Art. 21 FNIA)؛
gov.uk Appendix Skilled Occupations</t>
        </is>
      </c>
    </row>
    <row r="19">
      <c r="A19" s="66" t="inlineStr">
        <is>
          <t>۱۷</t>
        </is>
      </c>
      <c r="B19" s="24" t="inlineStr">
        <is>
          <t>حقوق ورودی جونیور توسعه‌دهنده (ناخالص سالانه، ۲۰۲۶)</t>
        </is>
      </c>
      <c r="C19" s="43" t="inlineStr">
        <is>
          <t>$54,700–62,700 (با ارشد ≈ $63k)</t>
        </is>
      </c>
      <c r="D19" s="103" t="inlineStr">
        <is>
          <t>$45,600–57,000 (Amsterdam بالاتر)</t>
        </is>
      </c>
      <c r="E19" s="50" t="inlineStr">
        <is>
          <t>$42,400–54,500 ($3.5–4.5k در ماه)</t>
        </is>
      </c>
      <c r="F19" s="104" t="inlineStr">
        <is>
          <t>$76,300–82,400 (IDA 2026: تازه‌فارغ‌التحصیل ≈ $6,690/ماه با بازنشستگی)</t>
        </is>
      </c>
      <c r="G19" s="42" t="inlineStr">
        <is>
          <t>$103,000–127,000 (میانهٔ Glassdoor زوریخ $111k؛ ETH/EPFL $109–143k؛ Big Tech $133–200k) — بالاترین در بین ۸ کشور</t>
        </is>
      </c>
      <c r="H19" s="45" t="inlineStr">
        <is>
          <t>$37,100–46,400 خارج لندن (Manchester/Leeds/Newcastle)؛
London $42,400–59,600 — اغلب زیر کف اسپانسری $50,700</t>
        </is>
      </c>
      <c r="I19" s="35" t="inlineStr">
        <is>
          <t>$35,300–49,000 (Glassdoor 2026: میانهٔ Junior Software Developer $3,610/ماه؛ P25 $2,940، P75 $4,090)؛
هلسینکی کمی بالاتر — پایین‌تر از آلمان/دانمارک، نزدیک سوئد</t>
        </is>
      </c>
      <c r="J19" s="37" t="inlineStr">
        <is>
          <t>$38,100–50,700 (Glassdoor 2026: میانهٔ Junior Software Developer $43,800؛ P25 $36.6k، P75 $53.1k؛ WorkBC NOC 21232 میانهٔ همهٔ سطوح $36.9/ساعت)؛
تورنتو/ونکوور/کلگری بالاتر، آتلانتیک/پریری ۱۰–۱۵٪ پایین‌تر — پایین‌تر از سوئیس/دانمارک/آلمان، نزدیک هلند/سوئد، بالاتر از انگلستان/فنلاند</t>
        </is>
      </c>
      <c r="K19" s="106" t="inlineStr">
        <is>
          <t>StepStone؛
Glassdoor؛
IDA؛
Reed — برآورد بازار، نه آمار رسمی</t>
        </is>
      </c>
    </row>
    <row r="20">
      <c r="A20" s="66" t="inlineStr">
        <is>
          <t>۱۸</t>
        </is>
      </c>
      <c r="B20" s="24" t="inlineStr">
        <is>
          <t>خالص ماهانه تقریبی (بعد از مالیات)</t>
        </is>
      </c>
      <c r="C20" s="43" t="inlineStr">
        <is>
          <t>$3,080–3,420</t>
        </is>
      </c>
      <c r="D20" s="107" t="inlineStr">
        <is>
          <t>$3,080–3,530 (بدون قاعده ۳۰٪)</t>
        </is>
      </c>
      <c r="E20" s="46" t="inlineStr">
        <is>
          <t>$2,850–3,310</t>
        </is>
      </c>
      <c r="F20" s="48" t="inlineStr">
        <is>
          <t>$3,760–4,220</t>
        </is>
      </c>
      <c r="G20" s="42" t="inlineStr">
        <is>
          <t>≈ $6,900–8,110 (مالیات + بیمه‌های اجتماعی ≈ ۲۰–۲۵٪ برای مجرد در زوریخ)؛
بیمهٔ درمانی اجباری $425–545/ماه جداگانه از جیب</t>
        </is>
      </c>
      <c r="H20" s="45" t="inlineStr">
        <is>
          <t>$2,650–3,310</t>
        </is>
      </c>
      <c r="I20" s="44" t="inlineStr">
        <is>
          <t>≈ $2,280–3,080 (مالیات + بازنشستگی ۷.۱۵٪ + بیکاری ۰.۵۹٪ ≈ ۲۲–۲۷٪ برای مجرد)</t>
        </is>
      </c>
      <c r="J20" s="27" t="inlineStr">
        <is>
          <t>≈ $2,540–3,240 (مالیات فدرال + استانی + CPP/EI ≈ ۲۰–۲۵٪ برای مجرد؛ آلبرتا/ساسکاچوان کمی بهتر از انتاریو/BC)</t>
        </is>
      </c>
      <c r="K20" s="105" t="inlineStr">
        <is>
          <t>ماشین‌حساب‌های مالیاتی ۲۰۲۶ (کلاس مالیاتی مجرد)</t>
        </is>
      </c>
    </row>
    <row r="21">
      <c r="A21" s="66" t="inlineStr">
        <is>
          <t>۱۹</t>
        </is>
      </c>
      <c r="B21" s="24" t="inlineStr">
        <is>
          <t>پس‌انداز ماهانه تخمینی جونیور (خالص − هزینه زندگی یک نفر شاغل)</t>
        </is>
      </c>
      <c r="C21" s="43" t="inlineStr">
        <is>
          <t>$1,140–1,710</t>
        </is>
      </c>
      <c r="D21" s="107" t="inlineStr">
        <is>
          <t>$800–1,370</t>
        </is>
      </c>
      <c r="E21" s="46" t="inlineStr">
        <is>
          <t>$1,030–1,600</t>
        </is>
      </c>
      <c r="F21" s="48" t="inlineStr">
        <is>
          <t>$1,250–1,820</t>
        </is>
      </c>
      <c r="G21" s="42" t="inlineStr">
        <is>
          <t>$1,820–3,630 در زوریخ (استودیو $1,690–2,300 + بیمه ≈ $485) — بیشترین پس‌انداز مطلق بین ۸ کشور، اگر شغل بگیرید</t>
        </is>
      </c>
      <c r="H21" s="45" t="inlineStr">
        <is>
          <t>$530–1,190</t>
        </is>
      </c>
      <c r="I21" s="44" t="inlineStr">
        <is>
          <t>$455–1,250 (زندگی شاغل مجرد: Tampere ≈ $1,600–1,820، Helsinki ≈ $1,940–2,280)</t>
        </is>
      </c>
      <c r="J21" s="27" t="inlineStr">
        <is>
          <t>$705–1,620 (زندگی شاغل مجرد: پریری/آتلانتیک $1,550–1,900 · کلگری/اتاوا $1,830–2,180 · تورنتو $2,260–2,680)</t>
        </is>
      </c>
      <c r="K21" s="105" t="inlineStr">
        <is>
          <t>برآورد؛
هزینه زندگی شاغل: DE $1,600–1,940
NL $1,940–2,390
SE $1,480–1,820
DK $2,170–2,620
CH $3,870–4,600
UK $1,720–2,250</t>
        </is>
      </c>
    </row>
    <row r="22">
      <c r="A22" s="66" t="inlineStr">
        <is>
          <t>۲۰</t>
        </is>
      </c>
      <c r="B22" s="24" t="inlineStr">
        <is>
          <t>اقامت دائم (PR) — زمان و شرط اصلی</t>
        </is>
      </c>
      <c r="C22" s="43" t="inlineStr">
        <is>
          <t>۲ سال کار برای فارغ‌التحصیل آلمان با B1 (§18c)؛
بلوکارت: ۲۱ ماه با B1 / ۲۷ ماه با A1</t>
        </is>
      </c>
      <c r="D22" s="107" t="inlineStr">
        <is>
          <t>۵ سال اقامت قانونی (سال‌های تحصیل نصف حساب می‌شود) + inburgering</t>
        </is>
      </c>
      <c r="E22" s="46" t="inlineStr">
        <is>
          <t>۴ سال مجوز کار در ۷ سال اخیر + خودکفایی (تحصیل حساب نمی‌شود)</t>
        </is>
      </c>
      <c r="F22" s="48" t="inlineStr">
        <is>
          <t>۸ سال (یا ۴ سال با هر ۴ شرط تکمیلی) + ۳.۵ سال کار تمام‌وقت در ۴ سال اخیر</t>
        </is>
      </c>
      <c r="G22" s="4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۸ کشور (فنلاند و کانادا آسان‌ترین — کانادا ۳ سال و بدون زبان دوم)</t>
        </is>
      </c>
      <c r="H22" s="45" t="inlineStr">
        <is>
          <t>فعلاً ۵ سال Skilled Worker (Graduate visa حساب نمی‌شود)؛
طرح Earned Settlement با پایه ۱۰ سال در دستور کار دولت (تا سپتامبر ۲۰۲۶ قانون نشده)</t>
        </is>
      </c>
      <c r="I22" s="44" t="inlineStr">
        <is>
          <t>قانون جدید از ۸ ژانویه ۲۰۲۶: با «مدرک ارشد فنلاندی» + فنلاندی/سوئدی A2 (یا ۱۵ واحد درس زبان در دانشگاه) بدون هیچ حداقل سال اقامت — به شرط داشتن مبنای اقامت A (کار یا مجوز کاریابی؛ نه بعد از مصرف کامل مجوز ۲ سالهٔ کاریابی)؛
مسیرهای دیگر: ۴ سال با درآمد ≥ $45,600/سال، یا ۶ سال + ۲ سال کار + B1 — آسان‌ترین PR اروپا (کانادا: ۱ سال کار + Express Entry، بدون زبان دوم)</t>
        </is>
      </c>
      <c r="J22" s="37" t="inlineStr">
        <is>
          <t>Express Entry – CEC بعد از ≥ ۱ سال کار تمام‌وقت ماهر (TEER 0–3) در کانادا با PGWP؛
برش CEC ۲۰۲۶: ۵۰۷–۵۲۳ (میانگین ۵۱۶)؛
برآورد شما بعد از ارشد کانادا + ۱ سال کار + CLB 9 ≈ ۵۲۰–۵۳۰ (مرزی، بدون تضمین)؛
راه‌های استانی بدون پیشنهاد کار برای فارغ‌التحصیل ارشد: OINP Masters Graduate (انتاریو، EOI)، BC PNP International Post-Graduate (STEM؛ UVic)، MPNP Graduate Internship (Manitoba + Mitacs)؛
با پیشنهاد کار: AAIP (آلبرتا)، SINP، NL PNP؛
زبان دوم لازم نیست</t>
        </is>
      </c>
      <c r="K22" s="106" t="inlineStr">
        <is>
          <t>make-it-in-germany.com؛
ind.nl؛
migrationsverket.se؛
nyidanmark.dk؛
sem.admin.ch؛
gov.uk / Home Affairs Committee</t>
        </is>
      </c>
    </row>
    <row r="23">
      <c r="A23" s="66" t="inlineStr">
        <is>
          <t>۲۱</t>
        </is>
      </c>
      <c r="B23" s="24" t="inlineStr">
        <is>
          <t>آزمون زبان محلی برای PR</t>
        </is>
      </c>
      <c r="C23" s="102" t="inlineStr">
        <is>
          <t>B1 آلمانی (A1 فقط با بلوکارت ۲۷ ماهه)</t>
        </is>
      </c>
      <c r="D23" s="103" t="inlineStr">
        <is>
          <t>A2 فعلی → B1 (تصمیم کابینه، فوریه ۲۰۲۶)</t>
        </is>
      </c>
      <c r="E23" s="46" t="inlineStr">
        <is>
          <t>هیچ (برای PR)</t>
        </is>
      </c>
      <c r="F23" s="104" t="inlineStr">
        <is>
          <t>Prøve i Dansk 2 (≈ B1) برای مسیر ۸ ساله؛
PD3 (≈ B2) برای مسیر ۴ ساله</t>
        </is>
      </c>
      <c r="G23" s="33" t="inlineStr">
        <is>
          <t>A2 شفاهی + A1 کتبی زبان محلی (آزمون fide) برای C ۱۰ ساله؛
B1 شفاهی برای C زودهنگام ۵ ساله → بدون زبان سوم PR نمی‌گیرید</t>
        </is>
      </c>
      <c r="H23" s="45" t="inlineStr">
        <is>
          <t>انگلیسی B2 از ۲۶ مارس ۲۰۲۷ + آزمون Life in the UK (زبان سوم نیست)</t>
        </is>
      </c>
      <c r="I23" s="35" t="inlineStr">
        <is>
          <t>A2 («در حال توسعه») یا ۱۵ ECTS درس فنلاندی/سوئدی داخل همان دورهٔ ارشد — بدون آزمون YKI؛
برای مسیر عمومی ۶ ساله B1 (YKI 3)</t>
        </is>
      </c>
      <c r="J23" s="27" t="inlineStr">
        <is>
          <t>انگلیسی کافی (IELTS General یا CELPIP): حداقل CLB 7، برای امتیاز CLB 9 = IELTS L8/R7/W7/S7؛
فرانسه اختیاری (تا +۵۰ امتیاز)</t>
        </is>
      </c>
      <c r="K23" s="106" t="inlineStr">
        <is>
          <t>BAMF؛
ind.nl؛
migrationsverket.se؛
nyidanmark.dk؛
sem.admin.ch؛
gov.uk (HC 1691)</t>
        </is>
      </c>
    </row>
    <row r="24">
      <c r="A24" s="66" t="inlineStr">
        <is>
          <t>۲۲</t>
        </is>
      </c>
      <c r="B24" s="24" t="inlineStr">
        <is>
          <t>شهروندی (جدا از PR)</t>
        </is>
      </c>
      <c r="C24" s="43" t="inlineStr">
        <is>
          <t>۵ سال + B1 + آزمون تابعیت (تحصیل حساب می‌شود)</t>
        </is>
      </c>
      <c r="D24" s="107" t="inlineStr">
        <is>
          <t>۵ سال + inburgering (A2 → B1)</t>
        </is>
      </c>
      <c r="E24" s="46" t="inlineStr">
        <is>
          <t>از ۶ ژوئن ۲۰۲۶: ۸ سال + آزمون مدنی + آزمون زبان (از اکتبر ۲۰۲۷) + کف درآمد</t>
        </is>
      </c>
      <c r="F24" s="48" t="inlineStr">
        <is>
          <t>۹ سال + PD3 + آزمون تابعیت + اشتغال ۳.۵ سال از ۴ سال</t>
        </is>
      </c>
      <c r="G24" s="42" t="inlineStr">
        <is>
          <t>۱۰ سال اقامت (سال‌های ۸ تا ۱۸ سالگی دوبرابر) + اجازهٔ C + B1 شفاهی / A2 کتبی + شرایط کانتون و شهرداری (۲–۵ سال اقامت محلی) — سخت‌ترین در اروپا</t>
        </is>
      </c>
      <c r="H24" s="36" t="inlineStr">
        <is>
          <t>ILR + ۱۲ ماه؛ B1/B2 + Life in the UK</t>
        </is>
      </c>
      <c r="I24" s="44" t="inlineStr">
        <is>
          <t>۵ سال با فنلاندی/سوئدی B1 (YKI 3) — وگرنه ۸ سال (قانون ۱ اکتبر ۲۰۲۴)؛
+ تأمین معاش: در ۲ سال اخیر بیش از ۳ ماه کمک بیکاری/اجتماعی نگرفته باشید (۱۷ دسامبر ۲۰۲۵)؛
+ آزمون تابعیت از ۱ مارس ۲۰۲۷ → بدون زبان سوم شهروندی نمی‌گیرید</t>
        </is>
      </c>
      <c r="J24" s="27" t="inlineStr">
        <is>
          <t>۳ سال حضور فیزیکی از ۵ سال آخر (روزهای تحصیل قبل از PR نصف حساب می‌شوند، حداکثر ۱ سال) + CLB 4 + آزمون تابعیت (۱۸–۵۴ سال) + ۳ سال اظهارنامهٔ مالیاتی؛
دوتابعیتی آزاد — سریع‌ترین مسیر تابعیت جدول (≈ ۵–۶ سال بعد از ورود)</t>
        </is>
      </c>
      <c r="K24" s="105" t="inlineStr">
        <is>
          <t>قوانین تابعیت ۲۰۲۶؛
migrationsverket.se؛
nyidanmark.dk؛
sem.admin.ch</t>
        </is>
      </c>
    </row>
    <row r="25">
      <c r="A25" s="66" t="inlineStr">
        <is>
          <t>۲۳</t>
        </is>
      </c>
      <c r="B25" s="24" t="inlineStr">
        <is>
          <t>فرایند ویزا برای پاسپورت ایرانی — وضعیت سپتامبر ۲۰۲۶ (بسیار متغیر)</t>
        </is>
      </c>
      <c r="C25" s="43"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07" t="inlineStr">
        <is>
          <t>دانشگاه درخواست را در IND ثبت می‌کند (TEV) ✓؛
ولی سفارت هلند موقتاً به باکو منتقل شده و MVV در ایران صادر نمی‌شود.</t>
        </is>
      </c>
      <c r="E25" s="46" t="inlineStr">
        <is>
          <t>درخواست آنلاین در Migrationsverket؛
بررسی دیجیتال پاسپورت؛
سفارت تهران فعلاً بیومتریک/کارت اقامت نمی‌گیرد (ژوئیه ۲۰۲۶).</t>
        </is>
      </c>
      <c r="F25" s="48"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4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45"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44" t="inlineStr">
        <is>
          <t>ممکن و نسبتاً روان: درخواست آنلاین در Enter Finland → شناسایی و بیومتریک در VFS تهران (از ۷ ژوئن ۲۰۲۶ اولویت با دانشجویان) یا سفارت فنلاند (نوبت الکترونیکی از ۱۵ ژوئن ۲۰۲۶)؛
کارمزد مجوز تحصیلی آنلاین $685 (۲۰۲۶) + ویزای D $110 برای ورود بعد از صدور؛
بیمهٔ درمانی خصوصی با پوشش ≥ $45,600 (دورهٔ ≥ ۲ سال؛ ≈ $340–570/سال)؛
مجوز از ابتدا برای کل دوره صادر می‌شود. ⚠️ پول تمکن باید به نام خودتان و با گردش ۶ ماهه باشد؛
نامهٔ حمایت خانواده پذیرفته نمی‌شود</t>
        </is>
      </c>
      <c r="J25" s="27" t="inlineStr">
        <is>
          <t>سفارت کانادا در تهران بسته است (۲۰۱۲): درخواست آنلاین، پرونده در آنکارا؛
بیومتریک در VAC ترکیه/امارات/ارمنستان/گرجستان؛
معاینهٔ پزشکی نزد پزشک پنل خارج از ایران؛
کارمزد $105 + بیومتریک $60؛
زمان رسمی IRCC ۱۴–۲۰ هفته ولی برای پاسپورت ایرانی معمولاً ۲۰–۳۰+ هفته با بررسی امنیتی (مرد مجرد ۲۳–۳۵ ساله بیشتر)؛
ارشد از PAL معاف (۲۰۲۶)؛
سقف ۲۰۲۶: ۱۵۵ هزار مجوز جدید؛
→ پرونده تا اواخر مارس ۲۰۲۷ ارسال شود و «ورودی ژانویه ۲۰۲۸» را از اول به‌عنوان برنامهٔ B در نامهٔ پذیرش بخواهید</t>
        </is>
      </c>
      <c r="K25" s="106" t="inlineStr">
        <is>
          <t>visas-de.tlscontact.com؛
netherlandsworldwide.nl؛
swedenabroad.se؛
iran.um.dk؛
eda.admin.ch/tehran؛
gov.uk — برنامه B: اقدام از ترکیه/ارمنستان/امارات</t>
        </is>
      </c>
    </row>
    <row r="26">
      <c r="A26" s="66" t="inlineStr">
        <is>
          <t>۲۴</t>
        </is>
      </c>
      <c r="B26" s="24" t="inlineStr">
        <is>
          <t>نمره انگلیسی برنامه‌های هدف</t>
        </is>
      </c>
      <c r="C26" s="102" t="inlineStr">
        <is>
          <t>TU Darmstadt، TU Dresden، Stuttgart: C1 / IELTS 7.0 (Dresden: هر بخش ≥ B2)
FAU (AI): B2 / IELTS 6.5</t>
        </is>
      </c>
      <c r="D26" s="103" t="inlineStr">
        <is>
          <t>IELTS 6.5 (هر بخش ≥ 6.0)</t>
        </is>
      </c>
      <c r="E26" s="50" t="inlineStr">
        <is>
          <t>IELTS 6.5 (هر بخش ≥ 5.5)</t>
        </is>
      </c>
      <c r="F26" s="104" t="inlineStr">
        <is>
          <t>IELTS 6.5</t>
        </is>
      </c>
      <c r="G26" s="33"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6" s="36" t="inlineStr">
        <is>
          <t>IELTS 6.5 در اکثر RG (Liverpool/Newcastle هر بخش ≥ 5.5؛ Sheffield/Leeds/QMUL هر بخش ≥ 6.0)
Manchester 6.5–7.0
Imperial/UCL/KCL 7.0 (هر بخش ≥ 6.5)</t>
        </is>
      </c>
      <c r="I26" s="35" t="inlineStr">
        <is>
          <t>IELTS 6.5 (Tampere/Aalto: هر بخش ≥ 5.5؛ Helsinki: Writing 6.0)؛
TOEFL iBT ≈ 92؛
کارشناسی ایران به‌عنوان مدرک زبان پذیرفته نمی‌شود → آزمون لازم</t>
        </is>
      </c>
      <c r="J26" s="37" t="inlineStr">
        <is>
          <t>IELTS 6.5 (هر بخش ≥ 6.0) در Memorial، Manitoba، USask، Regina، Alberta، Calgary، UVic، Carleton، Ontario Tech؛
Windsor MAC، Waterloo، Dalhousie و Toronto MScAC 7.0؛
TOEFL iBT ≈ 86–93؛
کارشناسی ایران به‌عنوان مدرک زبان پذیرفته نمی‌شود</t>
        </is>
      </c>
      <c r="K26" s="105"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6" t="inlineStr">
        <is>
          <t>۲۵</t>
        </is>
      </c>
      <c r="B27" s="24" t="inlineStr">
        <is>
          <t>تمکن مالی ویزا (۲۰۲۶) و نکته تحریمی</t>
        </is>
      </c>
      <c r="C27" s="43" t="inlineStr">
        <is>
          <t>حساب مسدود $13,600 ($1,130 × ۱۲). Fintiba ساکنان ایران را نمی‌پذیرد؛
Expatrio/Coracle را هنگام اقدام بررسی کنید.
انتقال پول فقط از مسیر کشور ثالث/صرافی (۳–۶٪ هزینه).</t>
        </is>
      </c>
      <c r="D27" s="103" t="inlineStr">
        <is>
          <t>$15,500 ($1,290 × ۱۲) + شهریه؛
معمولاً به حساب دانشگاه واریز می‌شود.</t>
        </is>
      </c>
      <c r="E27" s="50" t="inlineStr">
        <is>
          <t>$1,080 × ماه‌های مجوز (سال اول ≈ $12,900) + قسط اول شهریه.</t>
        </is>
      </c>
      <c r="F27" s="48" t="inlineStr">
        <is>
          <t>پرداخت شهریه ترم اول به‌عنوان تمکن پذیرفته می‌شود (در غیر این‌صورت $1,130/ماه).</t>
        </is>
      </c>
      <c r="G27" s="4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45"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35" t="inlineStr">
        <is>
          <t>$910 × ۱۲ = $10,900 برای سال اول (برای مجوز ۲ ساله $21,900) + شهریهٔ سال اول (پرداخت‌شده یا در حساب) — در حساب بانکی به نام خودتان در هر کشوری، با گردش ۶ ماهه؛
کمک خانواده باید قبلاً به حساب شما منتقل شده باشد (نامهٔ ضمانت پذیرفته نیست).
تحریم: انتقال از ایران فقط از طریق صرافی/کشور ثالث؛
Migri منشأ پول را می‌پرسد</t>
        </is>
      </c>
      <c r="J27" s="27" t="inlineStr">
        <is>
          <t>$16,500 برای سال اول (از ۱ سپتامبر ۲۰۲۶، خارج کبک) + شهریهٔ سال اول (پرداخت‌شده یا در حساب) + هزینهٔ سفر؛
اثبات با صورت‌حساب ۴ ماه، رسید شهریه، نامهٔ فاندینگ دانشگاه یا GIC؛
نکتهٔ تحریمی: حساب بانک ایرانی و انتقال از ایران پذیرفته/ممکن نیست و GIC از ایران باز نمی‌شود → پول باید در حساب خارج از ایران به نام خودتان (یا اسپانسر با اسناد رابطه/درآمد) باشد؛
نامهٔ فاندینگ Calgary/Alberta بخشی از تمکن حساب می‌شود</t>
        </is>
      </c>
      <c r="K27" s="106" t="inlineStr">
        <is>
          <t>make-it-in-germany.com؛
ind.nl؛
migrationsverket.se؛
nyidanmark.dk؛
sem.admin.ch؛
gov.uk (HC 584).
افتتاح حساب بانکی برای ایرانی‌ها در همه‌جا کندتر است (آلمان و هلند بیشترین گزارش مشکل).</t>
        </is>
      </c>
    </row>
    <row r="28">
      <c r="A28" s="66" t="inlineStr">
        <is>
          <t>۲۶</t>
        </is>
      </c>
      <c r="B28" s="24" t="inlineStr">
        <is>
          <t>بازار کار برای جونیورِ فقط‌انگلیسی‌زبان (ارزیابی، ۱–۵ ستاره)</t>
        </is>
      </c>
      <c r="C28" s="43" t="inlineStr">
        <is>
          <t>⭐⭐⭐ تقاضا و حقوق بالا؛
بدون آلمانی نیمی از بازار بسته</t>
        </is>
      </c>
      <c r="D28" s="107" t="inlineStr">
        <is>
          <t>⭐⭐⭐⭐ انگلیسی‌دوست‌ترین بازار قاره؛
کف HSM فارغ‌التحصیل دست‌یافتنی</t>
        </is>
      </c>
      <c r="E28" s="46" t="inlineStr">
        <is>
          <t>⭐⭐ بازار ۲۰۲۴–۲۶ ضعیف؛ شبکه محلی مهم</t>
        </is>
      </c>
      <c r="F28" s="48" t="inlineStr">
        <is>
          <t>⭐⭐ بدون دانمارکی محدود؛
خارج از Copenhagen سخت</t>
        </is>
      </c>
      <c r="G28" s="4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45" t="inlineStr">
        <is>
          <t>⭐⭐ بازار جونیور اشباع؛
اسپانسری $50,700+ برای جونیور نادر؛
بعد از ۱۸ ماه باید ویزای کار داشت</t>
        </is>
      </c>
      <c r="I28" s="44" t="inlineStr">
        <is>
          <t>⭐⭐ (حقوق ⭐⭐⭐) بیکاری ۹.۱٪ (اوت ۲۰۲۶؛ جوانان ۱۷٪) و بازار جونیور ۲۰۲۴–۲۶ ضعیف؛
ولی هلسینکی قطب بازی/استارتاپ انگلیسی‌زبان اروپاست و تامپره/اولو خوشهٔ Nokia؛
۲ سال مجوز کاریابی؛
کف «مجوز کار» ($1,820 یا توافق جمعی) برای جونیور دست‌یافتنی است؛
سابقهٔ Unity شما در هلسینکی ارزش دارد</t>
        </is>
      </c>
      <c r="J28" s="27" t="inlineStr">
        <is>
          <t>⭐⭐⭐ (حقوق ⭐⭐⭐): بیکاری ۶.۴٪ (اوت ۲۰۲۶)، جوانان ۱۲.۹٪، انتاریو ۶.۹٪؛
بازار جونیور تک ۲۰۲۵–۲۶ اشباع (تورنتو/ونکوور) ولی ۱۰۰٪ انگلیسی، ۳ سال PGWP (زمان کافی برای پیدا کردن اولین شغل) و مسیر PR روشن؛
پریری/آتلانتیک کوچک ولی کم‌رقابت؛
سابقهٔ ۳ سال کار شما در Express Entry هم امتیاز دارد</t>
        </is>
      </c>
      <c r="K28" s="105" t="inlineStr">
        <is>
          <t>ارزیابی بر اساس ردیف‌های ۱۳، ۱۵، ۱۶، ۱۷</t>
        </is>
      </c>
    </row>
    <row r="29">
      <c r="A29" s="66" t="inlineStr">
        <is>
          <t>۲۷</t>
        </is>
      </c>
      <c r="B29" s="24" t="inlineStr">
        <is>
          <t>جهت‌گیری سیاست‌های مهاجرتی ۲۰۲۵–۲۶ (ریسک تغییر تا ۲۰۲۸)</t>
        </is>
      </c>
      <c r="C29" s="43" t="inlineStr">
        <is>
          <t>متوسط: قوانین کار پایدار؛
تابعیت ۳ ساله حذف شد</t>
        </is>
      </c>
      <c r="D29" s="107" t="inlineStr">
        <is>
          <t>متوسط: B1 برای PR/تابعیت؛
WIB فقط کارشناسی انگلیسی را هدف گرفته (ارشد امن)</t>
        </is>
      </c>
      <c r="E29" s="46" t="inlineStr">
        <is>
          <t>بالا: شهروندی ۸ سال، کف حقوق ۹۰٪ میانه، سقف کار ۱۵ ساعت، تبدیل اقامت تحصیلی به کاری فقط بعد از ≥ ۲ ترم</t>
        </is>
      </c>
      <c r="F29" s="48" t="inlineStr">
        <is>
          <t>متوسط–بالا: سخت‌گیرانه ولی پایدار</t>
        </is>
      </c>
      <c r="G29" s="4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45"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44" t="inlineStr">
        <is>
          <t>متوسط–بالا: دولت Orpo (۲۰۲۳–۲۷) سخت‌گیرتر شد — تابعیت ۸/۵ سال، آزمون تابعیت ۲۰۲۷، شهریهٔ تمام‌هزینه ۲۰۲۶، کارمزدهای Migri +۳۰٪؛
ولی برای فارغ‌التحصیلان آسان‌تر: PR بدون شرط سال با مدرک فنلاندی، ۳۰ ساعت کار، ۲ سال کاریابی.
انتخابات آوریل ۲۰۲۷ می‌تواند جهت را عوض کند</t>
        </is>
      </c>
      <c r="J29" s="27" t="inlineStr">
        <is>
          <t>سخت‌گیرانه‌تر شده ولی ارشدِ دانشگاه دولتی تا حالا از هر محدودیتی مستثنا مانده: سقف مجوز تحصیلی از ۲۰۲۴ (۲۰۲۶: ۱۵۵ هزار جدید / ۳۰۹,۶۷۰ فضا) با معافیت ارشد از PAL؛
PGWP فقط رشته‌های مشخص برای کالج‌ها (مدرک دانشگاهی معاف)؛
کار ۲۴ ساعت؛
هدف PR ۳۸۰ هزار/سال (۲۰۲۶–۲۸، کمتر از ۴۸۵ هزار ۲۰۲۴)؛
ریسک تا ۲۰۲۸: متوسط — بیشترین ریسک برای شما زمان پردازش ویزای ایرانی‌هاست، نه قانون</t>
        </is>
      </c>
      <c r="K29" s="105" t="inlineStr">
        <is>
          <t>قوانین و لوایح ۲۰۲۵–۲۶</t>
        </is>
      </c>
    </row>
    <row r="30">
      <c r="A30" s="66" t="inlineStr">
        <is>
          <t>۲۸</t>
        </is>
      </c>
      <c r="B30" s="24" t="inlineStr">
        <is>
          <t>امتیاز برای ۳ معیار شما (هر کدام از ۱۰): هزینه کل / زندگی و کار فقط با انگلیسی / بازار کار و حقوق</t>
        </is>
      </c>
      <c r="C30" s="43" t="inlineStr">
        <is>
          <t>10 / 4 / 8 = ۲۲</t>
        </is>
      </c>
      <c r="D30" s="107" t="inlineStr">
        <is>
          <t>2 / 8 / 8 = ۱۸</t>
        </is>
      </c>
      <c r="E30" s="46" t="inlineStr">
        <is>
          <t>6 / 8 / 5 = ۱۹</t>
        </is>
      </c>
      <c r="F30" s="48" t="inlineStr">
        <is>
          <t>4 / 6 / 6 = ۱۶</t>
        </is>
      </c>
      <c r="G30" s="42" t="inlineStr">
        <is>
          <t>5 / 6 / 7 = ۱۸</t>
        </is>
      </c>
      <c r="H30" s="45" t="inlineStr">
        <is>
          <t>3 / 10 / 4 = ۱۷</t>
        </is>
      </c>
      <c r="I30" s="44" t="inlineStr">
        <is>
          <t>6 / 7 / 5 = ۱۸</t>
        </is>
      </c>
      <c r="J30" s="27" t="inlineStr">
        <is>
          <t>6 / 10 / 5 = ۲۱</t>
        </is>
      </c>
      <c r="K30" s="105"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شرط Russell Group (نسخهٔ ۳.۱۱) هزینه ۳ → ۱۷: انگلیسیِ کامل، ولی هیچ برنامه‌ای در بودجهٔ $40k جا نمی‌شود (ردیف ۹).</t>
        </is>
      </c>
    </row>
    <row r="31">
      <c r="A31" s="66" t="inlineStr">
        <is>
          <t>۲۸ب</t>
        </is>
      </c>
      <c r="B31" s="24"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1" s="43" t="inlineStr">
        <is>
          <t>کار ۶
حقوق ۶
انگلیسی ۴
هزینه ۱۰ → ۶۰.۳ — ✅ حتی بدون کار جا می‌شود</t>
        </is>
      </c>
      <c r="D31" s="107" t="inlineStr">
        <is>
          <t>کار ۸
حقوق ۵
انگلیسی ۸
هزینه ۲ → ۶۲.۵ — ❌ شهریه به‌تنهایی بیش از $40k</t>
        </is>
      </c>
      <c r="E31" s="46" t="inlineStr">
        <is>
          <t>کار ۴
حقوق ۵
انگلیسی ۸
هزینه ۶ → ۵۷.۲ — ⚠️ فقط با بورس</t>
        </is>
      </c>
      <c r="F31" s="48" t="inlineStr">
        <is>
          <t>کار ۵
حقوق ۷
انگلیسی ۶
هزینه ۴ → ۵۷ — ❌ بودجه + ویزا</t>
        </is>
      </c>
      <c r="G31" s="42" t="inlineStr">
        <is>
          <t>کار ۵
حقوق ۱۰
انگلیسی ۶
هزینه ۵ → ۶۷ — ✅ Neuchâtel/Fribourg/Basel؛
⚠️ HSLU فقط با کار تعطیلات ترم؛
USI گام ۱ ❌</t>
        </is>
      </c>
      <c r="H31" s="45" t="inlineStr">
        <is>
          <t>کار ۵
حقوق ۳
انگلیسی ۱۰
هزینه ۳ → ۵۵.۵ — ❌ هیچ Russell Group گام ۱ را بدون بورس رد نمی‌کند (کمترین کسری Exeter $14.2k)؛
فقط با بورس: Exeter Excellence $13k ⚠️ مرزی، Spärck / VC Excellence ۵۰٪ / Chevening ✅</t>
        </is>
      </c>
      <c r="I31" s="44" t="inlineStr">
        <is>
          <t>کار ۴ / حقوق ۵ / انگلیسی ۸ / هزینه ۷ → ۵۸.۷ — ✅ Oulu / Tampere / Turku هر دو گام (روی کاغذ)؛
⚠️ کار بدون فنلاندی؛
LUT / Helsinki / Aalto گام ۱ ❌</t>
        </is>
      </c>
      <c r="J31" s="27" t="inlineStr">
        <is>
          <t>کار ۶ / حقوق ۴ / انگلیسی ۱۰ / هزینه ۶ → ۶۵.۷ — ✅ MSc پایان‌نامه‌ای Memorial / Manitoba / USask / Regina / Alberta / Calgary هر دو گام (بدون فاندینگ)؛
UVic گام ۲ ⚠️؛
Dalhousie / Ontario Tech / Waterloo فقط با نامهٔ فاندینگ؛
Windsor / Carleton / Toronto و درسی‌های گران گام ۱ ❌</t>
        </is>
      </c>
      <c r="K31" s="105"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(Waterloo MMath ۶۶.۸، Toronto MScAC ۶۳.۸، Carleton ۶۲.۷، Dalhousie ۶۱.۳، Ontario Tech ۵۹.۸، USI ۶۱.۲، Windsor MAC ۵۵.۵، Manchester ۵۶.۸، Exeter ۵۲.۷، Liverpool ۵۱.۲، Aalto ۵۸.۳، Helsinki ۵۹.۸ و LiU ۵۵.۷ گام ۱ را رد نمی‌کنند).
امتیازها قضاوت‌اند؛
وزن‌ها در شیت «تصمیم» قابل تغییرند.</t>
        </is>
      </c>
    </row>
    <row r="32"/>
    <row r="33">
      <c r="B33" s="108" t="inlineStr">
        <is>
          <t>تاریخ راستی‌آزمایی: ۲۷–۲۹ سپتامبر ۲۰۲۶ (۵–۷ مهر ۱۴۰۵).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34">
      <c r="B34" s="69"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69" t="inlineStr">
        <is>
          <t>جدول اولیه (Table.xlsx) برای مقایسه دست‌نخورده مانده است.</t>
        </is>
      </c>
    </row>
    <row r="36">
      <c r="B36" s="108" t="inlineStr">
        <is>
          <t>شیت «برنامه‌ها»: ۱۴۲ برنامهٔ انگلیسی‌زبان در ۸ حوزهٔ کامپیوتری (نه فقط CS) برای هر ۸ کشور (سوئیس ۱۴، فنلاند ۱۴، کانادا بدون کبک ۲۰ — اضافه‌شده ۲۹ سپتامبر، نسخهٔ ۳.۱۳ با Waterloo/Dalhousie/Ontario Tech/Regina؛ انگلستان ۲۹ — از ۲۹ سپتامبر فقط Russell Group)؛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50"/>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66" t="n">
        <v>1</v>
      </c>
      <c r="B2" s="109" t="inlineStr">
        <is>
          <t>انگلستان</t>
        </is>
      </c>
      <c r="C2" s="63" t="inlineStr">
        <is>
          <t>University of Exeter (Russell Group)</t>
        </is>
      </c>
      <c r="D2" s="63" t="inlineStr">
        <is>
          <t>Exeter (اکستر) — جنوب غرب؛ شهر کوچک دانشگاهی</t>
        </is>
      </c>
      <c r="E2" s="69" t="inlineStr">
        <is>
          <t>متوسط تا گران — $1,390–1,790</t>
        </is>
      </c>
      <c r="F2" s="63" t="inlineStr">
        <is>
          <t>MSc Advanced Computer Science</t>
        </is>
      </c>
      <c r="G2" s="69" t="inlineStr">
        <is>
          <t>مهندسی نرم‌افزار / علوم کامپیوتر</t>
        </is>
      </c>
      <c r="H2" s="69" t="inlineStr">
        <is>
          <t>۱ سال</t>
        </is>
      </c>
      <c r="I2" s="69" t="inlineStr">
        <is>
          <t>$39,900 (2027/28 رسمی)</t>
        </is>
      </c>
      <c r="J2" s="69" t="inlineStr">
        <is>
          <t>$39,900</t>
        </is>
      </c>
      <c r="K2" s="110" t="inlineStr">
        <is>
          <t>$57–61k</t>
        </is>
      </c>
      <c r="L2" s="69" t="inlineStr">
        <is>
          <t>2:1 در CS/رشتهٔ مرتبط (ممکن است مصاحبهٔ ویدئویی بخواهند)؛
معادل ایرانی را رسمی نیافتم — معمولاً ۱۴–۱۵/۲۰ (چک شود)</t>
        </is>
      </c>
      <c r="M2" s="63" t="inlineStr">
        <is>
          <t>Profile B1 ≈ 6.5 (چک شود)</t>
        </is>
      </c>
      <c r="N2" s="63" t="inlineStr">
        <is>
          <t>≈ 160 (QS 2026: 161)</t>
        </is>
      </c>
      <c r="O2" s="40" t="inlineStr">
        <is>
          <t>Target</t>
        </is>
      </c>
      <c r="P2" s="69" t="inlineStr">
        <is>
          <t>4/5 — بیشترین حجم آگهی در هر ۸ کشور؛
ورود جونیور از ۲۰۲۳ سخت‌تر شده — سابقهٔ کار شما مزیت است</t>
        </is>
      </c>
      <c r="Q2" s="69" t="inlineStr">
        <is>
          <t>ارزان‌ترین Russell Group انگلستان برای ۲۰۲۷؛
بورس Exeter Excellence $4k/$6.6k/$13k برای دارندگان پیشنهاد (درخواست جدا)؛
شهر کوچک، بازار IT محلی کوچک</t>
        </is>
      </c>
      <c r="R2" s="111" t="inlineStr">
        <is>
          <t>https://www.exeter.ac.uk/study/postgraduate/courses/computerscience/advancedcsmsc/</t>
        </is>
      </c>
    </row>
    <row r="3">
      <c r="A3" s="112" t="n">
        <v>2</v>
      </c>
      <c r="B3" s="109" t="inlineStr">
        <is>
          <t>انگلستان</t>
        </is>
      </c>
      <c r="C3" s="113" t="inlineStr">
        <is>
          <t>University of Liverpool (Russell Group)</t>
        </is>
      </c>
      <c r="D3" s="113" t="inlineStr">
        <is>
          <t>Liverpool (لیورپول) — شمال غرب؛
ارزان‌ترین شهر بزرگ Russell Group</t>
        </is>
      </c>
      <c r="E3" s="114" t="inlineStr">
        <is>
          <t>ارزان تا متوسط — $1,260–1,660</t>
        </is>
      </c>
      <c r="F3" s="113" t="inlineStr">
        <is>
          <t>MSc Advanced Computer Science</t>
        </is>
      </c>
      <c r="G3" s="114" t="inlineStr">
        <is>
          <t>مهندسی نرم‌افزار / علوم کامپیوتر</t>
        </is>
      </c>
      <c r="H3" s="114" t="inlineStr">
        <is>
          <t>۱ سال</t>
        </is>
      </c>
      <c r="I3" s="114" t="inlineStr">
        <is>
          <t>$45,100 (2026/27 رسمی؛ رقم 2027/28 هنوز اعلام نشده)</t>
        </is>
      </c>
      <c r="J3" s="114" t="inlineStr">
        <is>
          <t>$45,100</t>
        </is>
      </c>
      <c r="K3" s="110" t="inlineStr">
        <is>
          <t>$60–65k</t>
        </is>
      </c>
      <c r="L3" s="114" t="inlineStr">
        <is>
          <t>2:2 در CS/رشتهٔ مرتبط — تنها Russell Group این فهرست که رسماً 2:2 می‌پذیرد → با ۱۵.۷۷ امن؛
متقاضیان ایران باید از «فرم درخواست جایگزین» (تحریم) استفاده کنند</t>
        </is>
      </c>
      <c r="M3" s="114" t="inlineStr">
        <is>
          <t>6.5 (هر بخش ≥ 5.5)</t>
        </is>
      </c>
      <c r="N3" s="113" t="inlineStr">
        <is>
          <t>≈ 165 (QS 2026)</t>
        </is>
      </c>
      <c r="O3" s="74" t="inlineStr">
        <is>
          <t>Safe/Target</t>
        </is>
      </c>
      <c r="P3" s="114" t="inlineStr">
        <is>
          <t>4/5 — بیشترین حجم آگهی در هر ۸ کشور؛
ورود جونیور از ۲۰۲۳ سخت‌تر شده — سابقهٔ کار شما مزیت است</t>
        </is>
      </c>
      <c r="Q3" s="114" t="inlineStr">
        <is>
          <t>درخواست از ۵ اکتبر ۲۰۲۶ باز می‌شود؛
مهلت بین‌المللی ۲۳ اوت ۲۰۲۷؛
ودیعه؛
Liverpool شهر ارزانِ RG</t>
        </is>
      </c>
      <c r="R3" s="115" t="inlineStr">
        <is>
          <t>https://www.liverpool.ac.uk/courses/advanced-computer-science-msc</t>
        </is>
      </c>
    </row>
    <row r="4">
      <c r="A4" s="66" t="n">
        <v>3</v>
      </c>
      <c r="B4" s="109" t="inlineStr">
        <is>
          <t>انگلستان</t>
        </is>
      </c>
      <c r="C4" s="63" t="inlineStr">
        <is>
          <t>University of Liverpool (Russell Group)</t>
        </is>
      </c>
      <c r="D4" s="63" t="inlineStr">
        <is>
          <t>Liverpool (لیورپول) — شمال غرب؛
ارزان‌ترین شهر بزرگ Russell Group</t>
        </is>
      </c>
      <c r="E4" s="69" t="inlineStr">
        <is>
          <t>ارزان تا متوسط — $1,260–1,660</t>
        </is>
      </c>
      <c r="F4" s="63" t="inlineStr">
        <is>
          <t>MSc Data Science and Artificial Intelligence</t>
        </is>
      </c>
      <c r="G4" s="69" t="inlineStr">
        <is>
          <t>علم داده / تحلیل داده</t>
        </is>
      </c>
      <c r="H4" s="69" t="inlineStr">
        <is>
          <t>۱ سال</t>
        </is>
      </c>
      <c r="I4" s="69" t="inlineStr">
        <is>
          <t>≈ $45,100 (هم‌باند با Advanced CS همین دانشگاه 2026/27؛ چک شود)</t>
        </is>
      </c>
      <c r="J4" s="69" t="inlineStr">
        <is>
          <t>$45,100</t>
        </is>
      </c>
      <c r="K4" s="110" t="inlineStr">
        <is>
          <t>$60–65k</t>
        </is>
      </c>
      <c r="L4" s="69" t="inlineStr">
        <is>
          <t>2:1 یا 2:2 قوی در CS/ریاضی/مهندسی (چک شود)</t>
        </is>
      </c>
      <c r="M4" s="69" t="inlineStr">
        <is>
          <t>6.5 (هر بخش ≥ 5.5)</t>
        </is>
      </c>
      <c r="N4" s="63" t="inlineStr">
        <is>
          <t>≈ 165 (QS 2026)</t>
        </is>
      </c>
      <c r="O4" s="40" t="inlineStr">
        <is>
          <t>Target</t>
        </is>
      </c>
      <c r="P4" s="69" t="inlineStr">
        <is>
          <t>3/5 — بازار ارشد/سینیور خوب، ولی سطح جونیور اشباع (ده‌ها هزار فارغ‌التحصیل مشابه)؛
Data Engineer کم‌رقابت‌تر از Data Scientist</t>
        </is>
      </c>
      <c r="Q4" s="69" t="inlineStr">
        <is>
          <t>همان دانشگاه، همان مهلت و فرم جایگزین ایران</t>
        </is>
      </c>
      <c r="R4" s="111" t="inlineStr">
        <is>
          <t>https://www.liverpool.ac.uk/courses/data-science-and-artificial-intelligence-msc</t>
        </is>
      </c>
    </row>
    <row r="5">
      <c r="A5" s="112" t="n">
        <v>4</v>
      </c>
      <c r="B5" s="109" t="inlineStr">
        <is>
          <t>انگلستان</t>
        </is>
      </c>
      <c r="C5" s="113" t="inlineStr">
        <is>
          <t>Newcastle University (Russell Group)</t>
        </is>
      </c>
      <c r="D5" s="113" t="inlineStr">
        <is>
          <t>Newcastle upon Tyne (نیوکاسل) — شمال شرق</t>
        </is>
      </c>
      <c r="E5" s="114" t="inlineStr">
        <is>
          <t>ارزان تا متوسط — $1,260–1,660</t>
        </is>
      </c>
      <c r="F5" s="113" t="inlineStr">
        <is>
          <t>MSc Advanced Computer Science</t>
        </is>
      </c>
      <c r="G5" s="114" t="inlineStr">
        <is>
          <t>مهندسی نرم‌افزار / علوم کامپیوتر</t>
        </is>
      </c>
      <c r="H5" s="114" t="inlineStr">
        <is>
          <t>۱ سال</t>
        </is>
      </c>
      <c r="I5" s="114" t="inlineStr">
        <is>
          <t>≈ $42,000 (ورودی ۲۰۲۶ — رقم رسمی ۲۰۲۷ هنوز منتشر نشده؛ صفحهٔ رسمی از ایران بارگذاری نشد)</t>
        </is>
      </c>
      <c r="J5" s="114" t="inlineStr">
        <is>
          <t>$42,000</t>
        </is>
      </c>
      <c r="K5" s="110" t="inlineStr">
        <is>
          <t>$57–62k</t>
        </is>
      </c>
      <c r="L5" s="114" t="inlineStr">
        <is>
          <t>2:1 در CS/رشتهٔ کامپیوتری، یا 2:2 با سابقهٔ کار مرتبط؛
معادل ایرانی را رسمی نیافتم (معمولاً ۱۴–۱۵/۲۰)</t>
        </is>
      </c>
      <c r="M5" s="114" t="inlineStr">
        <is>
          <t>6.5 (هر بخش ≥ 5.5)</t>
        </is>
      </c>
      <c r="N5" s="114" t="inlineStr">
        <is>
          <t>149</t>
        </is>
      </c>
      <c r="O5" s="40" t="inlineStr">
        <is>
          <t>Target</t>
        </is>
      </c>
      <c r="P5" s="114" t="inlineStr">
        <is>
          <t>4/5 — بیشترین حجم آگهی در هر ۸ کشور؛
ورود جونیور از ۲۰۲۳ سخت‌تر شده — سابقهٔ کار شما مزیت است</t>
        </is>
      </c>
      <c r="Q5" s="114" t="inlineStr">
        <is>
          <t>ارزان‌ترین RG بعد از Exeter؛
ودیعهٔ $1,990؛
rolling؛
بورس VC International $10,600 خودکار (فهرست کشوری ۲۰۲۷ را چک کنید) و VC Excellence تا ۵۰٪ (درخواست تا ۸ ژوئن ۲۰۲۷)</t>
        </is>
      </c>
      <c r="R5" s="115" t="inlineStr">
        <is>
          <t>https://www.ncl.ac.uk/postgraduate/</t>
        </is>
      </c>
    </row>
    <row r="6">
      <c r="A6" s="66" t="n">
        <v>5</v>
      </c>
      <c r="B6" s="109" t="inlineStr">
        <is>
          <t>انگلستان</t>
        </is>
      </c>
      <c r="C6" s="63" t="inlineStr">
        <is>
          <t>Newcastle University (Russell Group)</t>
        </is>
      </c>
      <c r="D6" s="63" t="inlineStr">
        <is>
          <t>Newcastle upon Tyne (نیوکاسل) — شمال شرق</t>
        </is>
      </c>
      <c r="E6" s="69" t="inlineStr">
        <is>
          <t>ارزان تا متوسط — $1,260–1,660</t>
        </is>
      </c>
      <c r="F6" s="63" t="inlineStr">
        <is>
          <t>MSc Cyber Security</t>
        </is>
      </c>
      <c r="G6" s="69" t="inlineStr">
        <is>
          <t>امنیت سایبری</t>
        </is>
      </c>
      <c r="H6" s="69" t="inlineStr">
        <is>
          <t>۱ سال</t>
        </is>
      </c>
      <c r="I6" s="69" t="inlineStr">
        <is>
          <t>≈ $42,000 (هم‌باند با Advanced CS، ورودی ۲۰۲۶؛ چک شود)</t>
        </is>
      </c>
      <c r="J6" s="69" t="inlineStr">
        <is>
          <t>$42,000</t>
        </is>
      </c>
      <c r="K6" s="110" t="inlineStr">
        <is>
          <t>$57–62k</t>
        </is>
      </c>
      <c r="L6" s="69" t="inlineStr">
        <is>
          <t>2:1 در CS/کامپیوتر (2:2 + سابقهٔ مرتبط بررسی می‌شود)</t>
        </is>
      </c>
      <c r="M6" s="69" t="inlineStr">
        <is>
          <t>6.5 (هر بخش ≥ 5.5)</t>
        </is>
      </c>
      <c r="N6" s="69" t="inlineStr">
        <is>
          <t>149</t>
        </is>
      </c>
      <c r="O6" s="40" t="inlineStr">
        <is>
          <t>Target</t>
        </is>
      </c>
      <c r="P6" s="69" t="inlineStr">
        <is>
          <t>4/5 — کمبود ساختاری (Bitkom: جزو ۳ کمبود اصلی آلمان)؛
اما ۳۱٪ تیم‌ها هیچ نیروی جونیور ندارند → کارآموزی/گواهی لازم است</t>
        </is>
      </c>
      <c r="Q6" s="69" t="inlineStr">
        <is>
          <t>مدرک تأییدشدهٔ NCSC؛ همان بورس‌های Newcastle</t>
        </is>
      </c>
      <c r="R6" s="111" t="inlineStr">
        <is>
          <t>https://www.ncl.ac.uk/postgraduate/</t>
        </is>
      </c>
    </row>
    <row r="7">
      <c r="A7" s="112" t="n">
        <v>6</v>
      </c>
      <c r="B7" s="109" t="inlineStr">
        <is>
          <t>انگلستان</t>
        </is>
      </c>
      <c r="C7" s="113" t="inlineStr">
        <is>
          <t>Newcastle University (Russell Group)</t>
        </is>
      </c>
      <c r="D7" s="113" t="inlineStr">
        <is>
          <t>Newcastle upon Tyne (نیوکاسل) — شمال شرق</t>
        </is>
      </c>
      <c r="E7" s="114" t="inlineStr">
        <is>
          <t>ارزان تا متوسط — $1,260–1,660</t>
        </is>
      </c>
      <c r="F7" s="113" t="inlineStr">
        <is>
          <t>MSc Cloud Computing</t>
        </is>
      </c>
      <c r="G7" s="114" t="inlineStr">
        <is>
          <t>ابری / سیستم‌های توزیع‌شده / DevOps</t>
        </is>
      </c>
      <c r="H7" s="114" t="inlineStr">
        <is>
          <t>۱ سال</t>
        </is>
      </c>
      <c r="I7" s="114" t="inlineStr">
        <is>
          <t>≈ $42,000 (هم‌باند با Advanced CS، ورودی ۲۰۲۶؛ چک شود)</t>
        </is>
      </c>
      <c r="J7" s="114" t="inlineStr">
        <is>
          <t>$42,000</t>
        </is>
      </c>
      <c r="K7" s="110" t="inlineStr">
        <is>
          <t>$57–62k</t>
        </is>
      </c>
      <c r="L7" s="114" t="inlineStr">
        <is>
          <t>2:1 در CS/کامپیوتر (2:2 + سابقهٔ مرتبط بررسی می‌شود)</t>
        </is>
      </c>
      <c r="M7" s="114" t="inlineStr">
        <is>
          <t>6.5 (هر بخش ≥ 5.5)</t>
        </is>
      </c>
      <c r="N7" s="114" t="inlineStr">
        <is>
          <t>149</t>
        </is>
      </c>
      <c r="O7" s="40" t="inlineStr">
        <is>
          <t>Target</t>
        </is>
      </c>
      <c r="P7" s="114" t="inlineStr">
        <is>
          <t>4/5 — تقاضای پایدار و کمتر مدرک‌محور؛
گواهی AWS/Azure کنار مدرک وزن زیادی دارد</t>
        </is>
      </c>
      <c r="Q7" s="114" t="inlineStr">
        <is>
          <t>یکی از معدود ارشدهای خالص Cloud در Russell Group</t>
        </is>
      </c>
      <c r="R7" s="115" t="inlineStr">
        <is>
          <t>https://www.ncl.ac.uk/postgraduate/</t>
        </is>
      </c>
    </row>
    <row r="8">
      <c r="A8" s="66" t="n">
        <v>7</v>
      </c>
      <c r="B8" s="109" t="inlineStr">
        <is>
          <t>انگلستان</t>
        </is>
      </c>
      <c r="C8" s="63" t="inlineStr">
        <is>
          <t>Newcastle University (Russell Group)</t>
        </is>
      </c>
      <c r="D8" s="63" t="inlineStr">
        <is>
          <t>Newcastle upon Tyne (نیوکاسل) — شمال شرق</t>
        </is>
      </c>
      <c r="E8" s="69" t="inlineStr">
        <is>
          <t>ارزان تا متوسط — $1,260–1,660</t>
        </is>
      </c>
      <c r="F8" s="63" t="inlineStr">
        <is>
          <t>MSc Computer Game Engineering</t>
        </is>
      </c>
      <c r="G8" s="69" t="inlineStr">
        <is>
          <t>توسعه بازی</t>
        </is>
      </c>
      <c r="H8" s="69" t="inlineStr">
        <is>
          <t>۱ سال</t>
        </is>
      </c>
      <c r="I8" s="69" t="inlineStr">
        <is>
          <t>$42,800 (2026)</t>
        </is>
      </c>
      <c r="J8" s="69" t="inlineStr">
        <is>
          <t>$42,800</t>
        </is>
      </c>
      <c r="K8" s="110" t="inlineStr">
        <is>
          <t>$58–63k</t>
        </is>
      </c>
      <c r="L8" s="69" t="inlineStr">
        <is>
          <t>2:2 در رشتهٔ کامپیوتری/ریاضی‌محور (طبق QS TopUniversities و IDP — صفحهٔ رسمی را چک کنید)</t>
        </is>
      </c>
      <c r="M8" s="69" t="inlineStr">
        <is>
          <t>6.5</t>
        </is>
      </c>
      <c r="N8" s="69" t="inlineStr">
        <is>
          <t>149</t>
        </is>
      </c>
      <c r="O8" s="68" t="inlineStr">
        <is>
          <t>Target/Reach</t>
        </is>
      </c>
      <c r="P8"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 s="69" t="inlineStr">
        <is>
          <t>معتبرترین ارشد مهندسی بازی انگلستان؛
۷ ماه Unity/C# شما اینجا امتیاز است</t>
        </is>
      </c>
      <c r="R8" s="111" t="inlineStr">
        <is>
          <t>https://www.ncl.ac.uk/postgraduate/</t>
        </is>
      </c>
    </row>
    <row r="9">
      <c r="A9" s="112" t="n">
        <v>8</v>
      </c>
      <c r="B9" s="109" t="inlineStr">
        <is>
          <t>انگلستان</t>
        </is>
      </c>
      <c r="C9" s="113" t="inlineStr">
        <is>
          <t>University of York (Russell Group)</t>
        </is>
      </c>
      <c r="D9" s="113" t="inlineStr">
        <is>
          <t>York (یورک) — شمال انگلستان</t>
        </is>
      </c>
      <c r="E9" s="114" t="inlineStr">
        <is>
          <t>متوسط — $1,330–1,790</t>
        </is>
      </c>
      <c r="F9" s="113" t="inlineStr">
        <is>
          <t>MSc Advanced Computer Science</t>
        </is>
      </c>
      <c r="G9" s="114" t="inlineStr">
        <is>
          <t>مهندسی نرم‌افزار / علوم کامپیوتر</t>
        </is>
      </c>
      <c r="H9" s="114" t="inlineStr">
        <is>
          <t>۱ سال</t>
        </is>
      </c>
      <c r="I9" s="114" t="inlineStr">
        <is>
          <t>$43,600 (2027/28 رسمی)</t>
        </is>
      </c>
      <c r="J9" s="114" t="inlineStr">
        <is>
          <t>$43,600</t>
        </is>
      </c>
      <c r="K9" s="110" t="inlineStr">
        <is>
          <t>$59–65k</t>
        </is>
      </c>
      <c r="L9" s="114" t="inlineStr">
        <is>
          <t>2:2 با پیش‌زمینهٔ قوی — صفحهٔ رسمی ایرانِ York: 2:1 = ۱۵/۲۰، 2:2 = ۱۳/۲۰ → ۱۵.۷۷ هر دو را رد می‌کند</t>
        </is>
      </c>
      <c r="M9" s="114" t="inlineStr">
        <is>
          <t>6.5</t>
        </is>
      </c>
      <c r="N9" s="114">
        <f>158</f>
        <v/>
      </c>
      <c r="O9" s="40" t="inlineStr">
        <is>
          <t>Target</t>
        </is>
      </c>
      <c r="P9" s="114" t="inlineStr">
        <is>
          <t>4/5 — بیشترین حجم آگهی در هر ۸ کشور؛
ورود جونیور از ۲۰۲۳ سخت‌تر شده — سابقهٔ کار شما مزیت است</t>
        </is>
      </c>
      <c r="Q9" s="114" t="inlineStr">
        <is>
          <t>بورس بین‌المللی York برای ارشد CS عملاً فقط Chevening/تخفیف فارغ‌التحصیلان خودش</t>
        </is>
      </c>
      <c r="R9" s="115" t="inlineStr">
        <is>
          <t>https://www.york.ac.uk/study/postgraduate-taught/courses/msc-advanced-computer-science/</t>
        </is>
      </c>
    </row>
    <row r="10">
      <c r="A10" s="66" t="n">
        <v>9</v>
      </c>
      <c r="B10" s="109" t="inlineStr">
        <is>
          <t>انگلستان</t>
        </is>
      </c>
      <c r="C10" s="63" t="inlineStr">
        <is>
          <t>University of York (Russell Group)</t>
        </is>
      </c>
      <c r="D10" s="63" t="inlineStr">
        <is>
          <t>York (یورک) — شمال انگلستان</t>
        </is>
      </c>
      <c r="E10" s="69" t="inlineStr">
        <is>
          <t>متوسط — $1,330–1,790</t>
        </is>
      </c>
      <c r="F10" s="63" t="inlineStr">
        <is>
          <t>MSc Human-Centred Interactive Technologies</t>
        </is>
      </c>
      <c r="G10" s="63" t="inlineStr">
        <is>
          <t>HCI / طراحی تعامل / UX</t>
        </is>
      </c>
      <c r="H10" s="69" t="inlineStr">
        <is>
          <t>۱ سال</t>
        </is>
      </c>
      <c r="I10" s="69" t="inlineStr">
        <is>
          <t>$43,600 (2027/28)</t>
        </is>
      </c>
      <c r="J10" s="69" t="inlineStr">
        <is>
          <t>$43,600</t>
        </is>
      </c>
      <c r="K10" s="110" t="inlineStr">
        <is>
          <t>$59–65k</t>
        </is>
      </c>
      <c r="L10" s="63" t="inlineStr">
        <is>
          <t>2:2 (York برای ایران: ۱۳/۲۰)</t>
        </is>
      </c>
      <c r="M10" s="69" t="inlineStr">
        <is>
          <t>6.5</t>
        </is>
      </c>
      <c r="N10" s="69">
        <f>158</f>
        <v/>
      </c>
      <c r="O10" s="40" t="inlineStr">
        <is>
          <t>Target</t>
        </is>
      </c>
      <c r="P10" s="69" t="inlineStr">
        <is>
          <t>2/5 — آگهی‌های UX/UXR از ۲۰۲۲ حدود ۷۰٪ کم شده و از ۲۰۲۳ ثابت مانده؛
رقابت شدید، حقوق شروع کمتر از توسعه‌دهنده</t>
        </is>
      </c>
      <c r="Q10" s="69" t="inlineStr">
        <is>
          <t>بهترین برنامهٔ HCI انگلستان برای معدل شما؛
ولی بازار UX ضعیف</t>
        </is>
      </c>
      <c r="R10" s="111" t="inlineStr">
        <is>
          <t>https://www.york.ac.uk/study/postgraduate-taught/courses/msc-human-centred-interactive-technologies/</t>
        </is>
      </c>
    </row>
    <row r="11">
      <c r="A11" s="112" t="n">
        <v>10</v>
      </c>
      <c r="B11" s="109" t="inlineStr">
        <is>
          <t>انگلستان</t>
        </is>
      </c>
      <c r="C11" s="113" t="inlineStr">
        <is>
          <t>University of York (Russell Group)</t>
        </is>
      </c>
      <c r="D11" s="113" t="inlineStr">
        <is>
          <t>York (یورک) — شمال انگلستان</t>
        </is>
      </c>
      <c r="E11" s="114" t="inlineStr">
        <is>
          <t>متوسط — $1,330–1,790</t>
        </is>
      </c>
      <c r="F11" s="113" t="inlineStr">
        <is>
          <t>MSc Cyber Security</t>
        </is>
      </c>
      <c r="G11" s="114" t="inlineStr">
        <is>
          <t>امنیت سایبری</t>
        </is>
      </c>
      <c r="H11" s="114" t="inlineStr">
        <is>
          <t>۱ سال</t>
        </is>
      </c>
      <c r="I11" s="114" t="inlineStr">
        <is>
          <t>≈ $43,600 (هم‌باند با Advanced CS 2027/28؛ چک شود)</t>
        </is>
      </c>
      <c r="J11" s="114" t="inlineStr">
        <is>
          <t>$43,600</t>
        </is>
      </c>
      <c r="K11" s="110" t="inlineStr">
        <is>
          <t>$59–65k</t>
        </is>
      </c>
      <c r="L11" s="114" t="inlineStr">
        <is>
          <t>2:2 در CS/رشتهٔ مرتبط (چک شود)</t>
        </is>
      </c>
      <c r="M11" s="114" t="inlineStr">
        <is>
          <t>6.5</t>
        </is>
      </c>
      <c r="N11" s="114">
        <f>158</f>
        <v/>
      </c>
      <c r="O11" s="40" t="inlineStr">
        <is>
          <t>Target</t>
        </is>
      </c>
      <c r="P11" s="114" t="inlineStr">
        <is>
          <t>4/5 — کمبود ساختاری (Bitkom: جزو ۳ کمبود اصلی آلمان)؛
اما ۳۱٪ تیم‌ها هیچ نیروی جونیور ندارند → کارآموزی/گواهی لازم است</t>
        </is>
      </c>
      <c r="Q11" s="114" t="inlineStr">
        <is>
          <t>مدرک تأییدشدهٔ NCSC</t>
        </is>
      </c>
      <c r="R11" s="115" t="inlineStr">
        <is>
          <t>https://www.york.ac.uk/study/postgraduate-taught/courses/msc-cyber-security/</t>
        </is>
      </c>
    </row>
    <row r="12">
      <c r="A12" s="66" t="n">
        <v>11</v>
      </c>
      <c r="B12" s="109" t="inlineStr">
        <is>
          <t>انگلستان</t>
        </is>
      </c>
      <c r="C12" s="63" t="inlineStr">
        <is>
          <t>University of Sheffield (Russell Group)</t>
        </is>
      </c>
      <c r="D12" s="63" t="inlineStr">
        <is>
          <t>Sheffield (شفیلد) — یورکشایر</t>
        </is>
      </c>
      <c r="E12" s="69" t="inlineStr">
        <is>
          <t>ارزان تا متوسط — $1,260–1,660</t>
        </is>
      </c>
      <c r="F12" s="63" t="inlineStr">
        <is>
          <t>MSc Advanced Computer Science</t>
        </is>
      </c>
      <c r="G12" s="69" t="inlineStr">
        <is>
          <t>مهندسی نرم‌افزار / علوم کامپیوتر</t>
        </is>
      </c>
      <c r="H12" s="69" t="inlineStr">
        <is>
          <t>۱ سال</t>
        </is>
      </c>
      <c r="I12" s="69" t="inlineStr">
        <is>
          <t>$45,800 (2027/28 رسمی؛ شهریهٔ ثابت)</t>
        </is>
      </c>
      <c r="J12" s="69" t="inlineStr">
        <is>
          <t>$45,800</t>
        </is>
      </c>
      <c r="K12" s="110" t="inlineStr">
        <is>
          <t>$61–66k</t>
        </is>
      </c>
      <c r="L12" s="69" t="inlineStr">
        <is>
          <t>2:1 در CS/مهندسی نرم‌افزار — صفحهٔ رسمی ایرانِ Sheffield: 2:1 = ۱۴/۲۰ دانشگاه دولتی (First ۱۷، 2:2 ۱۳) → ۱۵.۷۷ ✓؛
بدون توصیه‌نامه</t>
        </is>
      </c>
      <c r="M12" s="69" t="inlineStr">
        <is>
          <t>6.5 (هر بخش ≥ 6.0)</t>
        </is>
      </c>
      <c r="N12" s="69" t="inlineStr">
        <is>
          <t>82</t>
        </is>
      </c>
      <c r="O12" s="40" t="inlineStr">
        <is>
          <t>Target</t>
        </is>
      </c>
      <c r="P12" s="69" t="inlineStr">
        <is>
          <t>4/5 — بیشترین حجم آگهی در هر ۸ کشور؛
ورود جونیور از ۲۰۲۳ سخت‌تر شده — سابقهٔ کار شما مزیت است</t>
        </is>
      </c>
      <c r="Q12" s="69" t="inlineStr">
        <is>
          <t>بورس International PG $9,280 سال ۲۰۲۷ فقط ۱۰ کشور (ایران نیست)؛
شهر ارزانِ RG</t>
        </is>
      </c>
      <c r="R12" s="111" t="inlineStr">
        <is>
          <t>https://www.sheffield.ac.uk/postgraduate/taught/courses/2027/advanced-computer-science-msc</t>
        </is>
      </c>
    </row>
    <row r="13">
      <c r="A13" s="112" t="n">
        <v>12</v>
      </c>
      <c r="B13" s="109" t="inlineStr">
        <is>
          <t>انگلستان</t>
        </is>
      </c>
      <c r="C13" s="113" t="inlineStr">
        <is>
          <t>University of Sheffield (Russell Group)</t>
        </is>
      </c>
      <c r="D13" s="113" t="inlineStr">
        <is>
          <t>Sheffield (شفیلد) — یورکشایر</t>
        </is>
      </c>
      <c r="E13" s="114" t="inlineStr">
        <is>
          <t>ارزان تا متوسط — $1,260–1,660</t>
        </is>
      </c>
      <c r="F13" s="113" t="inlineStr">
        <is>
          <t>MSc Artificial Intelligence</t>
        </is>
      </c>
      <c r="G13" s="114" t="inlineStr">
        <is>
          <t>هوش مصنوعی / یادگیری ماشین</t>
        </is>
      </c>
      <c r="H13" s="114" t="inlineStr">
        <is>
          <t>۱ سال</t>
        </is>
      </c>
      <c r="I13" s="114" t="inlineStr">
        <is>
          <t>≈ $45,800 (هم‌باند با Advanced CS 2027/28؛ چک شود)</t>
        </is>
      </c>
      <c r="J13" s="114" t="inlineStr">
        <is>
          <t>$45,800</t>
        </is>
      </c>
      <c r="K13" s="110" t="inlineStr">
        <is>
          <t>$61–66k</t>
        </is>
      </c>
      <c r="L13" s="114" t="inlineStr">
        <is>
          <t>2:1 در CS/رشتهٔ مرتبط با برنامه‌نویسی (ایران: ۱۴/۲۰ دولتی) → ۱۵.۷۷ ✓</t>
        </is>
      </c>
      <c r="M13" s="114" t="inlineStr">
        <is>
          <t>6.5 (هر بخش ≥ 6.0)</t>
        </is>
      </c>
      <c r="N13" s="114" t="inlineStr">
        <is>
          <t>82</t>
        </is>
      </c>
      <c r="O13" s="68" t="inlineStr">
        <is>
          <t>Target/Reach</t>
        </is>
      </c>
      <c r="P13" s="114" t="inlineStr">
        <is>
          <t>5/5 — داغ‌ترین بازار؛
«AI Engineer» سریع‌ترین‌رشد (LinkedIn 2026)؛
ولی برنامه‌های ریاضی‌محور (Tübingen، UvA، KTH) بسیار رقابتی‌اند</t>
        </is>
      </c>
      <c r="Q13" s="114" t="inlineStr">
        <is>
          <t>رتبهٔ بالا؛ رقابتی‌تر از Advanced CS</t>
        </is>
      </c>
      <c r="R13" s="115" t="inlineStr">
        <is>
          <t>https://www.sheffield.ac.uk/postgraduate/taught/courses/2027/artificial-intelligence-msc</t>
        </is>
      </c>
    </row>
    <row r="14">
      <c r="A14" s="66" t="n">
        <v>13</v>
      </c>
      <c r="B14" s="109" t="inlineStr">
        <is>
          <t>انگلستان</t>
        </is>
      </c>
      <c r="C14" s="63" t="inlineStr">
        <is>
          <t>University of Sheffield (Russell Group)</t>
        </is>
      </c>
      <c r="D14" s="63" t="inlineStr">
        <is>
          <t>Sheffield (شفیلد) — یورکشایر</t>
        </is>
      </c>
      <c r="E14" s="69" t="inlineStr">
        <is>
          <t>ارزان تا متوسط — $1,260–1,660</t>
        </is>
      </c>
      <c r="F14" s="63" t="inlineStr">
        <is>
          <t>MSc Cybersecurity and Artificial Intelligence</t>
        </is>
      </c>
      <c r="G14" s="69" t="inlineStr">
        <is>
          <t>امنیت سایبری</t>
        </is>
      </c>
      <c r="H14" s="69" t="inlineStr">
        <is>
          <t>۱ سال</t>
        </is>
      </c>
      <c r="I14" s="69" t="inlineStr">
        <is>
          <t>≈ $45,800 (هم‌باند با Advanced CS 2027/28؛ چک شود)</t>
        </is>
      </c>
      <c r="J14" s="69" t="inlineStr">
        <is>
          <t>$45,800</t>
        </is>
      </c>
      <c r="K14" s="110" t="inlineStr">
        <is>
          <t>$61–66k</t>
        </is>
      </c>
      <c r="L14" s="69" t="inlineStr">
        <is>
          <t>2:1 در CS/رشتهٔ مرتبط (ایران: ۱۴/۲۰ دولتی) → ۱۵.۷۷ ✓</t>
        </is>
      </c>
      <c r="M14" s="69" t="inlineStr">
        <is>
          <t>6.5 (هر بخش ≥ 6.0)</t>
        </is>
      </c>
      <c r="N14" s="69" t="inlineStr">
        <is>
          <t>82</t>
        </is>
      </c>
      <c r="O14" s="40" t="inlineStr">
        <is>
          <t>Target</t>
        </is>
      </c>
      <c r="P14" s="69" t="inlineStr">
        <is>
          <t>4/5 — کمبود ساختاری (Bitkom: جزو ۳ کمبود اصلی آلمان)؛
اما ۳۱٪ تیم‌ها هیچ نیروی جونیور ندارند → کارآموزی/گواهی لازم است</t>
        </is>
      </c>
      <c r="Q14" s="69" t="inlineStr">
        <is>
          <t>ترکیب دو حوزهٔ کم‌عرضه؛ همان شهر ارزان</t>
        </is>
      </c>
      <c r="R14" s="111" t="inlineStr">
        <is>
          <t>https://www.sheffield.ac.uk/postgraduate/taught/courses/2027/cybersecurity-and-artificial-intelligence-msc</t>
        </is>
      </c>
    </row>
    <row r="15">
      <c r="A15" s="112" t="n">
        <v>14</v>
      </c>
      <c r="B15" s="109" t="inlineStr">
        <is>
          <t>انگلستان</t>
        </is>
      </c>
      <c r="C15" s="113" t="inlineStr">
        <is>
          <t>University of Leeds (Russell Group)</t>
        </is>
      </c>
      <c r="D15" s="113" t="inlineStr">
        <is>
          <t>Leeds (لیدز) — یورکشایر؛
قطب مالی/دیجیتال شمال</t>
        </is>
      </c>
      <c r="E15" s="114" t="inlineStr">
        <is>
          <t>متوسط — $1,330–1,720</t>
        </is>
      </c>
      <c r="F15" s="113" t="inlineStr">
        <is>
          <t>MSc Advanced Computer Science (گرایش‌های AI / Cloud / Data Analytics)</t>
        </is>
      </c>
      <c r="G15" s="114" t="inlineStr">
        <is>
          <t>مهندسی نرم‌افزار / علوم کامپیوتر</t>
        </is>
      </c>
      <c r="H15" s="114" t="inlineStr">
        <is>
          <t>۱ سال</t>
        </is>
      </c>
      <c r="I15" s="114" t="inlineStr">
        <is>
          <t>$45,800 (ورودی ۲۰۲۷ رسمی)</t>
        </is>
      </c>
      <c r="J15" s="114" t="inlineStr">
        <is>
          <t>$45,800</t>
        </is>
      </c>
      <c r="K15" s="110" t="inlineStr">
        <is>
          <t>$62–67k</t>
        </is>
      </c>
      <c r="L15" s="114" t="inlineStr">
        <is>
          <t>2:1 در CS/رشتهٔ مرتبط با برنامه‌نویسی؛
معادل ایرانی را رسمی نیافتم (معمولاً ۱۵/۲۰)</t>
        </is>
      </c>
      <c r="M15" s="114" t="inlineStr">
        <is>
          <t>6.5 (هر بخش ≥ 6.0)</t>
        </is>
      </c>
      <c r="N15" s="113" t="inlineStr">
        <is>
          <t>≈ 86 (QS 2026)</t>
        </is>
      </c>
      <c r="O15" s="68" t="inlineStr">
        <is>
          <t>Target/Reach</t>
        </is>
      </c>
      <c r="P15" s="114" t="inlineStr">
        <is>
          <t>4/5 — بیشترین حجم آگهی در هر ۸ کشور؛
ورود جونیور از ۲۰۲۳ سخت‌تر شده — سابقهٔ کار شما مزیت است</t>
        </is>
      </c>
      <c r="Q15" s="114" t="inlineStr">
        <is>
          <t>مهلت بین‌المللی ۳۰ ژوئیه ۲۰۲۷؛
Leeds بازار IT متوسط‌به‌بالا (Sky، BJSS، NHS Digital)</t>
        </is>
      </c>
      <c r="R15" s="115" t="inlineStr">
        <is>
          <t>https://courses.leeds.ac.uk/</t>
        </is>
      </c>
    </row>
    <row r="16">
      <c r="A16" s="66" t="n">
        <v>15</v>
      </c>
      <c r="B16" s="109" t="inlineStr">
        <is>
          <t>انگلستان</t>
        </is>
      </c>
      <c r="C16" s="63" t="inlineStr">
        <is>
          <t>University of Leeds (Russell Group)</t>
        </is>
      </c>
      <c r="D16" s="63" t="inlineStr">
        <is>
          <t>Leeds (لیدز) — یورکشایر؛
قطب مالی/دیجیتال شمال</t>
        </is>
      </c>
      <c r="E16" s="69" t="inlineStr">
        <is>
          <t>متوسط — $1,330–1,720</t>
        </is>
      </c>
      <c r="F16" s="63" t="inlineStr">
        <is>
          <t>MSc High-Performance Graphics and Games Engineering</t>
        </is>
      </c>
      <c r="G16" s="69" t="inlineStr">
        <is>
          <t>توسعه بازی</t>
        </is>
      </c>
      <c r="H16" s="69" t="inlineStr">
        <is>
          <t>۱ سال</t>
        </is>
      </c>
      <c r="I16" s="69" t="inlineStr">
        <is>
          <t>≈ $45,800 (هم‌باند با Advanced CS ۲۰۲۷؛ چک شود)</t>
        </is>
      </c>
      <c r="J16" s="69" t="inlineStr">
        <is>
          <t>$45,800</t>
        </is>
      </c>
      <c r="K16" s="110" t="inlineStr">
        <is>
          <t>$62–67k</t>
        </is>
      </c>
      <c r="L16" s="69" t="inlineStr">
        <is>
          <t>2:1 در CS با C++ قوی؛
۷ ماه Unity/C# شما کمک می‌کند (معادل ایرانی: معمولاً ۱۵/۲۰)</t>
        </is>
      </c>
      <c r="M16" s="69" t="inlineStr">
        <is>
          <t>6.5 (هر بخش ≥ 6.0)</t>
        </is>
      </c>
      <c r="N16" s="63" t="inlineStr">
        <is>
          <t>≈ 86 (QS 2026)</t>
        </is>
      </c>
      <c r="O16" s="68" t="inlineStr">
        <is>
          <t>Target/Reach</t>
        </is>
      </c>
      <c r="P16"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6" s="69" t="inlineStr">
        <is>
          <t>تنها ارشد گرافیک/موتور بازی در Russell Group؛
همان مهلت ۳۰ ژوئیه ۲۰۲۷</t>
        </is>
      </c>
      <c r="R16" s="111" t="inlineStr">
        <is>
          <t>https://courses.leeds.ac.uk/</t>
        </is>
      </c>
    </row>
    <row r="17">
      <c r="A17" s="112" t="n">
        <v>16</v>
      </c>
      <c r="B17" s="109" t="inlineStr">
        <is>
          <t>انگلستان</t>
        </is>
      </c>
      <c r="C17" s="113" t="inlineStr">
        <is>
          <t>University of Nottingham (Russell Group)</t>
        </is>
      </c>
      <c r="D17" s="113" t="inlineStr">
        <is>
          <t>Nottingham (ناتینگهام) — میدلندز</t>
        </is>
      </c>
      <c r="E17" s="114" t="inlineStr">
        <is>
          <t>متوسط — $1,330–1,720</t>
        </is>
      </c>
      <c r="F17" s="113" t="inlineStr">
        <is>
          <t>MSc Advanced Computer Science / Advanced CS (Artificial Intelligence)</t>
        </is>
      </c>
      <c r="G17" s="114" t="inlineStr">
        <is>
          <t>هوش مصنوعی / یادگیری ماشین</t>
        </is>
      </c>
      <c r="H17" s="114" t="inlineStr">
        <is>
          <t>۱ سال</t>
        </is>
      </c>
      <c r="I17" s="114" t="inlineStr">
        <is>
          <t>$46,100 (ورودی ۲۰۲۷ رسمی)</t>
        </is>
      </c>
      <c r="J17" s="114" t="inlineStr">
        <is>
          <t>$46,100</t>
        </is>
      </c>
      <c r="K17" s="110" t="inlineStr">
        <is>
          <t>$62–67k</t>
        </is>
      </c>
      <c r="L17" s="114" t="inlineStr">
        <is>
          <t>2:1 در CS یا STEM با محتوای محاسباتی؛
معادل ایرانی را رسمی نیافتم (معمولاً ۱۴–۱۵/۲۰)</t>
        </is>
      </c>
      <c r="M17" s="114" t="inlineStr">
        <is>
          <t>6.5 (هر بخش ≥ 6.0)</t>
        </is>
      </c>
      <c r="N17" s="113" t="inlineStr">
        <is>
          <t>≈ 97 (QS 2026)</t>
        </is>
      </c>
      <c r="O17" s="68" t="inlineStr">
        <is>
          <t>Target/Reach</t>
        </is>
      </c>
      <c r="P17" s="114" t="inlineStr">
        <is>
          <t>5/5 — داغ‌ترین بازار؛
«AI Engineer» سریع‌ترین‌رشد (LinkedIn 2026)؛
ولی برنامه‌های ریاضی‌محور (Tübingen، UvA، KTH) بسیار رقابتی‌اند</t>
        </is>
      </c>
      <c r="Q17" s="114" t="inlineStr">
        <is>
          <t>نسخهٔ دوسالهٔ MSc CS(AI) برای غیر-CS $30,700/سال — برای شما لازم نیست</t>
        </is>
      </c>
      <c r="R17" s="115" t="inlineStr">
        <is>
          <t>https://www.nottingham.ac.uk/pgstudy/course/taught/computer-science-artificial-intelligence-msc</t>
        </is>
      </c>
    </row>
    <row r="18">
      <c r="A18" s="66" t="n">
        <v>17</v>
      </c>
      <c r="B18" s="109" t="inlineStr">
        <is>
          <t>انگلستان</t>
        </is>
      </c>
      <c r="C18" s="63" t="inlineStr">
        <is>
          <t>University of Birmingham (Russell Group)</t>
        </is>
      </c>
      <c r="D18" s="63" t="inlineStr">
        <is>
          <t>Birmingham (بیرمنگام) — دومین شهر انگلستان؛
میدلندز</t>
        </is>
      </c>
      <c r="E18" s="69" t="inlineStr">
        <is>
          <t>متوسط — $1,330–1,720</t>
        </is>
      </c>
      <c r="F18" s="63" t="inlineStr">
        <is>
          <t>MSc Advanced Computer Science</t>
        </is>
      </c>
      <c r="G18" s="69" t="inlineStr">
        <is>
          <t>مهندسی نرم‌افزار / علوم کامپیوتر</t>
        </is>
      </c>
      <c r="H18" s="69" t="inlineStr">
        <is>
          <t>۱ سال</t>
        </is>
      </c>
      <c r="I18" s="69" t="inlineStr">
        <is>
          <t>≈ $46,000 (به نقل از QS TopUniversities — صفحهٔ رسمی از ایران باز نشد؛ چک شود)</t>
        </is>
      </c>
      <c r="J18" s="69" t="inlineStr">
        <is>
          <t>$46,000</t>
        </is>
      </c>
      <c r="K18" s="110" t="inlineStr">
        <is>
          <t>$62–67k</t>
        </is>
      </c>
      <c r="L18" s="69" t="inlineStr">
        <is>
          <t>2:1 در رشتهٔ کامپیوتری (معادل ایرانی: معمولاً ۱۴–۱۵/۲۰؛ چک شود)</t>
        </is>
      </c>
      <c r="M18" s="69" t="inlineStr">
        <is>
          <t>6.5 (هر بخش ≥ 6.0)</t>
        </is>
      </c>
      <c r="N18" s="63" t="inlineStr">
        <is>
          <t>≈ 76 (QS 2026)</t>
        </is>
      </c>
      <c r="O18" s="68" t="inlineStr">
        <is>
          <t>Target/Reach</t>
        </is>
      </c>
      <c r="P18" s="69" t="inlineStr">
        <is>
          <t>4/5 — بیشترین حجم آگهی در هر ۸ کشور؛
ورود جونیور از ۲۰۲۳ سخت‌تر شده — سابقهٔ کار شما مزیت است</t>
        </is>
      </c>
      <c r="Q18" s="69" t="inlineStr">
        <is>
          <t>دومین شهر انگلستان؛
بازار IT بزرگ‌تر از Sheffield/Liverpool؛
زندگی متوسط</t>
        </is>
      </c>
      <c r="R18" s="111" t="inlineStr">
        <is>
          <t>https://www.birmingham.ac.uk/postgraduate/courses/taught/computer-science</t>
        </is>
      </c>
    </row>
    <row r="19">
      <c r="A19" s="112" t="n">
        <v>18</v>
      </c>
      <c r="B19" s="109" t="inlineStr">
        <is>
          <t>انگلستان</t>
        </is>
      </c>
      <c r="C19" s="113" t="inlineStr">
        <is>
          <t>University of Birmingham (Russell Group)</t>
        </is>
      </c>
      <c r="D19" s="113" t="inlineStr">
        <is>
          <t>Birmingham (بیرمنگام) — دومین شهر انگلستان؛
میدلندز</t>
        </is>
      </c>
      <c r="E19" s="114" t="inlineStr">
        <is>
          <t>متوسط — $1,330–1,720</t>
        </is>
      </c>
      <c r="F19" s="113" t="inlineStr">
        <is>
          <t>MSc Cyber Security</t>
        </is>
      </c>
      <c r="G19" s="114" t="inlineStr">
        <is>
          <t>امنیت سایبری</t>
        </is>
      </c>
      <c r="H19" s="114" t="inlineStr">
        <is>
          <t>۱ سال</t>
        </is>
      </c>
      <c r="I19" s="114" t="inlineStr">
        <is>
          <t>≈ $46,000 (هم‌باند با Advanced CS؛ چک شود)</t>
        </is>
      </c>
      <c r="J19" s="114" t="inlineStr">
        <is>
          <t>$46,000</t>
        </is>
      </c>
      <c r="K19" s="110" t="inlineStr">
        <is>
          <t>$62–67k</t>
        </is>
      </c>
      <c r="L19" s="114" t="inlineStr">
        <is>
          <t>2:1 در رشتهٔ کامپیوتری (چک شود)</t>
        </is>
      </c>
      <c r="M19" s="114" t="inlineStr">
        <is>
          <t>6.5 (هر بخش ≥ 6.0)</t>
        </is>
      </c>
      <c r="N19" s="113" t="inlineStr">
        <is>
          <t>≈ 76 (QS 2026)</t>
        </is>
      </c>
      <c r="O19" s="68" t="inlineStr">
        <is>
          <t>Target/Reach</t>
        </is>
      </c>
      <c r="P19" s="114" t="inlineStr">
        <is>
          <t>4/5 — کمبود ساختاری (Bitkom: جزو ۳ کمبود اصلی آلمان)؛
اما ۳۱٪ تیم‌ها هیچ نیروی جونیور ندارند → کارآموزی/گواهی لازم است</t>
        </is>
      </c>
      <c r="Q19" s="114" t="inlineStr">
        <is>
          <t>مدرک تأییدشدهٔ NCSC</t>
        </is>
      </c>
      <c r="R19" s="115" t="inlineStr">
        <is>
          <t>https://www.birmingham.ac.uk/postgraduate/courses/taught/computer-science</t>
        </is>
      </c>
    </row>
    <row r="20">
      <c r="A20" s="66" t="n">
        <v>19</v>
      </c>
      <c r="B20" s="109" t="inlineStr">
        <is>
          <t>انگلستان</t>
        </is>
      </c>
      <c r="C20" s="63" t="inlineStr">
        <is>
          <t>University of Southampton (Russell Group)</t>
        </is>
      </c>
      <c r="D20" s="63" t="inlineStr">
        <is>
          <t>Southampton (ساوتهمپتون) — ساحل جنوب؛
۷۵ دقیقه تا لندن</t>
        </is>
      </c>
      <c r="E20" s="69" t="inlineStr">
        <is>
          <t>متوسط — $1,390–1,790</t>
        </is>
      </c>
      <c r="F20" s="63" t="inlineStr">
        <is>
          <t>MSc Artificial Intelligence</t>
        </is>
      </c>
      <c r="G20" s="69" t="inlineStr">
        <is>
          <t>هوش مصنوعی / یادگیری ماشین</t>
        </is>
      </c>
      <c r="H20" s="69" t="inlineStr">
        <is>
          <t>۱ سال</t>
        </is>
      </c>
      <c r="I20" s="69" t="inlineStr">
        <is>
          <t>$48,800 (سپتامبر ۲۰۲۷ رسمی)</t>
        </is>
      </c>
      <c r="J20" s="69" t="inlineStr">
        <is>
          <t>$48,800</t>
        </is>
      </c>
      <c r="K20" s="110" t="inlineStr">
        <is>
          <t>$65–70k</t>
        </is>
      </c>
      <c r="L20" s="69" t="inlineStr">
        <is>
          <t>2:1 در CS/مهندسی/ریاضی — صفحهٔ ایرانِ Southampton: ۱۷ / ۱۵ / ۱۳ از ۲۰ بسته به ردهٔ دانشگاه (سمنان احتمالاً ردهٔ ۱۵/۲۰) → ۱۵.۷۷ مرزی‑✓</t>
        </is>
      </c>
      <c r="M20" s="69" t="inlineStr">
        <is>
          <t>6.5 (هر بخش ≥ 6.0)</t>
        </is>
      </c>
      <c r="N20" s="63" t="inlineStr">
        <is>
          <t>≈ 87 (QS 2026)</t>
        </is>
      </c>
      <c r="O20" s="68" t="inlineStr">
        <is>
          <t>Target/Reach</t>
        </is>
      </c>
      <c r="P20" s="69" t="inlineStr">
        <is>
          <t>5/5 — داغ‌ترین بازار؛
«AI Engineer» سریع‌ترین‌رشد (LinkedIn 2026)؛
ولی برنامه‌های ریاضی‌محور (Tübingen، UvA، KTH) بسیار رقابتی‌اند</t>
        </is>
      </c>
      <c r="Q20" s="69" t="inlineStr">
        <is>
          <t>ودیعهٔ $2,650؛
Spärck AI Scholarship: ۱۱ بورس کامل + کمک‌هزینه برای همین رشته (بسیار رقابتی، بین‌المللی مجاز)</t>
        </is>
      </c>
      <c r="R20" s="111" t="inlineStr">
        <is>
          <t>https://www.southampton.ac.uk/courses/artificial-intelligence-masters-msc</t>
        </is>
      </c>
    </row>
    <row r="21">
      <c r="A21" s="112" t="n">
        <v>20</v>
      </c>
      <c r="B21" s="109" t="inlineStr">
        <is>
          <t>انگلستان</t>
        </is>
      </c>
      <c r="C21" s="113" t="inlineStr">
        <is>
          <t>University of Southampton (Russell Group)</t>
        </is>
      </c>
      <c r="D21" s="113" t="inlineStr">
        <is>
          <t>Southampton (ساوتهمپتون) — ساحل جنوب؛
۷۵ دقیقه تا لندن</t>
        </is>
      </c>
      <c r="E21" s="114" t="inlineStr">
        <is>
          <t>متوسط — $1,390–1,790</t>
        </is>
      </c>
      <c r="F21" s="113" t="inlineStr">
        <is>
          <t>MSc Cyber Security</t>
        </is>
      </c>
      <c r="G21" s="114" t="inlineStr">
        <is>
          <t>امنیت سایبری</t>
        </is>
      </c>
      <c r="H21" s="114" t="inlineStr">
        <is>
          <t>۱ سال</t>
        </is>
      </c>
      <c r="I21" s="114" t="inlineStr">
        <is>
          <t>≈ $48,800 (هم‌باند با MSc AI سپتامبر ۲۰۲۷؛ چک شود)</t>
        </is>
      </c>
      <c r="J21" s="114" t="inlineStr">
        <is>
          <t>$48,800</t>
        </is>
      </c>
      <c r="K21" s="110" t="inlineStr">
        <is>
          <t>$65–70k</t>
        </is>
      </c>
      <c r="L21" s="114" t="inlineStr">
        <is>
          <t>2:1 در CS/رشتهٔ مرتبط (ایران: ۱۷ / ۱۵ / ۱۳ بسته به ردهٔ دانشگاه)</t>
        </is>
      </c>
      <c r="M21" s="114" t="inlineStr">
        <is>
          <t>6.5 (هر بخش ≥ 6.0)</t>
        </is>
      </c>
      <c r="N21" s="113" t="inlineStr">
        <is>
          <t>≈ 87 (QS 2026)</t>
        </is>
      </c>
      <c r="O21" s="68" t="inlineStr">
        <is>
          <t>Target/Reach</t>
        </is>
      </c>
      <c r="P21" s="114" t="inlineStr">
        <is>
          <t>4/5 — کمبود ساختاری (Bitkom: جزو ۳ کمبود اصلی آلمان)؛
اما ۳۱٪ تیم‌ها هیچ نیروی جونیور ندارند → کارآموزی/گواهی لازم است</t>
        </is>
      </c>
      <c r="Q21" s="114" t="inlineStr">
        <is>
          <t>مدرک تأییدشدهٔ NCSC؛
مرکز آکادمیک امنیت سایبری</t>
        </is>
      </c>
      <c r="R21" s="115" t="inlineStr">
        <is>
          <t>https://www.southampton.ac.uk/courses/cyber-security-masters-msc</t>
        </is>
      </c>
    </row>
    <row r="22">
      <c r="A22" s="66" t="n">
        <v>21</v>
      </c>
      <c r="B22" s="109" t="inlineStr">
        <is>
          <t>انگلستان</t>
        </is>
      </c>
      <c r="C22" s="63" t="inlineStr">
        <is>
          <t>Queen Mary University of London (Russell Group)</t>
        </is>
      </c>
      <c r="D22" s="63" t="inlineStr">
        <is>
          <t>London – Mile End (لندن شرقی؛ کمپوس QMUL)</t>
        </is>
      </c>
      <c r="E22" s="69" t="inlineStr">
        <is>
          <t>خیلی گران — $1,990–2,390 (تمکن ویزا: $2,080 × ۹)</t>
        </is>
      </c>
      <c r="F22" s="63" t="inlineStr">
        <is>
          <t>MSc Advanced Computer Science</t>
        </is>
      </c>
      <c r="G22" s="69" t="inlineStr">
        <is>
          <t>مهندسی نرم‌افزار / علوم کامپیوتر</t>
        </is>
      </c>
      <c r="H22" s="69" t="inlineStr">
        <is>
          <t>۱ سال</t>
        </is>
      </c>
      <c r="I22" s="69" t="inlineStr">
        <is>
          <t>$49,000 (سپتامبر ۲۰۲۷ رسمی)</t>
        </is>
      </c>
      <c r="J22" s="69" t="inlineStr">
        <is>
          <t>$49,000</t>
        </is>
      </c>
      <c r="K22" s="110" t="inlineStr">
        <is>
          <t>$73–78k</t>
        </is>
      </c>
      <c r="L22" s="69" t="inlineStr">
        <is>
          <t>2:1 — صفحهٔ رسمی ایرانِ QMUL: 2:1 = ۱۵–۱۶/۲۰ (2:2 = ۱۳.۵–۱۴، First = ۱۷.۵–۱۸.۵) → ۱۵.۷۷ ✓</t>
        </is>
      </c>
      <c r="M22" s="69" t="inlineStr">
        <is>
          <t>6.5 (هر بخش ≥ 6.0)</t>
        </is>
      </c>
      <c r="N22" s="63" t="inlineStr">
        <is>
          <t>≈ 110 (QS 2026)</t>
        </is>
      </c>
      <c r="O22" s="40" t="inlineStr">
        <is>
          <t>Target</t>
        </is>
      </c>
      <c r="P22" s="69" t="inlineStr">
        <is>
          <t>4/5 — بیشترین حجم آگهی در هر ۸ کشور؛
ورود جونیور از ۲۰۲۳ سخت‌تر شده — سابقهٔ کار شما مزیت است</t>
        </is>
      </c>
      <c r="Q22" s="69" t="inlineStr">
        <is>
          <t>ارزان‌ترین RG لندن؛
ودیعهٔ $2,650؛
تمکن لندنی ($2,080 × ۹) و زندگی گران</t>
        </is>
      </c>
      <c r="R22" s="111" t="inlineStr">
        <is>
          <t>https://www.qmul.ac.uk/postgraduate/taught/coursefinder/courses/advanced-computer-science-msc/</t>
        </is>
      </c>
    </row>
    <row r="23">
      <c r="A23" s="112" t="n">
        <v>22</v>
      </c>
      <c r="B23" s="109" t="inlineStr">
        <is>
          <t>انگلستان</t>
        </is>
      </c>
      <c r="C23" s="113" t="inlineStr">
        <is>
          <t>Queen Mary University of London (Russell Group)</t>
        </is>
      </c>
      <c r="D23" s="113" t="inlineStr">
        <is>
          <t>London – Mile End (لندن شرقی؛ کمپوس QMUL)</t>
        </is>
      </c>
      <c r="E23" s="114" t="inlineStr">
        <is>
          <t>خیلی گران — $1,990–2,390 (تمکن ویزا: $2,080 × ۹)</t>
        </is>
      </c>
      <c r="F23" s="113" t="inlineStr">
        <is>
          <t>MSc Computer Games</t>
        </is>
      </c>
      <c r="G23" s="114" t="inlineStr">
        <is>
          <t>توسعه بازی</t>
        </is>
      </c>
      <c r="H23" s="114" t="inlineStr">
        <is>
          <t>۱ سال</t>
        </is>
      </c>
      <c r="I23" s="114" t="inlineStr">
        <is>
          <t>≈ $49,000 (هم‌باند با Advanced CS سپتامبر ۲۰۲۷؛ چک شود)</t>
        </is>
      </c>
      <c r="J23" s="114" t="inlineStr">
        <is>
          <t>$49,000</t>
        </is>
      </c>
      <c r="K23" s="110" t="inlineStr">
        <is>
          <t>$73–78k</t>
        </is>
      </c>
      <c r="L23" s="114" t="inlineStr">
        <is>
          <t>2:1 در CS/رشتهٔ مرتبط (ایران: ۱۵–۱۶/۲۰) → ۱۵.۷۷ ✓</t>
        </is>
      </c>
      <c r="M23" s="114" t="inlineStr">
        <is>
          <t>6.5 (هر بخش ≥ 6.0)</t>
        </is>
      </c>
      <c r="N23" s="113" t="inlineStr">
        <is>
          <t>≈ 110 (QS 2026)</t>
        </is>
      </c>
      <c r="O23" s="40" t="inlineStr">
        <is>
          <t>Target</t>
        </is>
      </c>
      <c r="P23"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3" s="114" t="inlineStr">
        <is>
          <t>لندن = بزرگ‌ترین خوشهٔ استودیوهای بازی اروپا؛
ولی گران‌ترین زندگی</t>
        </is>
      </c>
      <c r="R23" s="115" t="inlineStr">
        <is>
          <t>https://www.qmul.ac.uk/postgraduate/taught/coursefinder/courses/computer-games-msc/</t>
        </is>
      </c>
    </row>
    <row r="24">
      <c r="A24" s="66" t="n">
        <v>23</v>
      </c>
      <c r="B24" s="109" t="inlineStr">
        <is>
          <t>انگلستان</t>
        </is>
      </c>
      <c r="C24" s="63" t="inlineStr">
        <is>
          <t>University of Manchester (Russell Group)</t>
        </is>
      </c>
      <c r="D24" s="63" t="inlineStr">
        <is>
          <t>Manchester (منچستر) — دومین قطب فناوری انگلستان</t>
        </is>
      </c>
      <c r="E24" s="69" t="inlineStr">
        <is>
          <t>متوسط — $1,390–1,790</t>
        </is>
      </c>
      <c r="F24" s="63" t="inlineStr">
        <is>
          <t>MSc Advanced Computer Science</t>
        </is>
      </c>
      <c r="G24" s="69" t="inlineStr">
        <is>
          <t>مهندسی نرم‌افزار / علوم کامپیوتر</t>
        </is>
      </c>
      <c r="H24" s="69" t="inlineStr">
        <is>
          <t>۱ سال</t>
        </is>
      </c>
      <c r="I24" s="69" t="inlineStr">
        <is>
          <t>$52,200 (ورودی ۲۰۲۶ رسمی؛ رقم ۲۰۲۷ هنوز اعلام نشده)</t>
        </is>
      </c>
      <c r="J24" s="69" t="inlineStr">
        <is>
          <t>$52,200</t>
        </is>
      </c>
      <c r="K24" s="110" t="inlineStr">
        <is>
          <t>$69–74k</t>
        </is>
      </c>
      <c r="L24" s="69" t="inlineStr">
        <is>
          <t>2:1 در CS — صفحهٔ رسمی ایرانِ Manchester: ارشد معمولاً ≥ ۱۴/۲۰ دانشگاه دولتی (۱۵ خصوصی)، ولی دپارتمان CS بالاتر از حداقل دانشگاه می‌خواهد و رتبهٔ کلاسی را می‌بیند → ۱۵.۷۷ مرزی</t>
        </is>
      </c>
      <c r="M24" s="69" t="inlineStr">
        <is>
          <t>6.5–7.0 (چک شود)</t>
        </is>
      </c>
      <c r="N24" s="69" t="inlineStr">
        <is>
          <t>35</t>
        </is>
      </c>
      <c r="O24" s="68" t="inlineStr">
        <is>
          <t>Target/Reach</t>
        </is>
      </c>
      <c r="P24" s="69" t="inlineStr">
        <is>
          <t>4/5 — بیشترین حجم آگهی در هر ۸ کشور؛
ورود جونیور از ۲۰۲۳ سخت‌تر شده — سابقهٔ کار شما مزیت است</t>
        </is>
      </c>
      <c r="Q24" s="69" t="inlineStr">
        <is>
          <t>مهلت‌های مرحله‌ای (≈ نوامبر / ژانویه / فوریه / می)؛
ودیعهٔ $3,310؛
بدون هزینهٔ درخواست؛
Global Futures Scholarship شامل ایران نیست؛
دومین قطب فناوری انگلستان</t>
        </is>
      </c>
      <c r="R24" s="111" t="inlineStr">
        <is>
          <t>https://www.manchester.ac.uk/study/masters/courses/list/</t>
        </is>
      </c>
    </row>
    <row r="25">
      <c r="A25" s="112" t="n">
        <v>24</v>
      </c>
      <c r="B25" s="109" t="inlineStr">
        <is>
          <t>انگلستان</t>
        </is>
      </c>
      <c r="C25" s="113" t="inlineStr">
        <is>
          <t>Durham University (Russell Group)</t>
        </is>
      </c>
      <c r="D25" s="113" t="inlineStr">
        <is>
          <t>Durham (دورهام) — شمال شرق؛
۱۵ دقیقه تا نیوکاسل</t>
        </is>
      </c>
      <c r="E25" s="114" t="inlineStr">
        <is>
          <t>ارزان تا متوسط — $1,260–1,590</t>
        </is>
      </c>
      <c r="F25" s="113" t="inlineStr">
        <is>
          <t>MSc Advanced Computer Science (و MSc Data Science)</t>
        </is>
      </c>
      <c r="G25" s="114" t="inlineStr">
        <is>
          <t>مهندسی نرم‌افزار / علوم کامپیوتر</t>
        </is>
      </c>
      <c r="H25" s="114" t="inlineStr">
        <is>
          <t>۱ سال</t>
        </is>
      </c>
      <c r="I25" s="113" t="inlineStr">
        <is>
          <t>$45,700 (2026 entry)</t>
        </is>
      </c>
      <c r="J25" s="114" t="inlineStr">
        <is>
          <t>$45,700</t>
        </is>
      </c>
      <c r="K25" s="110" t="inlineStr">
        <is>
          <t>$61–65k</t>
        </is>
      </c>
      <c r="L25" s="114" t="inlineStr">
        <is>
          <t>2:1 در CS — جدول رسمی Durham برای ایران: 1st ≥ ۱۷/۲۰، 2:1 = ۱۴–۱۶/۲۰، 2:2 = ۱۲–۱۳/۲۰ (دانشگاه باید در فهرست Ecctis باشد) → ۱۵.۷۷ ✓</t>
        </is>
      </c>
      <c r="M25" s="114" t="inlineStr">
        <is>
          <t>6.5 (هر بخش ≥ 6.0)</t>
        </is>
      </c>
      <c r="N25" s="114">
        <f>94</f>
        <v/>
      </c>
      <c r="O25" s="40" t="inlineStr">
        <is>
          <t>Target</t>
        </is>
      </c>
      <c r="P25" s="114" t="inlineStr">
        <is>
          <t>4/5 — بیشترین حجم آگهی در هر ۸ کشور؛
ورود جونیور از ۲۰۲۳ سخت‌تر شده — سابقهٔ کار شما مزیت است</t>
        </is>
      </c>
      <c r="Q25" s="113" t="inlineStr">
        <is>
          <t>QS 2027 ≈ 94
High Fliers 2025: دهم
ارزان‌ترین شهرِ این فهرست؛
۱۵ دقیقه تا نیوکاسل؛
خوابگاه ارشد تضمینی نیست</t>
        </is>
      </c>
      <c r="R25" s="115" t="inlineStr">
        <is>
          <t>https://www.durham.ac.uk/study/courses/advanced-computer-science-g5t609/</t>
        </is>
      </c>
    </row>
    <row r="26">
      <c r="A26" s="66" t="n">
        <v>25</v>
      </c>
      <c r="B26" s="109" t="inlineStr">
        <is>
          <t>انگلستان</t>
        </is>
      </c>
      <c r="C26" s="63" t="inlineStr">
        <is>
          <t>Imperial College London (Russell Group)</t>
        </is>
      </c>
      <c r="D26" s="63" t="inlineStr">
        <is>
          <t>London – مرکز (South Kensington / Bloomsbury / Strand؛ Imperial، UCL، KCL)</t>
        </is>
      </c>
      <c r="E26" s="69" t="inlineStr">
        <is>
          <t>خیلی گران — $2,120–2,520 (برآورد خود Imperial: $21.7–22.5k برای ۹ ماه)</t>
        </is>
      </c>
      <c r="F26" s="63" t="inlineStr">
        <is>
          <t>MSc Computing (Artificial Intelligence and Machine Learning) / MSc Computing</t>
        </is>
      </c>
      <c r="G26" s="69" t="inlineStr">
        <is>
          <t>هوش مصنوعی / یادگیری ماشین</t>
        </is>
      </c>
      <c r="H26" s="69" t="inlineStr">
        <is>
          <t>۱ سال</t>
        </is>
      </c>
      <c r="I26" s="69" t="inlineStr">
        <is>
          <t>$61,000 (2026/27 رسمی؛ 2027/28 هنوز اعلام نشده)</t>
        </is>
      </c>
      <c r="J26" s="69" t="inlineStr">
        <is>
          <t>$61,000</t>
        </is>
      </c>
      <c r="K26" s="110" t="inlineStr">
        <is>
          <t>$86–91k</t>
        </is>
      </c>
      <c r="L26" s="63" t="inlineStr">
        <is>
          <t>First-class honours در رشته‌ای با محتوای قابل توجه Computing — برای مدرک ایرانی ≥ ۱۷–۱۸/۲۰ → با ۱۵.۷۷ رسماً واجد شرایط نیستید</t>
        </is>
      </c>
      <c r="M26" s="63" t="inlineStr">
        <is>
          <t>7.0 (higher requirement؛ هر بخش ≥ 6.5)</t>
        </is>
      </c>
      <c r="N26" s="69">
        <f>2</f>
        <v/>
      </c>
      <c r="O26" s="116" t="inlineStr">
        <is>
          <t>Reach</t>
        </is>
      </c>
      <c r="P26" s="69" t="inlineStr">
        <is>
          <t>5/5 — داغ‌ترین بازار؛
«AI Engineer» سریع‌ترین‌رشد (LinkedIn 2026)؛
ولی برنامه‌های ریاضی‌محور (Tübingen، UvA، KTH) بسیار رقابتی‌اند</t>
        </is>
      </c>
      <c r="Q26" s="63" t="inlineStr">
        <is>
          <t>QS 2027 #2
LEO: میانهٔ درآمد فارغ‌التحصیلان Computing پنج سال بعد $105,500
دورهای ۲۰۲۷: ۶ ژانویه / ۱۰ مارس / ۲۸ آوریل
Imperial Inspires $19,900 (رقابتی)
❌ عملاً بسته برای معدل شما</t>
        </is>
      </c>
      <c r="R26" s="111" t="inlineStr">
        <is>
          <t>https://www.imperial.ac.uk/study/courses/postgraduate-taught/computing-artificial-intelligence-msc/</t>
        </is>
      </c>
    </row>
    <row r="27">
      <c r="A27" s="112" t="n">
        <v>26</v>
      </c>
      <c r="B27" s="109" t="inlineStr">
        <is>
          <t>انگلستان</t>
        </is>
      </c>
      <c r="C27" s="113" t="inlineStr">
        <is>
          <t>UCL – University College London (Russell Group)</t>
        </is>
      </c>
      <c r="D27" s="113" t="inlineStr">
        <is>
          <t>London – مرکز (South Kensington / Bloomsbury / Strand؛ Imperial، UCL، KCL)</t>
        </is>
      </c>
      <c r="E27" s="114" t="inlineStr">
        <is>
          <t>خیلی گران — $2,120–2,520 (برآورد خود Imperial: $21.7–22.5k برای ۹ ماه)</t>
        </is>
      </c>
      <c r="F27" s="113" t="inlineStr">
        <is>
          <t>MSc Software Systems Engineering / MSc Machine Learning (MSc Computer Science تبدیلی است و برای فارغ‌التحصیل CS باز نیست)</t>
        </is>
      </c>
      <c r="G27" s="114" t="inlineStr">
        <is>
          <t>مهندسی نرم‌افزار / علوم کامپیوتر</t>
        </is>
      </c>
      <c r="H27" s="114" t="inlineStr">
        <is>
          <t>۱ سال</t>
        </is>
      </c>
      <c r="I27" s="114" t="inlineStr">
        <is>
          <t>≈ $56,600–61,900 (2026/27؛ MSc Computer Science رسماً $56,600)</t>
        </is>
      </c>
      <c r="J27" s="114" t="inlineStr">
        <is>
          <t>$56,600–61,900</t>
        </is>
      </c>
      <c r="K27" s="110" t="inlineStr">
        <is>
          <t>$82–92k</t>
        </is>
      </c>
      <c r="L27" s="113" t="inlineStr">
        <is>
          <t>2:1 (upper second) — جدول تطبیق ایرانِ UCL را نتوانستم رسمی تأیید کنم (معمولاً ۱۵–۱۶/۲۰)؛
ریاضی قوی؛
هزینهٔ درخواست $120؛
ودیعهٔ ۱۰٪ شهریه</t>
        </is>
      </c>
      <c r="M27" s="113" t="inlineStr">
        <is>
          <t>7.0 (Level 2؛ هر بخش ≥ 6.5)</t>
        </is>
      </c>
      <c r="N27" s="114">
        <f>9</f>
        <v/>
      </c>
      <c r="O27" s="116" t="inlineStr">
        <is>
          <t>Reach</t>
        </is>
      </c>
      <c r="P27" s="114" t="inlineStr">
        <is>
          <t>4/5 — بیشترین حجم آگهی در هر ۸ کشور؛
ورود جونیور از ۲۰۲۳ سخت‌تر شده — سابقهٔ کار شما مزیت است</t>
        </is>
      </c>
      <c r="Q27" s="113" t="inlineStr">
        <is>
          <t>QS 2027 #9
High Fliers 2026: پنجمین دانشگاه هدف کارفرمایان بزرگ
لندن گران‌ترین زندگی
با ۱۵.۷۷ مرزی-پایین</t>
        </is>
      </c>
      <c r="R27" s="115" t="inlineStr">
        <is>
          <t>https://www.ucl.ac.uk/prospective-students/graduate/taught-degrees/computer-science-msc-2026</t>
        </is>
      </c>
    </row>
    <row r="28">
      <c r="A28" s="66" t="n">
        <v>27</v>
      </c>
      <c r="B28" s="109" t="inlineStr">
        <is>
          <t>انگلستان</t>
        </is>
      </c>
      <c r="C28" s="63" t="inlineStr">
        <is>
          <t>King's College London (Russell Group)</t>
        </is>
      </c>
      <c r="D28" s="63" t="inlineStr">
        <is>
          <t>London – مرکز (South Kensington / Bloomsbury / Strand؛ Imperial، UCL، KCL)</t>
        </is>
      </c>
      <c r="E28" s="69" t="inlineStr">
        <is>
          <t>خیلی گران — $2,120–2,520 (برآورد خود Imperial: $21.7–22.5k برای ۹ ماه)</t>
        </is>
      </c>
      <c r="F28" s="63" t="inlineStr">
        <is>
          <t>MSc Advanced Computing / MSc Artificial Intelligence</t>
        </is>
      </c>
      <c r="G28" s="69" t="inlineStr">
        <is>
          <t>مهندسی نرم‌افزار / علوم کامپیوتر</t>
        </is>
      </c>
      <c r="H28" s="69" t="inlineStr">
        <is>
          <t>۱ سال</t>
        </is>
      </c>
      <c r="I28" s="69" t="inlineStr">
        <is>
          <t>$53,600 (2026)</t>
        </is>
      </c>
      <c r="J28" s="69" t="inlineStr">
        <is>
          <t>$53,600</t>
        </is>
      </c>
      <c r="K28" s="110" t="inlineStr">
        <is>
          <t>$79–84k</t>
        </is>
      </c>
      <c r="L28" s="63" t="inlineStr">
        <is>
          <t>«high 2:1» = ۶۵٪ — جدول رسمی KCL برای ایران: ۱۷/۲۰ (2:1 معمولی = ۱۵/۲۰، First = ۱۸/۲۰) → با ۱۵.۷۷ زیر خط، مگر با سابقهٔ کار قابل توجه</t>
        </is>
      </c>
      <c r="M28" s="69" t="inlineStr">
        <is>
          <t>7.0 (هر بخش ≥ 6.5)</t>
        </is>
      </c>
      <c r="N28" s="69">
        <f>31</f>
        <v/>
      </c>
      <c r="O28" s="116" t="inlineStr">
        <is>
          <t>Reach</t>
        </is>
      </c>
      <c r="P28" s="69" t="inlineStr">
        <is>
          <t>4/5 — بیشترین حجم آگهی در هر ۸ کشور؛
ورود جونیور از ۲۰۲۳ سخت‌تر شده — سابقهٔ کار شما مزیت است</t>
        </is>
      </c>
      <c r="Q28" s="63" t="inlineStr">
        <is>
          <t>QS 2027 ≈ 31
Strand، مرکز لندن
نیاز به ۱۷/۲۰ یعنی «high 2:1» — سابقهٔ کار ۲ ساله ممکن است جبران کند (خود KCL این را می‌گوید)، ولی امیدوار نباشید</t>
        </is>
      </c>
      <c r="R28" s="111" t="inlineStr">
        <is>
          <t>https://www.kcl.ac.uk/study-legacy/postgraduate/apply/entry-requirements/international</t>
        </is>
      </c>
    </row>
    <row r="29">
      <c r="A29" s="112" t="n">
        <v>28</v>
      </c>
      <c r="B29" s="109" t="inlineStr">
        <is>
          <t>انگلستان</t>
        </is>
      </c>
      <c r="C29" s="113" t="inlineStr">
        <is>
          <t>University of Warwick (Russell Group)</t>
        </is>
      </c>
      <c r="D29" s="113" t="inlineStr">
        <is>
          <t>Coventry (کاونتری) — کمپوس Warwick؛ میدلندز</t>
        </is>
      </c>
      <c r="E29" s="114" t="inlineStr">
        <is>
          <t>متوسط — $1,330–1,660</t>
        </is>
      </c>
      <c r="F29" s="113" t="inlineStr">
        <is>
          <t>MSc Computer Science</t>
        </is>
      </c>
      <c r="G29" s="114" t="inlineStr">
        <is>
          <t>مهندسی نرم‌افزار / علوم کامپیوتر</t>
        </is>
      </c>
      <c r="H29" s="114" t="inlineStr">
        <is>
          <t>۱ سال</t>
        </is>
      </c>
      <c r="I29" s="113" t="inlineStr">
        <is>
          <t>$49,600 (2026 entry)</t>
        </is>
      </c>
      <c r="J29" s="114" t="inlineStr">
        <is>
          <t>$49,600</t>
        </is>
      </c>
      <c r="K29" s="110" t="inlineStr">
        <is>
          <t>$66–70k</t>
        </is>
      </c>
      <c r="L29" s="114" t="inlineStr">
        <is>
          <t>2:1 — جدول رسمی Warwick برای ایران: 1st = ۱۷/۲۰، 2:1 = ۱۵/۲۰، 2:2 = ۱۳/۲۰ → ۱۵.۷۷ ✓ (پذیرش PGT ≈ ۲۲٪، رقابتی)</t>
        </is>
      </c>
      <c r="M29" s="114" t="inlineStr">
        <is>
          <t>7.0 (اکثر PGT؛ بعضی 6.5)</t>
        </is>
      </c>
      <c r="N29" s="114">
        <f>69</f>
        <v/>
      </c>
      <c r="O29" s="68" t="inlineStr">
        <is>
          <t>Target/Reach</t>
        </is>
      </c>
      <c r="P29" s="114" t="inlineStr">
        <is>
          <t>4/5 — بیشترین حجم آگهی در هر ۸ کشور؛
ورود جونیور از ۲۰۲۳ سخت‌تر شده — سابقهٔ کار شما مزیت است</t>
        </is>
      </c>
      <c r="Q29" s="113" t="inlineStr">
        <is>
          <t>QS 2027 ≈ 69
High Fliers 2026: چهارمین دانشگاه هدف کارفرمایان
Coventry ارزان‌تر از لندن
هزینهٔ درخواست $99، ودیعهٔ $3,310
واقع‌بینانه‌ترین «برند بزرگ» برای معدل شما</t>
        </is>
      </c>
      <c r="R29" s="115" t="inlineStr">
        <is>
          <t>https://warwick.ac.uk/study/international/countryinformation/middleeast/iran/</t>
        </is>
      </c>
    </row>
    <row r="30">
      <c r="A30" s="66" t="n">
        <v>29</v>
      </c>
      <c r="B30" s="109" t="inlineStr">
        <is>
          <t>انگلستان</t>
        </is>
      </c>
      <c r="C30" s="63" t="inlineStr">
        <is>
          <t>University of Bristol (Russell Group)</t>
        </is>
      </c>
      <c r="D30" s="63" t="inlineStr">
        <is>
          <t>Bristol (بریستول) — جنوب غرب؛
قطب فناوری/هوافضا</t>
        </is>
      </c>
      <c r="E30" s="69" t="inlineStr">
        <is>
          <t>گران — $1,590–1,920</t>
        </is>
      </c>
      <c r="F30" s="63" t="inlineStr">
        <is>
          <t>MSc Data Science (برای فارغ‌التحصیل CS/مهندسی؛ MSc Computer Science بریستول تبدیلی است)</t>
        </is>
      </c>
      <c r="G30" s="69" t="inlineStr">
        <is>
          <t>علم داده / تحلیل داده</t>
        </is>
      </c>
      <c r="H30" s="69" t="inlineStr">
        <is>
          <t>۱ سال</t>
        </is>
      </c>
      <c r="I30" s="69" t="inlineStr">
        <is>
          <t>$50,200 (2027/28 رسمی — ورودی سپتامبر ۲۰۲۷)</t>
        </is>
      </c>
      <c r="J30" s="69" t="inlineStr">
        <is>
          <t>$50,200</t>
        </is>
      </c>
      <c r="K30" s="110" t="inlineStr">
        <is>
          <t>$69–73k</t>
        </is>
      </c>
      <c r="L30" s="63" t="inlineStr">
        <is>
          <t>«strong 2:1 (۶۵٪+)» در CS/مهندسی/علوم عددی؛
صفحهٔ ایرانِ بریستول: کارشناسی ۴ ساله از دانشگاه مورد تأیید با حداقل ۱۵/۲۰ → ۱۵.۷۷ حداقل را رد می‌کند ولی «strong» نیست</t>
        </is>
      </c>
      <c r="M30" s="63" t="inlineStr">
        <is>
          <t>6.5 (Profile E) — چک شود</t>
        </is>
      </c>
      <c r="N30" s="69">
        <f>54</f>
        <v/>
      </c>
      <c r="O30" s="116" t="inlineStr">
        <is>
          <t>Reach</t>
        </is>
      </c>
      <c r="P30" s="69" t="inlineStr">
        <is>
          <t>3/5 — بازار ارشد/سینیور خوب، ولی سطح جونیور اشباع (ده‌ها هزار فارغ‌التحصیل مشابه)؛
Data Engineer کم‌رقابت‌تر از Data Scientist</t>
        </is>
      </c>
      <c r="Q30" s="63" t="inlineStr">
        <is>
          <t>QS 2027 ≈ 54
LEO: میانهٔ Computing پنج سال بعد $93,100
High Fliers: پنجم (۲۰۲۵)
Think Big Scholarship (رقابتی)
با ۱۵.۷۷ Reach</t>
        </is>
      </c>
      <c r="R30" s="111" t="inlineStr">
        <is>
          <t>https://www.bristol.ac.uk/study/postgraduate/taught/msc-data-science/</t>
        </is>
      </c>
    </row>
    <row r="31">
      <c r="A31" s="117" t="n">
        <v>30</v>
      </c>
      <c r="B31" s="118" t="inlineStr">
        <is>
          <t>سوئیس</t>
        </is>
      </c>
      <c r="C31" s="119" t="inlineStr">
        <is>
          <t>USI – Università della Svizzera italiana</t>
        </is>
      </c>
      <c r="D31" s="119" t="inlineStr">
        <is>
          <t>Lugano (لوگانو) — تیچینو، ایتالیایی‌زبان؛
IDSIA؛
ارزان‌ترین شهر دانشگاهی سوئیس</t>
        </is>
      </c>
      <c r="E31" s="120" t="inlineStr">
        <is>
          <t>گران — $1,690–2,180</t>
        </is>
      </c>
      <c r="F31" s="119" t="inlineStr">
        <is>
          <t>MSc Informatics (گرایش‌ها: Artificial Intelligence، Software Development، Systems…)</t>
        </is>
      </c>
      <c r="G31" s="120" t="inlineStr">
        <is>
          <t>مهندسی نرم‌افزار / علوم کامپیوتر</t>
        </is>
      </c>
      <c r="H31" s="120" t="inlineStr">
        <is>
          <t>۲ سال (120 ECTS)</t>
        </is>
      </c>
      <c r="I31" s="120" t="inlineStr">
        <is>
          <t>$4,840 در ترم برای غیرمقیم سوئیس ($9,680/سال)</t>
        </is>
      </c>
      <c r="J31" s="120" t="inlineStr">
        <is>
          <t>$19,400</t>
        </is>
      </c>
      <c r="K31" s="121" t="inlineStr">
        <is>
          <t>$60–72k</t>
        </is>
      </c>
      <c r="L31" s="120" t="inlineStr">
        <is>
          <t>کارشناسی CS/مرتبط؛
فارغ‌التحصیل UAS با ۳۰–۶۰ ECTS تکمیلی؛
بررسی موردی</t>
        </is>
      </c>
      <c r="M31" s="119" t="inlineStr">
        <is>
          <t>B2 در ورود (IELTS 5.5) → C1 (7.0) تا فارغ‌التحصیلی</t>
        </is>
      </c>
      <c r="N31" s="120">
        <f>456</f>
        <v/>
      </c>
      <c r="O31" s="122" t="inlineStr">
        <is>
          <t>Target</t>
        </is>
      </c>
      <c r="P31" s="120" t="inlineStr">
        <is>
          <t>4/5 — بیشترین حجم آگهی در هر ۸ کشور؛
ورود جونیور از ۲۰۲۳ سخت‌تر شده — سابقهٔ کار شما مزیت است</t>
        </is>
      </c>
      <c r="Q31" s="120" t="inlineStr">
        <is>
          <t>کم‌شرط‌ترین ورود سوئیس؛
Lugano ارزان‌ترین شهر دانشگاهی سوئیس؛
مهلت غیر-EU ۳۰ آوریل ۲۰۲۷؛
زبان شهر ایتالیایی</t>
        </is>
      </c>
      <c r="R31" s="123" t="inlineStr">
        <is>
          <t>https://www.usi.ch/en/education/master/informatics</t>
        </is>
      </c>
    </row>
    <row r="32">
      <c r="A32" s="66" t="n">
        <v>31</v>
      </c>
      <c r="B32" s="124" t="inlineStr">
        <is>
          <t>سوئیس</t>
        </is>
      </c>
      <c r="C32" s="63" t="inlineStr">
        <is>
          <t>USI – Università della Svizzera italiana</t>
        </is>
      </c>
      <c r="D32" s="63" t="inlineStr">
        <is>
          <t>Lugano (لوگانو) — تیچینو، ایتالیایی‌زبان؛
IDSIA؛
ارزان‌ترین شهر دانشگاهی سوئیس</t>
        </is>
      </c>
      <c r="E32" s="69" t="inlineStr">
        <is>
          <t>گران — $1,690–2,180</t>
        </is>
      </c>
      <c r="F32" s="63" t="inlineStr">
        <is>
          <t>MSc Artificial Intelligence (با IDSIA)</t>
        </is>
      </c>
      <c r="G32" s="69" t="inlineStr">
        <is>
          <t>هوش مصنوعی / یادگیری ماشین</t>
        </is>
      </c>
      <c r="H32" s="69" t="inlineStr">
        <is>
          <t>۲ سال (120 ECTS)</t>
        </is>
      </c>
      <c r="I32" s="69" t="inlineStr">
        <is>
          <t>$4,840 در ترم برای غیرمقیم ($9,680/سال)</t>
        </is>
      </c>
      <c r="J32" s="69" t="inlineStr">
        <is>
          <t>$19,400</t>
        </is>
      </c>
      <c r="K32" s="110" t="inlineStr">
        <is>
          <t>$60–72k</t>
        </is>
      </c>
      <c r="L32" s="69" t="inlineStr">
        <is>
          <t>کارشناسی CS/مرتبط با ریاضی و برنامه‌نویسی قوی؛
بررسی موردی</t>
        </is>
      </c>
      <c r="M32" s="63" t="inlineStr">
        <is>
          <t>6.5 (B2؛ C1 تا پایان دوره)</t>
        </is>
      </c>
      <c r="N32" s="69">
        <f>456</f>
        <v/>
      </c>
      <c r="O32" s="40" t="inlineStr">
        <is>
          <t>Target</t>
        </is>
      </c>
      <c r="P32" s="69" t="inlineStr">
        <is>
          <t>5/5 — داغ‌ترین بازار؛
«AI Engineer» سریع‌ترین‌رشد (LinkedIn 2026)؛
ولی برنامه‌های ریاضی‌محور (Tübingen، UvA، KTH) بسیار رقابتی‌اند</t>
        </is>
      </c>
      <c r="Q32" s="69" t="inlineStr">
        <is>
          <t>اولین ارشد AI سوئیس؛
IDSIA (آزمایشگاه Schmidhuber/LSTM)؛
رقابتی‌تر از Informatics</t>
        </is>
      </c>
      <c r="R32" s="111" t="inlineStr">
        <is>
          <t>https://www.usi.ch/en/education/master/artificial-intelligence</t>
        </is>
      </c>
    </row>
    <row r="33">
      <c r="A33" s="112" t="n">
        <v>32</v>
      </c>
      <c r="B33" s="124" t="inlineStr">
        <is>
          <t>سوئیس</t>
        </is>
      </c>
      <c r="C33" s="113" t="inlineStr">
        <is>
          <t>USI – Università della Svizzera italiana</t>
        </is>
      </c>
      <c r="D33" s="113" t="inlineStr">
        <is>
          <t>Lugano (لوگانو) — تیچینو، ایتالیایی‌زبان؛
IDSIA؛
ارزان‌ترین شهر دانشگاهی سوئیس</t>
        </is>
      </c>
      <c r="E33" s="114" t="inlineStr">
        <is>
          <t>گران — $1,690–2,180</t>
        </is>
      </c>
      <c r="F33" s="113" t="inlineStr">
        <is>
          <t>MSc Software and Data Engineering</t>
        </is>
      </c>
      <c r="G33" s="114" t="inlineStr">
        <is>
          <t>علم داده / تحلیل داده</t>
        </is>
      </c>
      <c r="H33" s="114" t="inlineStr">
        <is>
          <t>۲ سال (120 ECTS)</t>
        </is>
      </c>
      <c r="I33" s="114" t="inlineStr">
        <is>
          <t>$4,840 در ترم برای غیرمقیم ($9,680/سال)</t>
        </is>
      </c>
      <c r="J33" s="114" t="inlineStr">
        <is>
          <t>$19,400</t>
        </is>
      </c>
      <c r="K33" s="110" t="inlineStr">
        <is>
          <t>$60–72k</t>
        </is>
      </c>
      <c r="L33" s="114" t="inlineStr">
        <is>
          <t>کارشناسی CS/مرتبط</t>
        </is>
      </c>
      <c r="M33" s="113" t="inlineStr">
        <is>
          <t>B2 → C1</t>
        </is>
      </c>
      <c r="N33" s="114">
        <f>456</f>
        <v/>
      </c>
      <c r="O33" s="40" t="inlineStr">
        <is>
          <t>Target</t>
        </is>
      </c>
      <c r="P33" s="114" t="inlineStr">
        <is>
          <t>3/5 — بازار ارشد/سینیور خوب، ولی سطح جونیور اشباع (ده‌ها هزار فارغ‌التحصیل مشابه)؛
Data Engineer کم‌رقابت‌تر از Data Scientist</t>
        </is>
      </c>
      <c r="Q33" s="114" t="inlineStr">
        <is>
          <t>ترکیب مهندسی نرم‌افزار + مهندسی داده (Data Engineering — همان توصیهٔ شیت حوزه‌ها)؛
کم‌رقابت‌تر از AI</t>
        </is>
      </c>
      <c r="R33" s="115" t="inlineStr">
        <is>
          <t>https://www.usi.ch/en/education/master/software-and-data-engineering</t>
        </is>
      </c>
    </row>
    <row r="34">
      <c r="A34" s="66" t="n">
        <v>33</v>
      </c>
      <c r="B34" s="124" t="inlineStr">
        <is>
          <t>سوئیس</t>
        </is>
      </c>
      <c r="C34" s="63" t="inlineStr">
        <is>
          <t>Hochschule Luzern (HSLU)</t>
        </is>
      </c>
      <c r="D34" s="63" t="inlineStr">
        <is>
          <t>Lucerne / Luzern (لوسرن) — مرکز سوئیس، ۴۵ دقیقه تا زوریخ</t>
        </is>
      </c>
      <c r="E34" s="69" t="inlineStr">
        <is>
          <t>گران — $1,880–2,360</t>
        </is>
      </c>
      <c r="F34" s="63" t="inlineStr">
        <is>
          <t>MSc Applied Data Science and AI (نام جدید از اوت ۲۰۲۶؛ قبلاً Applied Information and Data Science)</t>
        </is>
      </c>
      <c r="G34" s="69" t="inlineStr">
        <is>
          <t>علم داده / تحلیل داده</t>
        </is>
      </c>
      <c r="H34" s="69" t="inlineStr">
        <is>
          <t>۲ سال (120 ECTS؛ معمولاً ۴ ترم، قابل تمدید تا ۸)</t>
        </is>
      </c>
      <c r="I34" s="69" t="inlineStr">
        <is>
          <t>$1,570 در ترم (خارجی) + ≈ $335 هزینهٔ جانبی ≈ $3,810/سال؛
هزینهٔ درخواست $305</t>
        </is>
      </c>
      <c r="J34" s="69" t="inlineStr">
        <is>
          <t>$7,620</t>
        </is>
      </c>
      <c r="K34" s="110" t="inlineStr">
        <is>
          <t>$53–64k</t>
        </is>
      </c>
      <c r="L34" s="69" t="inlineStr">
        <is>
          <t>هر کارشناسی (دانشگاه یا UAS)؛
آزمون انگلیسی + آزمون استعداد HSLU</t>
        </is>
      </c>
      <c r="M34" s="63" t="inlineStr">
        <is>
          <t>C1 (B2 مشروط)</t>
        </is>
      </c>
      <c r="N34" s="69" t="inlineStr">
        <is>
          <t>—</t>
        </is>
      </c>
      <c r="O34" s="74" t="inlineStr">
        <is>
          <t>Safe/Target</t>
        </is>
      </c>
      <c r="P34" s="69" t="inlineStr">
        <is>
          <t>3/5 — بازار ارشد/سینیور خوب، ولی سطح جونیور اشباع (ده‌ها هزار فارغ‌التحصیل مشابه)؛
Data Engineer کم‌رقابت‌تر از Data Scientist</t>
        </is>
      </c>
      <c r="Q34" s="69"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4" s="111" t="inlineStr">
        <is>
          <t>https://www.hslu.ch/en/lucerne-school-of-business/degree-programmes/master/applied-data-science-and-ai/</t>
        </is>
      </c>
    </row>
    <row r="35">
      <c r="A35" s="112" t="n">
        <v>34</v>
      </c>
      <c r="B35" s="124" t="inlineStr">
        <is>
          <t>سوئیس</t>
        </is>
      </c>
      <c r="C35" s="113" t="inlineStr">
        <is>
          <t>University of Bern</t>
        </is>
      </c>
      <c r="D35" s="113" t="inlineStr">
        <is>
          <t>Bern (برن) — پایتخت؛ آلمانی‌زبان</t>
        </is>
      </c>
      <c r="E35" s="114" t="inlineStr">
        <is>
          <t>گران — $1,940–2,420</t>
        </is>
      </c>
      <c r="F35" s="113" t="inlineStr">
        <is>
          <t>Swiss Joint MSc Computer Science (Bern / Neuchâtel / Fribourg)</t>
        </is>
      </c>
      <c r="G35" s="114" t="inlineStr">
        <is>
          <t>مهندسی نرم‌افزار / علوم کامپیوتر</t>
        </is>
      </c>
      <c r="H35" s="114" t="inlineStr">
        <is>
          <t>۱.۵ سال (90 ECTS)</t>
        </is>
      </c>
      <c r="I35" s="114" t="inlineStr">
        <is>
          <t>$3,160 در ترم برای خارجی‌ها از پاییز ۲۰۲۶ (پایه $1,030 + اضافهٔ غیرسوئیسی‌ها $2,060 + جانبی $71) ≈ $6,290/سال</t>
        </is>
      </c>
      <c r="J35" s="114" t="inlineStr">
        <is>
          <t>$9,470</t>
        </is>
      </c>
      <c r="K35" s="110" t="inlineStr">
        <is>
          <t>$44–53k</t>
        </is>
      </c>
      <c r="L35" s="114" t="inlineStr">
        <is>
          <t>کارشناسی Computer Science یا معادل (بررسی موردی؛ حداکثر ۶۰ ECTS تکمیلی — دروس تکمیلی ممکن است آلمانی/فرانسه باشند)</t>
        </is>
      </c>
      <c r="M35" s="114" t="inlineStr">
        <is>
          <t>بدون آزمون (B2 توصیه — FAQ رسمی)</t>
        </is>
      </c>
      <c r="N35" s="114">
        <f>191</f>
        <v/>
      </c>
      <c r="O35" s="40" t="inlineStr">
        <is>
          <t>Target</t>
        </is>
      </c>
      <c r="P35" s="114" t="inlineStr">
        <is>
          <t>4/5 — بیشترین حجم آگهی در هر ۸ کشور؛
ورود جونیور از ۲۰۲۳ سخت‌تر شده — سابقهٔ کار شما مزیت است</t>
        </is>
      </c>
      <c r="Q35" s="125"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5" s="115" t="inlineStr">
        <is>
          <t>https://www.philnat.unibe.ch/studies/study_programs/master_s_in_computer_science/index_eng.html</t>
        </is>
      </c>
    </row>
    <row r="36">
      <c r="A36" s="66" t="n">
        <v>35</v>
      </c>
      <c r="B36" s="124" t="inlineStr">
        <is>
          <t>سوئیس</t>
        </is>
      </c>
      <c r="C36" s="63" t="inlineStr">
        <is>
          <t>University of Neuchâtel</t>
        </is>
      </c>
      <c r="D36" s="63" t="inlineStr">
        <is>
          <t>Neuchâtel (نوشاتل) — فرانسه‌زبان؛
کنار دریاچه؛
۳۵ دقیقه تا برن</t>
        </is>
      </c>
      <c r="E36" s="69" t="inlineStr">
        <is>
          <t>متوسط تا گران — $1,630–2,120</t>
        </is>
      </c>
      <c r="F36" s="63" t="inlineStr">
        <is>
          <t>Swiss Joint MSc Computer Science (ثبت‌نام در Neuchâtel)</t>
        </is>
      </c>
      <c r="G36" s="69" t="inlineStr">
        <is>
          <t>مهندسی نرم‌افزار / علوم کامپیوتر</t>
        </is>
      </c>
      <c r="H36" s="69" t="inlineStr">
        <is>
          <t>۱.۵ سال (90 ECTS)</t>
        </is>
      </c>
      <c r="I36" s="69" t="inlineStr">
        <is>
          <t>$955 در ترم (خارجی؛ شامل همهٔ هزینه‌ها) = $1,910/سال</t>
        </is>
      </c>
      <c r="J36" s="69" t="inlineStr">
        <is>
          <t>$2,870</t>
        </is>
      </c>
      <c r="K36" s="110" t="inlineStr">
        <is>
          <t>$32–41k</t>
        </is>
      </c>
      <c r="L36" s="69" t="inlineStr">
        <is>
          <t>کارشناسی CS یا معادل (بررسی موردی؛ حداکثر ۶۰ ECTS تکمیلی)</t>
        </is>
      </c>
      <c r="M36" s="69" t="inlineStr">
        <is>
          <t>بدون آزمون (B2 توصیه — FAQ رسمی)</t>
        </is>
      </c>
      <c r="N36" s="69" t="inlineStr">
        <is>
          <t>—</t>
        </is>
      </c>
      <c r="O36" s="40" t="inlineStr">
        <is>
          <t>Target</t>
        </is>
      </c>
      <c r="P36" s="69" t="inlineStr">
        <is>
          <t>4/5 — بیشترین حجم آگهی در هر ۸ کشور؛
ورود جونیور از ۲۰۲۳ سخت‌تر شده — سابقهٔ کار شما مزیت است</t>
        </is>
      </c>
      <c r="Q36" s="69"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6" s="111" t="inlineStr">
        <is>
          <t>https://mcs.unibnf.ch/</t>
        </is>
      </c>
    </row>
    <row r="37">
      <c r="A37" s="112" t="n">
        <v>36</v>
      </c>
      <c r="B37" s="124" t="inlineStr">
        <is>
          <t>سوئیس</t>
        </is>
      </c>
      <c r="C37" s="113" t="inlineStr">
        <is>
          <t>University of Fribourg</t>
        </is>
      </c>
      <c r="D37" s="113" t="inlineStr">
        <is>
          <t>Fribourg (فریبورگ) — دوزبانه (آلمانی/فرانسه)</t>
        </is>
      </c>
      <c r="E37" s="114" t="inlineStr">
        <is>
          <t>گران — $1,750–2,180</t>
        </is>
      </c>
      <c r="F37" s="113" t="inlineStr">
        <is>
          <t>Swiss Joint MSc Computer Science (ثبت‌نام در Fribourg)</t>
        </is>
      </c>
      <c r="G37" s="114" t="inlineStr">
        <is>
          <t>مهندسی نرم‌افزار / علوم کامپیوتر</t>
        </is>
      </c>
      <c r="H37" s="114" t="inlineStr">
        <is>
          <t>۱.۵ سال (90 ECTS)</t>
        </is>
      </c>
      <c r="I37" s="114" t="inlineStr">
        <is>
          <t>$1,190 در ترم (خارجی؛ رسمی؛ شامل $140 اضافهٔ خارجی‌ها) = $2,380/سال</t>
        </is>
      </c>
      <c r="J37" s="114" t="inlineStr">
        <is>
          <t>$3,580</t>
        </is>
      </c>
      <c r="K37" s="110" t="inlineStr">
        <is>
          <t>$35–43k</t>
        </is>
      </c>
      <c r="L37" s="114" t="inlineStr">
        <is>
          <t>کارشناسی CS یا معادل (بررسی موردی؛ حداکثر ۶۰ ECTS تکمیلی)</t>
        </is>
      </c>
      <c r="M37" s="114" t="inlineStr">
        <is>
          <t>بدون آزمون (B2 توصیه — FAQ رسمی)</t>
        </is>
      </c>
      <c r="N37" s="114">
        <f>670</f>
        <v/>
      </c>
      <c r="O37" s="40" t="inlineStr">
        <is>
          <t>Target</t>
        </is>
      </c>
      <c r="P37" s="114" t="inlineStr">
        <is>
          <t>4/5 — بیشترین حجم آگهی در هر ۸ کشور؛
ورود جونیور از ۲۰۲۳ سخت‌تر شده — سابقهٔ کار شما مزیت است</t>
        </is>
      </c>
      <c r="Q37" s="114" t="inlineStr">
        <is>
          <t>همان برنامهٔ مشترک Bern/Neuchâtel؛
شهر دوزبانه و ارزان‌تر؛
⚠️ مهلت ویزایی‌ها ۱–۲۸ فوریه ۲۰۲۷ (رسمی unifr.ch)</t>
        </is>
      </c>
      <c r="R37" s="115" t="inlineStr">
        <is>
          <t>https://www.unifr.ch/inf/en/</t>
        </is>
      </c>
    </row>
    <row r="38">
      <c r="A38" s="66" t="n">
        <v>37</v>
      </c>
      <c r="B38" s="124" t="inlineStr">
        <is>
          <t>سوئیس</t>
        </is>
      </c>
      <c r="C38" s="63" t="inlineStr">
        <is>
          <t>University of Basel</t>
        </is>
      </c>
      <c r="D38" s="63" t="inlineStr">
        <is>
          <t>Basel (بازل) — Roche، Novartis؛
مرز آلمان/فرانسه</t>
        </is>
      </c>
      <c r="E38" s="69" t="inlineStr">
        <is>
          <t>گران — $1,940–2,540</t>
        </is>
      </c>
      <c r="F38" s="63" t="inlineStr">
        <is>
          <t>MSc Computer Science</t>
        </is>
      </c>
      <c r="G38" s="69" t="inlineStr">
        <is>
          <t>مهندسی نرم‌افزار / علوم کامپیوتر</t>
        </is>
      </c>
      <c r="H38" s="69" t="inlineStr">
        <is>
          <t>۱.۵ سال (90 ECTS)</t>
        </is>
      </c>
      <c r="I38" s="69" t="inlineStr">
        <is>
          <t>$1,030 در ترم (برای همه؛ بدون اضافهٔ خارجی‌ها — رسمی 2026/27) = $2,060/سال</t>
        </is>
      </c>
      <c r="J38" s="69" t="inlineStr">
        <is>
          <t>$3,090</t>
        </is>
      </c>
      <c r="K38" s="110" t="inlineStr">
        <is>
          <t>$38–49k</t>
        </is>
      </c>
      <c r="L38" s="69" t="inlineStr">
        <is>
          <t>کارشناسی CS یا معادل با نمرات خوب؛
بررسی فردی</t>
        </is>
      </c>
      <c r="M38" s="63" t="inlineStr">
        <is>
          <t>B2–C1 (چک شود)</t>
        </is>
      </c>
      <c r="N38" s="69">
        <f>150</f>
        <v/>
      </c>
      <c r="O38" s="68" t="inlineStr">
        <is>
          <t>Target/Reach</t>
        </is>
      </c>
      <c r="P38" s="69" t="inlineStr">
        <is>
          <t>4/5 — بیشترین حجم آگهی در هر ۸ کشور؛
ورود جونیور از ۲۰۲۳ سخت‌تر شده — سابقهٔ کار شما مزیت است</t>
        </is>
      </c>
      <c r="Q38" s="69" t="inlineStr">
        <is>
          <t>رتبهٔ ۱۵۰؛
90 ECTS انگلیسی؛
هزینهٔ درخواست $120؛
⚠️ کانتون Basel تمکن $29,000/سال می‌خواهد؛
مهلت ۳۰ آوریل (رسمی)</t>
        </is>
      </c>
      <c r="R38" s="111" t="inlineStr">
        <is>
          <t>https://dmi.unibas.ch/en/studies/computer-science/masters/</t>
        </is>
      </c>
    </row>
    <row r="39">
      <c r="A39" s="112" t="n">
        <v>38</v>
      </c>
      <c r="B39" s="124" t="inlineStr">
        <is>
          <t>سوئیس</t>
        </is>
      </c>
      <c r="C39" s="113" t="inlineStr">
        <is>
          <t>University of Zurich (UZH)</t>
        </is>
      </c>
      <c r="D39" s="113" t="inlineStr">
        <is>
          <t>Zürich (زوریخ) — Google، UBS، ETH؛
گران‌ترین شهر دانشگاهی اروپا</t>
        </is>
      </c>
      <c r="E39" s="114" t="inlineStr">
        <is>
          <t>خیلی گران — $2,300–3,030</t>
        </is>
      </c>
      <c r="F39" s="113" t="inlineStr">
        <is>
          <t>MSc Informatics (گرایش‌ها: Software Systems، Data Science، People-Oriented Computing…)</t>
        </is>
      </c>
      <c r="G39" s="114" t="inlineStr">
        <is>
          <t>مهندسی نرم‌افزار / علوم کامپیوتر</t>
        </is>
      </c>
      <c r="H39" s="114" t="inlineStr">
        <is>
          <t>۱.۵–۲ سال (90/120 ECTS)</t>
        </is>
      </c>
      <c r="I39" s="114" t="inlineStr">
        <is>
          <t>$1,060 در ترم (خارجی؛ شامل $120 اضافهٔ خارجی‌ها و $71 جانبی) ≈ $2,130/سال</t>
        </is>
      </c>
      <c r="J39" s="114" t="inlineStr">
        <is>
          <t>$3,190</t>
        </is>
      </c>
      <c r="K39" s="110" t="inlineStr">
        <is>
          <t>$45–58k</t>
        </is>
      </c>
      <c r="L39" s="114" t="inlineStr">
        <is>
          <t>کارشناسی Informatics/CS با نمرات بسیار خوب؛
فقط یک درخواست در هر ترم؛
هزینهٔ درخواست $180</t>
        </is>
      </c>
      <c r="M39" s="113" t="inlineStr">
        <is>
          <t>C1 / IELTS 7.0</t>
        </is>
      </c>
      <c r="N39" s="114">
        <f>98</f>
        <v/>
      </c>
      <c r="O39" s="116" t="inlineStr">
        <is>
          <t>Reach</t>
        </is>
      </c>
      <c r="P39" s="114" t="inlineStr">
        <is>
          <t>4/5 — بیشترین حجم آگهی در هر ۸ کشور؛
ورود جونیور از ۲۰۲۳ سخت‌تر شده — سابقهٔ کار شما مزیت است</t>
        </is>
      </c>
      <c r="Q39" s="125" t="inlineStr">
        <is>
          <t>⚠️ مهلت ویزایی‌ها ۲۸ فوریه ۲۰۲۷ (بدون ویزا ۳۰ آوریل)؛
کانتون زوریخ: تمکن $25,400 فقط در بانک سوئیسی به نام خودتان</t>
        </is>
      </c>
      <c r="R39" s="115" t="inlineStr">
        <is>
          <t>https://www.ifi.uzh.ch/en/studies/master.html</t>
        </is>
      </c>
    </row>
    <row r="40">
      <c r="A40" s="66" t="n">
        <v>39</v>
      </c>
      <c r="B40" s="124" t="inlineStr">
        <is>
          <t>سوئیس</t>
        </is>
      </c>
      <c r="C40" s="63" t="inlineStr">
        <is>
          <t>ZHAW School of Engineering</t>
        </is>
      </c>
      <c r="D40" s="63" t="inlineStr">
        <is>
          <t>Zürich / Winterthur (زوریخ / وینترتور؛ کمپوس‌های ZHAW)</t>
        </is>
      </c>
      <c r="E40" s="69" t="inlineStr">
        <is>
          <t>خیلی گران — $2,180–2,900</t>
        </is>
      </c>
      <c r="F40" s="63" t="inlineStr">
        <is>
          <t>MSc in Engineering (MSE) — پروفایل Computer Science / Data Science / Information &amp; Cyber Security</t>
        </is>
      </c>
      <c r="G40" s="69" t="inlineStr">
        <is>
          <t>چندحوزه‌ای (انتخاب گرایش)</t>
        </is>
      </c>
      <c r="H40" s="69" t="inlineStr">
        <is>
          <t>۱.۵ سال (90 ECTS؛ پاره‌وقت تا ۳ سال)</t>
        </is>
      </c>
      <c r="I40" s="69" t="inlineStr">
        <is>
          <t>$1,480 در ترم (خارجی) + $73 ≈ $3,100/سال</t>
        </is>
      </c>
      <c r="J40" s="69" t="inlineStr">
        <is>
          <t>$4,650</t>
        </is>
      </c>
      <c r="K40" s="110" t="inlineStr">
        <is>
          <t>$44–57k</t>
        </is>
      </c>
      <c r="L40" s="69" t="inlineStr">
        <is>
          <t>کارشناسی با نمرات A یا B (≈ یک‌سوم بالای کلاس) — گواهی رتبهٔ کلاسی از سمنان بگیرید</t>
        </is>
      </c>
      <c r="M40" s="63" t="inlineStr">
        <is>
          <t>B2–C1</t>
        </is>
      </c>
      <c r="N40" s="69" t="inlineStr">
        <is>
          <t>851–900</t>
        </is>
      </c>
      <c r="O40" s="68" t="inlineStr">
        <is>
          <t>Target/Reach</t>
        </is>
      </c>
      <c r="P40" s="69" t="inlineStr">
        <is>
          <t>4/5 — گرایش را بعد از ورود انتخاب می‌کنید؛
امتیاز بازار = گرایشی که برمی‌دارید</t>
        </is>
      </c>
      <c r="Q40" s="69" t="inlineStr">
        <is>
          <t>کاربردی و پروژه‌محور (کار در مؤسسات ZHAW، اغلب با حقوق دستیاری)؛
مهلت پایان آوریل؛
کانتون زوریخ (تمکن در بانک سوئیسی)</t>
        </is>
      </c>
      <c r="R40" s="111" t="inlineStr">
        <is>
          <t>https://www.zhaw.ch/en/engineering/study/masters-degree-programme</t>
        </is>
      </c>
    </row>
    <row r="41">
      <c r="A41" s="112" t="n">
        <v>40</v>
      </c>
      <c r="B41" s="124" t="inlineStr">
        <is>
          <t>سوئیس</t>
        </is>
      </c>
      <c r="C41" s="113" t="inlineStr">
        <is>
          <t>EPFL</t>
        </is>
      </c>
      <c r="D41" s="113" t="inlineStr">
        <is>
          <t>Lausanne (لوزان) — کنار دریاچهٔ ژنو؛
فرانسه‌زبان؛
EPFL</t>
        </is>
      </c>
      <c r="E41" s="114" t="inlineStr">
        <is>
          <t>خیلی گران — $2,060–2,660</t>
        </is>
      </c>
      <c r="F41" s="113" t="inlineStr">
        <is>
          <t>MSc Computer Science</t>
        </is>
      </c>
      <c r="G41" s="114" t="inlineStr">
        <is>
          <t>مهندسی نرم‌افزار / علوم کامپیوتر</t>
        </is>
      </c>
      <c r="H41" s="114" t="inlineStr">
        <is>
          <t>۲ سال (120 ECTS)</t>
        </is>
      </c>
      <c r="I41" s="114" t="inlineStr">
        <is>
          <t>$2,710 در ترم برای خارجی‌های غیرمقیم (از پاییز ۲۰۲۵؛ ≈ $5,420/سال)</t>
        </is>
      </c>
      <c r="J41" s="114" t="inlineStr">
        <is>
          <t>$10,800</t>
        </is>
      </c>
      <c r="K41" s="110" t="inlineStr">
        <is>
          <t>$60–75k</t>
        </is>
      </c>
      <c r="L41" s="114" t="inlineStr">
        <is>
          <t>کارشناسی CS با نمرات عالی (بالای کلاس)؛
فقط یک برنامه در سال</t>
        </is>
      </c>
      <c r="M41" s="114" t="inlineStr">
        <is>
          <t>مدرک زبان الزامی نیست (C1 عملاً لازم)</t>
        </is>
      </c>
      <c r="N41" s="114">
        <f>22</f>
        <v/>
      </c>
      <c r="O41" s="116" t="inlineStr">
        <is>
          <t>Reach</t>
        </is>
      </c>
      <c r="P41" s="114" t="inlineStr">
        <is>
          <t>4/5 — بیشترین حجم آگهی در هر ۸ کشور؛
ورود جونیور از ۲۰۲۳ سخت‌تر شده — سابقهٔ کار شما مزیت است</t>
        </is>
      </c>
      <c r="Q41" s="114" t="inlineStr">
        <is>
          <t>دور اول ۱۵ دسامبر ۲۰۲۶ (توصیه برای ویزایی‌ها؛ پاسخ اوایل آوریل)، دور دوم ۳۱ مارس ۲۰۲۷؛
⚠️ احتمال افزایش دوبارهٔ شهریه (EP27)</t>
        </is>
      </c>
      <c r="R41" s="115" t="inlineStr">
        <is>
          <t>https://www.epfl.ch/education/master/programs/computer-science/</t>
        </is>
      </c>
    </row>
    <row r="42">
      <c r="A42" s="66" t="n">
        <v>41</v>
      </c>
      <c r="B42" s="124" t="inlineStr">
        <is>
          <t>سوئیس</t>
        </is>
      </c>
      <c r="C42" s="63" t="inlineStr">
        <is>
          <t>EPFL</t>
        </is>
      </c>
      <c r="D42" s="63" t="inlineStr">
        <is>
          <t>Lausanne (لوزان) — کنار دریاچهٔ ژنو؛
فرانسه‌زبان؛
EPFL</t>
        </is>
      </c>
      <c r="E42" s="69" t="inlineStr">
        <is>
          <t>خیلی گران — $2,060–2,660</t>
        </is>
      </c>
      <c r="F42" s="63" t="inlineStr">
        <is>
          <t>MSc Data Science</t>
        </is>
      </c>
      <c r="G42" s="69" t="inlineStr">
        <is>
          <t>علم داده / تحلیل داده</t>
        </is>
      </c>
      <c r="H42" s="69" t="inlineStr">
        <is>
          <t>۲ سال (120 ECTS)</t>
        </is>
      </c>
      <c r="I42" s="69" t="inlineStr">
        <is>
          <t>$2,710 در ترم (≈ $5,420/سال)</t>
        </is>
      </c>
      <c r="J42" s="69" t="inlineStr">
        <is>
          <t>$10,800</t>
        </is>
      </c>
      <c r="K42" s="110" t="inlineStr">
        <is>
          <t>$60–75k</t>
        </is>
      </c>
      <c r="L42" s="69" t="inlineStr">
        <is>
          <t>کارشناسی CS/ریاضی/مهندسی با نمرات عالی</t>
        </is>
      </c>
      <c r="M42" s="69" t="inlineStr">
        <is>
          <t>مدرک زبان الزامی نیست</t>
        </is>
      </c>
      <c r="N42" s="69">
        <f>22</f>
        <v/>
      </c>
      <c r="O42" s="116" t="inlineStr">
        <is>
          <t>Reach</t>
        </is>
      </c>
      <c r="P42" s="69" t="inlineStr">
        <is>
          <t>3/5 — بازار ارشد/سینیور خوب، ولی سطح جونیور اشباع (ده‌ها هزار فارغ‌التحصیل مشابه)؛
Data Engineer کم‌رقابت‌تر از Data Scientist</t>
        </is>
      </c>
      <c r="Q42" s="69" t="inlineStr">
        <is>
          <t>بسیار رقابتی؛ کارآموزی صنعتی جزو برنامه است</t>
        </is>
      </c>
      <c r="R42" s="111" t="inlineStr">
        <is>
          <t>https://www.epfl.ch/education/master/programs/data-science/</t>
        </is>
      </c>
    </row>
    <row r="43">
      <c r="A43" s="112" t="n">
        <v>42</v>
      </c>
      <c r="B43" s="124" t="inlineStr">
        <is>
          <t>سوئیس</t>
        </is>
      </c>
      <c r="C43" s="113" t="inlineStr">
        <is>
          <t>ETH Zürich</t>
        </is>
      </c>
      <c r="D43" s="113" t="inlineStr">
        <is>
          <t>Zürich (زوریخ) — Google، UBS، ETH؛
گران‌ترین شهر دانشگاهی اروپا</t>
        </is>
      </c>
      <c r="E43" s="114" t="inlineStr">
        <is>
          <t>خیلی گران — $2,300–3,030</t>
        </is>
      </c>
      <c r="F43" s="113" t="inlineStr">
        <is>
          <t>MSc Computer Science</t>
        </is>
      </c>
      <c r="G43" s="114" t="inlineStr">
        <is>
          <t>مهندسی نرم‌افزار / علوم کامپیوتر</t>
        </is>
      </c>
      <c r="H43" s="114" t="inlineStr">
        <is>
          <t>۲ سال (120 ECTS)</t>
        </is>
      </c>
      <c r="I43" s="114" t="inlineStr">
        <is>
          <t>$2,650 + ≈ $90 = ≈ $2,740 در ترم (≈ $5,480/سال)</t>
        </is>
      </c>
      <c r="J43" s="114" t="inlineStr">
        <is>
          <t>$11,000</t>
        </is>
      </c>
      <c r="K43" s="110" t="inlineStr">
        <is>
          <t>$66–84k</t>
        </is>
      </c>
      <c r="L43" s="114" t="inlineStr">
        <is>
          <t>کارشناسی CS با نمرات ممتاز (عملاً ۱۰٪ بالای کلاس)؛
هزینهٔ درخواست $180؛
تا ۲ برنامه</t>
        </is>
      </c>
      <c r="M43" s="113" t="inlineStr">
        <is>
          <t>C1 / IELTS 7.0</t>
        </is>
      </c>
      <c r="N43" s="114">
        <f>8</f>
        <v/>
      </c>
      <c r="O43" s="116" t="inlineStr">
        <is>
          <t>Reach</t>
        </is>
      </c>
      <c r="P43" s="114" t="inlineStr">
        <is>
          <t>4/5 — بیشترین حجم آگهی در هر ۸ کشور؛
ورود جونیور از ۲۰۲۳ سخت‌تر شده — سابقهٔ کار شما مزیت است</t>
        </is>
      </c>
      <c r="Q43" s="114" t="inlineStr">
        <is>
          <t>بهترین دانشگاه قارهٔ اروپا؛
اپلای فقط ۱–۳۰ نوامبر ۲۰۲۶، پاسخ تا پایان مارس ۲۰۲۷، شروع ۲۰ سپتامبر ۲۰۲۷؛
با معدل ۱۵.۷۷ احتمال پذیرش کم</t>
        </is>
      </c>
      <c r="R43" s="115" t="inlineStr">
        <is>
          <t>https://ethz.ch/en/studies/master/degree-programmes/engineering-sciences/computer-science.html</t>
        </is>
      </c>
    </row>
    <row r="44">
      <c r="A44" s="66" t="n">
        <v>43</v>
      </c>
      <c r="B44" s="124" t="inlineStr">
        <is>
          <t>سوئیس</t>
        </is>
      </c>
      <c r="C44" s="63" t="inlineStr">
        <is>
          <t>ETH Zürich + EPFL</t>
        </is>
      </c>
      <c r="D44" s="63" t="inlineStr">
        <is>
          <t>Zürich (زوریخ) — Google، UBS، ETH؛
گران‌ترین شهر دانشگاهی اروپا</t>
        </is>
      </c>
      <c r="E44" s="69" t="inlineStr">
        <is>
          <t>خیلی گران — $2,300–3,030</t>
        </is>
      </c>
      <c r="F44" s="63" t="inlineStr">
        <is>
          <t>MSc Cyber Security (مشترک ETH–EPFL؛ یک سال در هر کدام)</t>
        </is>
      </c>
      <c r="G44" s="69" t="inlineStr">
        <is>
          <t>امنیت سایبری</t>
        </is>
      </c>
      <c r="H44" s="69" t="inlineStr">
        <is>
          <t>۲ سال (120 ECTS)</t>
        </is>
      </c>
      <c r="I44" s="69" t="inlineStr">
        <is>
          <t>شهریهٔ ETH: ≈ $2,740 در ترم (≈ $5,480/سال)</t>
        </is>
      </c>
      <c r="J44" s="69" t="inlineStr">
        <is>
          <t>$11,000</t>
        </is>
      </c>
      <c r="K44" s="110" t="inlineStr">
        <is>
          <t>$66–84k</t>
        </is>
      </c>
      <c r="L44" s="69" t="inlineStr">
        <is>
          <t>کارشناسی CS با نمرات ممتاز؛
پیش‌زمینهٔ ریاضی/سیستم قوی</t>
        </is>
      </c>
      <c r="M44" s="63" t="inlineStr">
        <is>
          <t>C1 / IELTS 7.0</t>
        </is>
      </c>
      <c r="N44" s="69">
        <f>8</f>
        <v/>
      </c>
      <c r="O44" s="116" t="inlineStr">
        <is>
          <t>Reach</t>
        </is>
      </c>
      <c r="P44" s="69" t="inlineStr">
        <is>
          <t>4/5 — کمبود ساختاری (Bitkom: جزو ۳ کمبود اصلی آلمان)؛
اما ۳۱٪ تیم‌ها هیچ نیروی جونیور ندارند → کارآموزی/گواهی لازم است</t>
        </is>
      </c>
      <c r="Q44" s="69" t="inlineStr">
        <is>
          <t>قوی‌ترین ارشد امنیت اروپا؛
همان پنجرهٔ نوامبر ETH؛
Reach</t>
        </is>
      </c>
      <c r="R44" s="111" t="inlineStr">
        <is>
          <t>https://ethz.ch/en/studies/master/degree-programmes/engineering-sciences/cyber-security.html</t>
        </is>
      </c>
    </row>
    <row r="45">
      <c r="A45" s="117" t="n">
        <v>44</v>
      </c>
      <c r="B45" s="126" t="inlineStr">
        <is>
          <t>آلمان</t>
        </is>
      </c>
      <c r="C45" s="119" t="inlineStr">
        <is>
          <t>Universität Stuttgart</t>
        </is>
      </c>
      <c r="D45" s="119" t="inlineStr">
        <is>
          <t>Stuttgart (اشتوتگارت) — Bosch، Mercedes، Porsche</t>
        </is>
      </c>
      <c r="E45" s="120" t="inlineStr">
        <is>
          <t>گران — $1,250–1,540</t>
        </is>
      </c>
      <c r="F45" s="119" t="inlineStr">
        <is>
          <t>M.Sc. Computer Science (انگلیسی، بدون NC)</t>
        </is>
      </c>
      <c r="G45" s="120" t="inlineStr">
        <is>
          <t>مهندسی نرم‌افزار / علوم کامپیوتر</t>
        </is>
      </c>
      <c r="H45" s="120" t="inlineStr">
        <is>
          <t>۲ سال</t>
        </is>
      </c>
      <c r="I45" s="120" t="inlineStr">
        <is>
          <t>$1,710 در ترم + ≈ $230 سهم ترم = ≈ $3,880/سال</t>
        </is>
      </c>
      <c r="J45" s="120" t="inlineStr">
        <is>
          <t>$7,750</t>
        </is>
      </c>
      <c r="K45" s="121" t="inlineStr">
        <is>
          <t>$38–45k</t>
        </is>
      </c>
      <c r="L45" s="120" t="inlineStr">
        <is>
          <t>کارشناسی CS/مرتبط؛ بدون NC</t>
        </is>
      </c>
      <c r="M45" s="119" t="inlineStr">
        <is>
          <t>7.0 (C1)</t>
        </is>
      </c>
      <c r="N45" s="120" t="inlineStr">
        <is>
          <t>318</t>
        </is>
      </c>
      <c r="O45" s="122" t="inlineStr">
        <is>
          <t>Target</t>
        </is>
      </c>
      <c r="P45" s="120" t="inlineStr">
        <is>
          <t>4/5 — بیشترین حجم آگهی در هر ۸ کشور؛
ورود جونیور از ۲۰۲۳ سخت‌تر شده — سابقهٔ کار شما مزیت است</t>
        </is>
      </c>
      <c r="Q45" s="120" t="inlineStr">
        <is>
          <t>شهریهٔ بادن-وورتمبرگ برای غیر-EU</t>
        </is>
      </c>
      <c r="R45" s="123" t="inlineStr">
        <is>
          <t>https://www.uni-stuttgart.de/en/study/study-programs/</t>
        </is>
      </c>
    </row>
    <row r="46">
      <c r="A46" s="66" t="n">
        <v>45</v>
      </c>
      <c r="B46" s="127" t="inlineStr">
        <is>
          <t>آلمان</t>
        </is>
      </c>
      <c r="C46" s="63" t="inlineStr">
        <is>
          <t>Universität Stuttgart</t>
        </is>
      </c>
      <c r="D46" s="63" t="inlineStr">
        <is>
          <t>Stuttgart (اشتوتگارت) — Bosch، Mercedes، Porsche</t>
        </is>
      </c>
      <c r="E46" s="69" t="inlineStr">
        <is>
          <t>گران — $1,250–1,540</t>
        </is>
      </c>
      <c r="F46" s="63" t="inlineStr">
        <is>
          <t>M.Sc. Information Technology (INFOTECH)</t>
        </is>
      </c>
      <c r="G46" s="69" t="inlineStr">
        <is>
          <t>سیستم‌های نهفته / رباتیک / خودران</t>
        </is>
      </c>
      <c r="H46" s="69" t="inlineStr">
        <is>
          <t>۲ سال</t>
        </is>
      </c>
      <c r="I46" s="69" t="inlineStr">
        <is>
          <t>$1,710 در ترم + سهم ترم ≈ $3,880/سال</t>
        </is>
      </c>
      <c r="J46" s="69" t="inlineStr">
        <is>
          <t>$7,750</t>
        </is>
      </c>
      <c r="K46" s="110" t="inlineStr">
        <is>
          <t>$38–45k</t>
        </is>
      </c>
      <c r="L46" s="69" t="inlineStr">
        <is>
          <t>کارشناسی EE/CS/Computer Engineering؛ گزینش</t>
        </is>
      </c>
      <c r="M46" s="63" t="inlineStr">
        <is>
          <t>7.0 (C1)</t>
        </is>
      </c>
      <c r="N46" s="69" t="inlineStr">
        <is>
          <t>318</t>
        </is>
      </c>
      <c r="O46" s="40" t="inlineStr">
        <is>
          <t>Target</t>
        </is>
      </c>
      <c r="P46" s="69" t="inlineStr">
        <is>
          <t>4/5 — در آلمان و سوئد قوی (خودرو، Bosch، ABB، Ericsson)؛
ولی کارفرمایان صنعتی خارج از شهرهای بزرگ اغلب آلمانی/سوئدی می‌خواهند</t>
        </is>
      </c>
      <c r="Q46" s="69" t="inlineStr">
        <is>
          <t>گرایش‌های Embedded/Communication؛
Bosch و Daimler همان شهر</t>
        </is>
      </c>
      <c r="R46" s="111" t="inlineStr">
        <is>
          <t>https://www.mygermanuniversity.com/master/information-technology-infotech/678</t>
        </is>
      </c>
    </row>
    <row r="47">
      <c r="A47" s="112" t="n">
        <v>46</v>
      </c>
      <c r="B47" s="127" t="inlineStr">
        <is>
          <t>آلمان</t>
        </is>
      </c>
      <c r="C47" s="113" t="inlineStr">
        <is>
          <t>FAU Erlangen-Nürnberg</t>
        </is>
      </c>
      <c r="D47" s="113" t="inlineStr">
        <is>
          <t>Erlangen / Nürnberg (ارلانگن / نورنبرگ) — Siemens</t>
        </is>
      </c>
      <c r="E47" s="114" t="inlineStr">
        <is>
          <t>متوسط — $1,080–1,310</t>
        </is>
      </c>
      <c r="F47" s="113" t="inlineStr">
        <is>
          <t>M.Sc. Artificial Intelligence</t>
        </is>
      </c>
      <c r="G47" s="114" t="inlineStr">
        <is>
          <t>هوش مصنوعی / یادگیری ماشین</t>
        </is>
      </c>
      <c r="H47" s="114" t="inlineStr">
        <is>
          <t>۲ سال</t>
        </is>
      </c>
      <c r="I47" s="114" t="inlineStr">
        <is>
          <t>$4,560 در ترم برای غیر-EU از ترم تابستان ۲۰۲۷ ($9,120/سال) + $93 سهم ترم</t>
        </is>
      </c>
      <c r="J47" s="114" t="inlineStr">
        <is>
          <t>$18,600</t>
        </is>
      </c>
      <c r="K47" s="110" t="inlineStr">
        <is>
          <t>$45–50k</t>
        </is>
      </c>
      <c r="L47" s="114" t="inlineStr">
        <is>
          <t>کارشناسی CS/مرتبط؛ بررسی ریزنمرات</t>
        </is>
      </c>
      <c r="M47" s="113" t="inlineStr">
        <is>
          <t>B2 (IELTS 6.0)</t>
        </is>
      </c>
      <c r="N47" s="114" t="inlineStr">
        <is>
          <t>218</t>
        </is>
      </c>
      <c r="O47" s="40" t="inlineStr">
        <is>
          <t>Target</t>
        </is>
      </c>
      <c r="P47" s="114" t="inlineStr">
        <is>
          <t>5/5 — داغ‌ترین بازار؛
«AI Engineer» سریع‌ترین‌رشد (LinkedIn 2026)؛
ولی برنامه‌های ریاضی‌محور (Tübingen، UvA، KTH) بسیار رقابتی‌اند</t>
        </is>
      </c>
      <c r="Q47" s="128"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7" s="115" t="inlineStr">
        <is>
          <t>https://www.fau.eu/degree-program/artificial-intelligence-m-sc/</t>
        </is>
      </c>
    </row>
    <row r="48">
      <c r="A48" s="66" t="n">
        <v>47</v>
      </c>
      <c r="B48" s="127" t="inlineStr">
        <is>
          <t>آلمان</t>
        </is>
      </c>
      <c r="C48" s="63" t="inlineStr">
        <is>
          <t>FAU Erlangen-Nürnberg</t>
        </is>
      </c>
      <c r="D48" s="63" t="inlineStr">
        <is>
          <t>Erlangen / Nürnberg (ارلانگن / نورنبرگ) — Siemens</t>
        </is>
      </c>
      <c r="E48" s="69" t="inlineStr">
        <is>
          <t>متوسط — $1,080–1,310</t>
        </is>
      </c>
      <c r="F48" s="63" t="inlineStr">
        <is>
          <t>M.Sc. Autonomy Technologies</t>
        </is>
      </c>
      <c r="G48" s="69" t="inlineStr">
        <is>
          <t>سیستم‌های نهفته / رباتیک / خودران</t>
        </is>
      </c>
      <c r="H48" s="69" t="inlineStr">
        <is>
          <t>۲ سال</t>
        </is>
      </c>
      <c r="I48" s="69" t="inlineStr">
        <is>
          <t>$2,280 در ترم از تابستان ۲۰۲۷ ($4,560/سال) + $93 سهم ترم</t>
        </is>
      </c>
      <c r="J48" s="69" t="inlineStr">
        <is>
          <t>$9,490</t>
        </is>
      </c>
      <c r="K48" s="110" t="inlineStr">
        <is>
          <t>$35–41k</t>
        </is>
      </c>
      <c r="L48" s="69" t="inlineStr">
        <is>
          <t>کارشناسی مرتبط؛ آلمانی لازم نیست</t>
        </is>
      </c>
      <c r="M48" s="63" t="inlineStr">
        <is>
          <t>B2 (IELTS 6.0)</t>
        </is>
      </c>
      <c r="N48" s="69" t="inlineStr">
        <is>
          <t>218</t>
        </is>
      </c>
      <c r="O48" s="40" t="inlineStr">
        <is>
          <t>Target</t>
        </is>
      </c>
      <c r="P48" s="69" t="inlineStr">
        <is>
          <t>4/5 — در آلمان و سوئد قوی (خودرو، Bosch، ABB، Ericsson)؛
ولی کارفرمایان صنعتی خارج از شهرهای بزرگ اغلب آلمانی/سوئدی می‌خواهند</t>
        </is>
      </c>
      <c r="Q48" s="69" t="inlineStr">
        <is>
          <t>رباتیک/خودران؛
⚠️ مشمول شهریهٔ جدید FAU از ۲۰۲۷ (صفحهٔ رسمی شهریه، ۲۰۲۶)</t>
        </is>
      </c>
      <c r="R48" s="111" t="inlineStr">
        <is>
          <t>https://www.fau.eu/degree-program/autonomy-technologies-m-sc/</t>
        </is>
      </c>
    </row>
    <row r="49">
      <c r="A49" s="112" t="n">
        <v>48</v>
      </c>
      <c r="B49" s="127" t="inlineStr">
        <is>
          <t>آلمان</t>
        </is>
      </c>
      <c r="C49" s="113" t="inlineStr">
        <is>
          <t>TU Darmstadt</t>
        </is>
      </c>
      <c r="D49" s="113" t="inlineStr">
        <is>
          <t>Darmstadt (دارمشتات) — ۲۵ دقیقه تا فرانکفورت</t>
        </is>
      </c>
      <c r="E49" s="114" t="inlineStr">
        <is>
          <t>گران — $1,200–1,480</t>
        </is>
      </c>
      <c r="F49" s="113" t="inlineStr">
        <is>
          <t>M.Sc. Distributed Software Systems (انگلیسی)</t>
        </is>
      </c>
      <c r="G49" s="114" t="inlineStr">
        <is>
          <t>ابری / سیستم‌های توزیع‌شده / DevOps</t>
        </is>
      </c>
      <c r="H49" s="114" t="inlineStr">
        <is>
          <t>۲ سال</t>
        </is>
      </c>
      <c r="I49" s="114" t="inlineStr">
        <is>
          <t>$0 + ≈ $340 سهم ترم (≈ $685/سال)</t>
        </is>
      </c>
      <c r="J49" s="114" t="inlineStr">
        <is>
          <t>$1,370</t>
        </is>
      </c>
      <c r="K49" s="110" t="inlineStr">
        <is>
          <t>$30–37k</t>
        </is>
      </c>
      <c r="L49" s="114" t="inlineStr">
        <is>
          <t>کارشناسی CS با پیش‌نیازهای مشخص</t>
        </is>
      </c>
      <c r="M49" s="113" t="inlineStr">
        <is>
          <t>≈ 7.0 (C1) — چک شود</t>
        </is>
      </c>
      <c r="N49" s="114" t="inlineStr">
        <is>
          <t>250</t>
        </is>
      </c>
      <c r="O49" s="68" t="inlineStr">
        <is>
          <t>Target/Reach</t>
        </is>
      </c>
      <c r="P49" s="114" t="inlineStr">
        <is>
          <t>4/5 — تقاضای پایدار و کمتر مدرک‌محور؛
گواهی AWS/Azure کنار مدرک وزن زیادی دارد</t>
        </is>
      </c>
      <c r="Q49" s="114" t="inlineStr">
        <is>
          <t>منطقهٔ Rhein-Main (SAP، Deutsche Bank، Software AG)</t>
        </is>
      </c>
      <c r="R49" s="115" t="inlineStr">
        <is>
          <t>https://www.tu-darmstadt.de/studieren/</t>
        </is>
      </c>
    </row>
    <row r="50">
      <c r="A50" s="66" t="n">
        <v>49</v>
      </c>
      <c r="B50" s="127" t="inlineStr">
        <is>
          <t>آلمان</t>
        </is>
      </c>
      <c r="C50" s="63" t="inlineStr">
        <is>
          <t>TU Dresden</t>
        </is>
      </c>
      <c r="D50" s="63" t="inlineStr">
        <is>
          <t>Dresden (درسدن) — «سیلیکون ساکسونی»</t>
        </is>
      </c>
      <c r="E50" s="69" t="inlineStr">
        <is>
          <t>ارزان — $970–1,200</t>
        </is>
      </c>
      <c r="F50" s="63" t="inlineStr">
        <is>
          <t>M.Sc. Computer Science (انگلیسی)</t>
        </is>
      </c>
      <c r="G50" s="69" t="inlineStr">
        <is>
          <t>مهندسی نرم‌افزار / علوم کامپیوتر</t>
        </is>
      </c>
      <c r="H50" s="69" t="inlineStr">
        <is>
          <t>۲ سال</t>
        </is>
      </c>
      <c r="I50" s="69" t="inlineStr">
        <is>
          <t>$0 + ≈ $340 سهم ترم</t>
        </is>
      </c>
      <c r="J50" s="69" t="inlineStr">
        <is>
          <t>$1,370</t>
        </is>
      </c>
      <c r="K50" s="110" t="inlineStr">
        <is>
          <t>$25–30k</t>
        </is>
      </c>
      <c r="L50" s="69" t="inlineStr">
        <is>
          <t>کارشناسی CS؛ ارزیابی استعداد</t>
        </is>
      </c>
      <c r="M50" s="69" t="inlineStr">
        <is>
          <t>7.0</t>
        </is>
      </c>
      <c r="N50" s="69" t="inlineStr">
        <is>
          <t>185</t>
        </is>
      </c>
      <c r="O50" s="116" t="inlineStr">
        <is>
          <t>Reach</t>
        </is>
      </c>
      <c r="P50" s="69" t="inlineStr">
        <is>
          <t>4/5 — بیشترین حجم آگهی در هر ۸ کشور؛
ورود جونیور از ۲۰۲۳ سخت‌تر شده — سابقهٔ کار شما مزیت است</t>
        </is>
      </c>
      <c r="Q50" s="63" t="inlineStr">
        <is>
          <t>Dresden ارزان‌ترین شهر جدول؛
GlobalFoundries/Infineon/Bosch</t>
        </is>
      </c>
      <c r="R50" s="111" t="inlineStr">
        <is>
          <t>https://tu-dresden.de/studium/vor-dem-studium/studienangebot</t>
        </is>
      </c>
    </row>
    <row r="51">
      <c r="A51" s="112" t="n">
        <v>50</v>
      </c>
      <c r="B51" s="127" t="inlineStr">
        <is>
          <t>آلمان</t>
        </is>
      </c>
      <c r="C51" s="113" t="inlineStr">
        <is>
          <t>Saarland University (UdS)</t>
        </is>
      </c>
      <c r="D51" s="113" t="inlineStr">
        <is>
          <t>Saarbrücken (زاربروکن) — مرز فرانسه؛
CISPA/DFKI</t>
        </is>
      </c>
      <c r="E51" s="114" t="inlineStr">
        <is>
          <t>متوسط — $1,030–1,250</t>
        </is>
      </c>
      <c r="F51" s="113" t="inlineStr">
        <is>
          <t>M.Sc. Cybersecurity</t>
        </is>
      </c>
      <c r="G51" s="114" t="inlineStr">
        <is>
          <t>امنیت سایبری</t>
        </is>
      </c>
      <c r="H51" s="114" t="inlineStr">
        <is>
          <t>۲ سال</t>
        </is>
      </c>
      <c r="I51" s="114" t="inlineStr">
        <is>
          <t>$0 + ≈ $450 سهم ترم (≈ $900/سال)</t>
        </is>
      </c>
      <c r="J51" s="114" t="inlineStr">
        <is>
          <t>$1,800</t>
        </is>
      </c>
      <c r="K51" s="110" t="inlineStr">
        <is>
          <t>$26–32k</t>
        </is>
      </c>
      <c r="L51" s="114" t="inlineStr">
        <is>
          <t>کارشناسی CS + اثبات دروس پایه + ۲ توصیه‌نامه؛
بدون NC</t>
        </is>
      </c>
      <c r="M51" s="113" t="inlineStr">
        <is>
          <t>7.0 (C1؛ MOI پذیرفته نمی‌شود)</t>
        </is>
      </c>
      <c r="N51" s="113">
        <f>588 (CS ≈ 251)</f>
        <v/>
      </c>
      <c r="O51" s="40" t="inlineStr">
        <is>
          <t>Target</t>
        </is>
      </c>
      <c r="P51" s="114" t="inlineStr">
        <is>
          <t>4/5 — کمبود ساختاری (Bitkom: جزو ۳ کمبود اصلی آلمان)؛
اما ۳۱٪ تیم‌ها هیچ نیروی جونیور ندارند → کارآموزی/گواهی لازم است</t>
        </is>
      </c>
      <c r="Q51" s="113" t="inlineStr">
        <is>
          <t>CISPA — بهترین مرکز امنیت آلمان؛
IELTS 7 شرط سخت شماست</t>
        </is>
      </c>
      <c r="R51" s="115" t="inlineStr">
        <is>
          <t>https://www.uni-saarland.de/en/study/programmes/master/cybersecurity.html</t>
        </is>
      </c>
    </row>
    <row r="52">
      <c r="A52" s="66" t="n">
        <v>51</v>
      </c>
      <c r="B52" s="127" t="inlineStr">
        <is>
          <t>آلمان</t>
        </is>
      </c>
      <c r="C52" s="63" t="inlineStr">
        <is>
          <t>Saarland University (UdS)</t>
        </is>
      </c>
      <c r="D52" s="63" t="inlineStr">
        <is>
          <t>Saarbrücken (زاربروکن) — مرز فرانسه؛
CISPA/DFKI</t>
        </is>
      </c>
      <c r="E52" s="69" t="inlineStr">
        <is>
          <t>متوسط — $1,030–1,250</t>
        </is>
      </c>
      <c r="F52" s="63" t="inlineStr">
        <is>
          <t>M.Sc. Data Science and Artificial Intelligence</t>
        </is>
      </c>
      <c r="G52" s="69" t="inlineStr">
        <is>
          <t>هوش مصنوعی / یادگیری ماشین</t>
        </is>
      </c>
      <c r="H52" s="69" t="inlineStr">
        <is>
          <t>۲ سال</t>
        </is>
      </c>
      <c r="I52" s="69" t="inlineStr">
        <is>
          <t>$0 + ≈ $450 سهم ترم</t>
        </is>
      </c>
      <c r="J52" s="69" t="inlineStr">
        <is>
          <t>$1,800</t>
        </is>
      </c>
      <c r="K52" s="110" t="inlineStr">
        <is>
          <t>$26–32k</t>
        </is>
      </c>
      <c r="L52" s="69" t="inlineStr">
        <is>
          <t>کارشناسی CS/مرتبط؛ بدون NC</t>
        </is>
      </c>
      <c r="M52" s="63" t="inlineStr">
        <is>
          <t>7.0 (C1)</t>
        </is>
      </c>
      <c r="N52" s="63">
        <f>588 (CS ≈ 251)</f>
        <v/>
      </c>
      <c r="O52" s="40" t="inlineStr">
        <is>
          <t>Target</t>
        </is>
      </c>
      <c r="P52" s="69" t="inlineStr">
        <is>
          <t>5/5 — داغ‌ترین بازار؛
«AI Engineer» سریع‌ترین‌رشد (LinkedIn 2026)؛
ولی برنامه‌های ریاضی‌محور (Tübingen، UvA، KTH) بسیار رقابتی‌اند</t>
        </is>
      </c>
      <c r="Q52" s="63" t="inlineStr">
        <is>
          <t>MPI Informatics و DFKI در همان کمپوس</t>
        </is>
      </c>
      <c r="R52" s="111" t="inlineStr">
        <is>
          <t>https://www.uni-saarland.de/en/study/programmes/master/data-science.html</t>
        </is>
      </c>
    </row>
    <row r="53">
      <c r="A53" s="112" t="n">
        <v>52</v>
      </c>
      <c r="B53" s="127" t="inlineStr">
        <is>
          <t>آلمان</t>
        </is>
      </c>
      <c r="C53" s="113" t="inlineStr">
        <is>
          <t>TU Chemnitz</t>
        </is>
      </c>
      <c r="D53" s="113" t="inlineStr">
        <is>
          <t>Chemnitz (کمنیتس) — ساکسونی</t>
        </is>
      </c>
      <c r="E53" s="114" t="inlineStr">
        <is>
          <t>ارزان — $910–1,140</t>
        </is>
      </c>
      <c r="F53" s="113" t="inlineStr">
        <is>
          <t>M.Sc. Automotive Software Engineering</t>
        </is>
      </c>
      <c r="G53" s="114" t="inlineStr">
        <is>
          <t>سیستم‌های نهفته / رباتیک / خودران</t>
        </is>
      </c>
      <c r="H53" s="114" t="inlineStr">
        <is>
          <t>۲ سال</t>
        </is>
      </c>
      <c r="I53" s="114" t="inlineStr">
        <is>
          <t>$0 + ≈ $365 سهم ترم (≈ $730/سال)</t>
        </is>
      </c>
      <c r="J53" s="114" t="inlineStr">
        <is>
          <t>$1,460</t>
        </is>
      </c>
      <c r="K53" s="110" t="inlineStr">
        <is>
          <t>$23–29k</t>
        </is>
      </c>
      <c r="L53" s="114" t="inlineStr">
        <is>
          <t>کارشناسی CS/مرتبط؛ بدون محدودیت پذیرش</t>
        </is>
      </c>
      <c r="M53" s="113" t="inlineStr">
        <is>
          <t>B2 (IELTS 5.5)</t>
        </is>
      </c>
      <c r="N53" s="114" t="inlineStr">
        <is>
          <t>—</t>
        </is>
      </c>
      <c r="O53" s="78" t="inlineStr">
        <is>
          <t>Safe</t>
        </is>
      </c>
      <c r="P53" s="114" t="inlineStr">
        <is>
          <t>4/5 — در آلمان و سوئد قوی (خودرو، Bosch، ABB، Ericsson)؛
ولی کارفرمایان صنعتی خارج از شهرهای بزرگ اغلب آلمانی/سوئدی می‌خواهند</t>
        </is>
      </c>
      <c r="Q53" s="114" t="inlineStr">
        <is>
          <t>آسان‌ترین ورود؛
شهر ارزان؛
ولی صنعت خودرو ۲۰۲۴–۲۵ ضعیف و آلمانی در کارفرمایان محلی</t>
        </is>
      </c>
      <c r="R53" s="115" t="inlineStr">
        <is>
          <t>https://www.mygermanuniversity.com/master/automotive-software-engineering/91</t>
        </is>
      </c>
    </row>
    <row r="54">
      <c r="A54" s="66" t="n">
        <v>53</v>
      </c>
      <c r="B54" s="127" t="inlineStr">
        <is>
          <t>آلمان</t>
        </is>
      </c>
      <c r="C54" s="63" t="inlineStr">
        <is>
          <t>Universität Passau</t>
        </is>
      </c>
      <c r="D54" s="63" t="inlineStr">
        <is>
          <t>Passau (پاساو) — شهر کوچک، مرز اتریش</t>
        </is>
      </c>
      <c r="E54" s="69" t="inlineStr">
        <is>
          <t>متوسط — $1,030–1,250</t>
        </is>
      </c>
      <c r="F54" s="63" t="inlineStr">
        <is>
          <t>M.Sc. Artificial Intelligence Engineering</t>
        </is>
      </c>
      <c r="G54" s="69" t="inlineStr">
        <is>
          <t>هوش مصنوعی / یادگیری ماشین</t>
        </is>
      </c>
      <c r="H54" s="69" t="inlineStr">
        <is>
          <t>۲ سال</t>
        </is>
      </c>
      <c r="I54" s="69" t="inlineStr">
        <is>
          <t>$0 + ≈ $115–230 سهم ترم</t>
        </is>
      </c>
      <c r="J54" s="69" t="inlineStr">
        <is>
          <t>$685</t>
        </is>
      </c>
      <c r="K54" s="110" t="inlineStr">
        <is>
          <t>$25–31k</t>
        </is>
      </c>
      <c r="L54" s="69" t="inlineStr">
        <is>
          <t>معدل آلمانی ≤ 2.7 (معدل شما ≈ 2.3 ✓)؛
۳۵ ECTS ریاضی + ۴۰ ECTS CS</t>
        </is>
      </c>
      <c r="M54" s="63" t="inlineStr">
        <is>
          <t>B2؛
+ آلمانی A1 تا پایان سال اول (کلاس رایگان)</t>
        </is>
      </c>
      <c r="N54" s="69" t="inlineStr">
        <is>
          <t>—</t>
        </is>
      </c>
      <c r="O54" s="78" t="inlineStr">
        <is>
          <t>Safe</t>
        </is>
      </c>
      <c r="P54" s="69" t="inlineStr">
        <is>
          <t>5/5 — داغ‌ترین بازار؛
«AI Engineer» سریع‌ترین‌رشد (LinkedIn 2026)؛
ولی برنامه‌های ریاضی‌محور (Tübingen، UvA، KTH) بسیار رقابتی‌اند</t>
        </is>
      </c>
      <c r="Q54" s="69" t="inlineStr">
        <is>
          <t>کاملاً انگلیسی؛
شهر کوچک و ارزان؛
Passau رسماً اعلام کرده «فعلاً» شهریهٔ غیر-EU نمی‌گیرد (برخلاف FAU/TUM) ولی طبق قانون باواریا می‌تواند — قبل از اپلای چک کنید</t>
        </is>
      </c>
      <c r="R54" s="111" t="inlineStr">
        <is>
          <t>https://www.uni-passau.de/en/msc-ai-eng</t>
        </is>
      </c>
    </row>
    <row r="55">
      <c r="A55" s="112" t="n">
        <v>54</v>
      </c>
      <c r="B55" s="127" t="inlineStr">
        <is>
          <t>آلمان</t>
        </is>
      </c>
      <c r="C55" s="113" t="inlineStr">
        <is>
          <t>Otto-von-Guericke-Universität (OVGU)</t>
        </is>
      </c>
      <c r="D55" s="113" t="inlineStr">
        <is>
          <t>Magdeburg (ماگدبورگ) — ساکسونی-آنهالت</t>
        </is>
      </c>
      <c r="E55" s="114" t="inlineStr">
        <is>
          <t>ارزان — $970–1,140</t>
        </is>
      </c>
      <c r="F55" s="113" t="inlineStr">
        <is>
          <t>M.Sc. Data and Knowledge Engineering</t>
        </is>
      </c>
      <c r="G55" s="114" t="inlineStr">
        <is>
          <t>علم داده / تحلیل داده</t>
        </is>
      </c>
      <c r="H55" s="114" t="inlineStr">
        <is>
          <t>۲ سال</t>
        </is>
      </c>
      <c r="I55" s="114" t="inlineStr">
        <is>
          <t>$0 + ≈ $355 سهم ترم</t>
        </is>
      </c>
      <c r="J55" s="114" t="inlineStr">
        <is>
          <t>$1,410</t>
        </is>
      </c>
      <c r="K55" s="110" t="inlineStr">
        <is>
          <t>$25–29k</t>
        </is>
      </c>
      <c r="L55" s="114" t="inlineStr">
        <is>
          <t>معدل آلمانی ≤ 2.3 (معدل شما ≈ 2.27 — دقیقاً مرزی)؛
کارشناسی CS</t>
        </is>
      </c>
      <c r="M55" s="114" t="inlineStr">
        <is>
          <t>6.0–7.0 (منابع متناقض؛ رسمی را چک کنید)</t>
        </is>
      </c>
      <c r="N55" s="114" t="inlineStr">
        <is>
          <t>—</t>
        </is>
      </c>
      <c r="O55" s="74" t="inlineStr">
        <is>
          <t>Safe/Target</t>
        </is>
      </c>
      <c r="P55" s="114" t="inlineStr">
        <is>
          <t>3/5 — بازار ارشد/سینیور خوب، ولی سطح جونیور اشباع (ده‌ها هزار فارغ‌التحصیل مشابه)؛
Data Engineer کم‌رقابت‌تر از Data Scientist</t>
        </is>
      </c>
      <c r="Q55" s="114" t="inlineStr"/>
      <c r="R55" s="115" t="inlineStr">
        <is>
          <t>https://www.dke.ovgu.de/</t>
        </is>
      </c>
    </row>
    <row r="56">
      <c r="A56" s="66" t="n">
        <v>55</v>
      </c>
      <c r="B56" s="127" t="inlineStr">
        <is>
          <t>آلمان</t>
        </is>
      </c>
      <c r="C56" s="63" t="inlineStr">
        <is>
          <t>TH Köln – Cologne Game Lab</t>
        </is>
      </c>
      <c r="D56" s="63" t="inlineStr">
        <is>
          <t>Köln / Cologne (کلن) — چهارمین شهر آلمان</t>
        </is>
      </c>
      <c r="E56" s="69" t="inlineStr">
        <is>
          <t>گران — $1,200–1,480</t>
        </is>
      </c>
      <c r="F56" s="63" t="inlineStr">
        <is>
          <t>M.A. Game Development and Research</t>
        </is>
      </c>
      <c r="G56" s="69" t="inlineStr">
        <is>
          <t>توسعه بازی</t>
        </is>
      </c>
      <c r="H56" s="69" t="inlineStr">
        <is>
          <t>۲ سال</t>
        </is>
      </c>
      <c r="I56" s="69" t="inlineStr">
        <is>
          <t>$2,850 در ترم (غیر-EU) + $315 سهم ترم ≈ $6,330/سال</t>
        </is>
      </c>
      <c r="J56" s="69" t="inlineStr">
        <is>
          <t>$12,700</t>
        </is>
      </c>
      <c r="K56" s="110" t="inlineStr">
        <is>
          <t>$41–48k</t>
        </is>
      </c>
      <c r="L56" s="69" t="inlineStr">
        <is>
          <t>هر کارشناسی + ≥ ۱۲ ماه سابقهٔ مرتبط + آزمون استعداد (مهلت ۳۱ مارس)</t>
        </is>
      </c>
      <c r="M56" s="63" t="inlineStr">
        <is>
          <t>B2</t>
        </is>
      </c>
      <c r="N56" s="63" t="inlineStr">
        <is>
          <t>— (UAS)</t>
        </is>
      </c>
      <c r="O56" s="40" t="inlineStr">
        <is>
          <t>Target</t>
        </is>
      </c>
      <c r="P56"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6" s="69" t="inlineStr">
        <is>
          <t>معتبرترین مدرسهٔ بازی آلمان؛
۷ ماه Unity + ۲ سال IT شما احتمالاً شرط ۱۲ ماه را می‌پوشاند — بپرسید</t>
        </is>
      </c>
      <c r="R56" s="111" t="inlineStr">
        <is>
          <t>https://colognegamelab.de/study-programs/post-graduate-programs/game-development-research-ma/faqs/</t>
        </is>
      </c>
    </row>
    <row r="57">
      <c r="A57" s="112" t="n">
        <v>56</v>
      </c>
      <c r="B57" s="127" t="inlineStr">
        <is>
          <t>آلمان</t>
        </is>
      </c>
      <c r="C57" s="113" t="inlineStr">
        <is>
          <t>Universität Siegen</t>
        </is>
      </c>
      <c r="D57" s="113" t="inlineStr">
        <is>
          <t>Siegen (زیگن) — شهر کوچک، NRW</t>
        </is>
      </c>
      <c r="E57" s="114" t="inlineStr">
        <is>
          <t>متوسط — $1,030–1,250</t>
        </is>
      </c>
      <c r="F57" s="113" t="inlineStr">
        <is>
          <t>M.Sc. Human Computer Interaction</t>
        </is>
      </c>
      <c r="G57" s="113" t="inlineStr">
        <is>
          <t>HCI / طراحی تعامل / UX</t>
        </is>
      </c>
      <c r="H57" s="114" t="inlineStr">
        <is>
          <t>۲ سال</t>
        </is>
      </c>
      <c r="I57" s="114" t="inlineStr">
        <is>
          <t>$0 + ≈ $425 سهم ترم</t>
        </is>
      </c>
      <c r="J57" s="114" t="inlineStr">
        <is>
          <t>$1,700</t>
        </is>
      </c>
      <c r="K57" s="110" t="inlineStr">
        <is>
          <t>$26–32k</t>
        </is>
      </c>
      <c r="L57" s="114" t="inlineStr">
        <is>
          <t>معدل آلمانی ≤ 2.5؛
کارشناسی CS/IS/Design/Psychology</t>
        </is>
      </c>
      <c r="M57" s="114" t="inlineStr">
        <is>
          <t>6.5</t>
        </is>
      </c>
      <c r="N57" s="114" t="inlineStr">
        <is>
          <t>—</t>
        </is>
      </c>
      <c r="O57" s="78" t="inlineStr">
        <is>
          <t>Safe</t>
        </is>
      </c>
      <c r="P57" s="114" t="inlineStr">
        <is>
          <t>2/5 — آگهی‌های UX/UXR از ۲۰۲۲ حدود ۷۰٪ کم شده و از ۲۰۲۳ ثابت مانده؛
رقابت شدید، حقوق شروع کمتر از توسعه‌دهنده</t>
        </is>
      </c>
      <c r="Q57" s="114" t="inlineStr">
        <is>
          <t>شروع زمستان و تابستان؛ شهر کوچک</t>
        </is>
      </c>
      <c r="R57" s="115" t="inlineStr">
        <is>
          <t>https://www2.daad.de/deutschland/studienangebote/international-programmes/en/detail/4686/</t>
        </is>
      </c>
    </row>
    <row r="58">
      <c r="A58" s="66" t="n">
        <v>57</v>
      </c>
      <c r="B58" s="127" t="inlineStr">
        <is>
          <t>آلمان</t>
        </is>
      </c>
      <c r="C58" s="63" t="inlineStr">
        <is>
          <t>Hochschule Bonn-Rhein-Sieg (H-BRS)</t>
        </is>
      </c>
      <c r="D58" s="63" t="inlineStr">
        <is>
          <t>Sankt Augustin (زانکت آگوستین) — حومهٔ Bonn</t>
        </is>
      </c>
      <c r="E58" s="69" t="inlineStr">
        <is>
          <t>متوسط — $1,080–1,370</t>
        </is>
      </c>
      <c r="F58" s="63" t="inlineStr">
        <is>
          <t>M.Sc. Autonomous Systems</t>
        </is>
      </c>
      <c r="G58" s="69" t="inlineStr">
        <is>
          <t>سیستم‌های نهفته / رباتیک / خودران</t>
        </is>
      </c>
      <c r="H58" s="69" t="inlineStr">
        <is>
          <t>۲ سال</t>
        </is>
      </c>
      <c r="I58" s="69" t="inlineStr">
        <is>
          <t>$0 + $400 سهم ترم</t>
        </is>
      </c>
      <c r="J58" s="69" t="inlineStr">
        <is>
          <t>$1,600</t>
        </is>
      </c>
      <c r="K58" s="110" t="inlineStr">
        <is>
          <t>$28–34k</t>
        </is>
      </c>
      <c r="L58" s="69" t="inlineStr">
        <is>
          <t>معدل آلمانی ≤ 2.5؛
۲۵ جای محدود؛
آزمون استعداد؛
uni-assist</t>
        </is>
      </c>
      <c r="M58" s="63" t="inlineStr">
        <is>
          <t>6.5 (B2+)</t>
        </is>
      </c>
      <c r="N58" s="63" t="inlineStr">
        <is>
          <t>— (UAS)</t>
        </is>
      </c>
      <c r="O58" s="40" t="inlineStr">
        <is>
          <t>Target</t>
        </is>
      </c>
      <c r="P58" s="69" t="inlineStr">
        <is>
          <t>4/5 — در آلمان و سوئد قوی (خودرو، Bosch، ABB، Ericsson)؛
ولی کارفرمایان صنعتی خارج از شهرهای بزرگ اغلب آلمانی/سوئدی می‌خواهند</t>
        </is>
      </c>
      <c r="Q58" s="69" t="inlineStr">
        <is>
          <t>رباتیک کاربردی با Fraunhofer؛
نزدیک Bonn/Köln</t>
        </is>
      </c>
      <c r="R58" s="111" t="inlineStr">
        <is>
          <t>https://www.h-brs.de/en/inf/admission-application-master-autonomous-systems</t>
        </is>
      </c>
    </row>
    <row r="59">
      <c r="A59" s="112" t="n">
        <v>58</v>
      </c>
      <c r="B59" s="127" t="inlineStr">
        <is>
          <t>آلمان</t>
        </is>
      </c>
      <c r="C59" s="113" t="inlineStr">
        <is>
          <t>RWTH Aachen</t>
        </is>
      </c>
      <c r="D59" s="113" t="inlineStr">
        <is>
          <t>Aachen (آخن) — مرز هلند/بلژیک</t>
        </is>
      </c>
      <c r="E59" s="114" t="inlineStr">
        <is>
          <t>متوسط — $1,080–1,370</t>
        </is>
      </c>
      <c r="F59" s="113" t="inlineStr">
        <is>
          <t>M.Sc. Software Systems Engineering</t>
        </is>
      </c>
      <c r="G59" s="114" t="inlineStr">
        <is>
          <t>مهندسی نرم‌افزار / علوم کامپیوتر</t>
        </is>
      </c>
      <c r="H59" s="114" t="inlineStr">
        <is>
          <t>۲ سال</t>
        </is>
      </c>
      <c r="I59" s="114" t="inlineStr">
        <is>
          <t>$0 + ≈ $375 سهم ترم</t>
        </is>
      </c>
      <c r="J59" s="114" t="inlineStr">
        <is>
          <t>$1,500</t>
        </is>
      </c>
      <c r="K59" s="110" t="inlineStr">
        <is>
          <t>$27–34k</t>
        </is>
      </c>
      <c r="L59" s="114" t="inlineStr">
        <is>
          <t>کارشناسی CS، معدل ≥ ۶۵٪ (شما ۷۹٪ ✓)؛
۲ درس پیشرفتهٔ سیستم؛
مهلت ۱ مارس</t>
        </is>
      </c>
      <c r="M59" s="113" t="inlineStr">
        <is>
          <t>B2 (IELTS 5.5)</t>
        </is>
      </c>
      <c r="N59" s="114" t="inlineStr">
        <is>
          <t>104</t>
        </is>
      </c>
      <c r="O59" s="116" t="inlineStr">
        <is>
          <t>Reach</t>
        </is>
      </c>
      <c r="P59" s="114" t="inlineStr">
        <is>
          <t>4/5 — بیشترین حجم آگهی در هر ۸ کشور؛
ورود جونیور از ۲۰۲۳ سخت‌تر شده — سابقهٔ کار شما مزیت است</t>
        </is>
      </c>
      <c r="Q59" s="113" t="inlineStr">
        <is>
          <t>TU9؛
رقابتی — معدل شما حداقل را رد می‌کند ولی متقاضیان قوی‌ترند</t>
        </is>
      </c>
      <c r="R59" s="115" t="inlineStr">
        <is>
          <t>https://sc.informatik.rwth-aachen.de/en/studium/master/sse/</t>
        </is>
      </c>
    </row>
    <row r="60">
      <c r="A60" s="66" t="n">
        <v>59</v>
      </c>
      <c r="B60" s="127" t="inlineStr">
        <is>
          <t>آلمان</t>
        </is>
      </c>
      <c r="C60" s="63" t="inlineStr">
        <is>
          <t>Universität Tübingen</t>
        </is>
      </c>
      <c r="D60" s="63" t="inlineStr">
        <is>
          <t>Tübingen (توبینگن) — شهر دانشگاهی کوچک؛
Cyber Valley</t>
        </is>
      </c>
      <c r="E60" s="69" t="inlineStr">
        <is>
          <t>گران — $1,200–1,480</t>
        </is>
      </c>
      <c r="F60" s="63" t="inlineStr">
        <is>
          <t>M.Sc. Machine Learning</t>
        </is>
      </c>
      <c r="G60" s="69" t="inlineStr">
        <is>
          <t>هوش مصنوعی / یادگیری ماشین</t>
        </is>
      </c>
      <c r="H60" s="69" t="inlineStr">
        <is>
          <t>۲ سال</t>
        </is>
      </c>
      <c r="I60" s="69" t="inlineStr">
        <is>
          <t>$1,710 در ترم + ≈ $230 = ≈ $3,880/سال</t>
        </is>
      </c>
      <c r="J60" s="69" t="inlineStr">
        <is>
          <t>$7,750</t>
        </is>
      </c>
      <c r="K60" s="110" t="inlineStr">
        <is>
          <t>$36–43k</t>
        </is>
      </c>
      <c r="L60" s="69" t="inlineStr">
        <is>
          <t>کارشناسی CS/ریاضی؛
آزمون توانایی؛
مهلت ۳۰ آوریل</t>
        </is>
      </c>
      <c r="M60" s="69" t="inlineStr">
        <is>
          <t>7.0</t>
        </is>
      </c>
      <c r="N60" s="69">
        <f>230</f>
        <v/>
      </c>
      <c r="O60" s="116" t="inlineStr">
        <is>
          <t>Reach</t>
        </is>
      </c>
      <c r="P60" s="69" t="inlineStr">
        <is>
          <t>5/5 — داغ‌ترین بازار؛
«AI Engineer» سریع‌ترین‌رشد (LinkedIn 2026)؛
ولی برنامه‌های ریاضی‌محور (Tübingen، UvA، KTH) بسیار رقابتی‌اند</t>
        </is>
      </c>
      <c r="Q60" s="63" t="inlineStr">
        <is>
          <t>Cyber Valley — بهترین ML آلمان؛
پذیرش بسیار سخت</t>
        </is>
      </c>
      <c r="R60" s="111" t="inlineStr">
        <is>
          <t>https://uni-tuebingen.de/fakultaeten/mathematisch-naturwissenschaftliche-fakultaet/fachbereiche/informatik/studium/studierende/lehre-studienorganisation/studiengaenge/machine-learning/admission-and-application/</t>
        </is>
      </c>
    </row>
    <row r="61">
      <c r="A61" s="112" t="n">
        <v>60</v>
      </c>
      <c r="B61" s="127" t="inlineStr">
        <is>
          <t>آلمان</t>
        </is>
      </c>
      <c r="C61" s="113" t="inlineStr">
        <is>
          <t>TU München (TUM)</t>
        </is>
      </c>
      <c r="D61" s="113" t="inlineStr">
        <is>
          <t>München – Garching (مونیخ، کمپوس گارشینگ)</t>
        </is>
      </c>
      <c r="E61" s="114" t="inlineStr">
        <is>
          <t>خیلی گران — $1,480–1,820</t>
        </is>
      </c>
      <c r="F61" s="113" t="inlineStr">
        <is>
          <t>M.Sc. Informatics</t>
        </is>
      </c>
      <c r="G61" s="114" t="inlineStr">
        <is>
          <t>مهندسی نرم‌افزار / علوم کامپیوتر</t>
        </is>
      </c>
      <c r="H61" s="114" t="inlineStr">
        <is>
          <t>۲ سال</t>
        </is>
      </c>
      <c r="I61" s="114" t="inlineStr">
        <is>
          <t>$6,840 در ترم برای غیر-EU ($13,700/سال) + $110</t>
        </is>
      </c>
      <c r="J61" s="114" t="inlineStr">
        <is>
          <t>$27,800</t>
        </is>
      </c>
      <c r="K61" s="110" t="inlineStr">
        <is>
          <t>$63–72k</t>
        </is>
      </c>
      <c r="L61" s="114" t="inlineStr">
        <is>
          <t>کارشناسی CS؛ ارزیابی استعداد؛ بسیار رقابتی</t>
        </is>
      </c>
      <c r="M61" s="114" t="inlineStr">
        <is>
          <t>6.5</t>
        </is>
      </c>
      <c r="N61" s="114" t="inlineStr">
        <is>
          <t>≈ 25</t>
        </is>
      </c>
      <c r="O61" s="116" t="inlineStr">
        <is>
          <t>Reach</t>
        </is>
      </c>
      <c r="P61" s="114" t="inlineStr">
        <is>
          <t>4/5 — بیشترین حجم آگهی در هر ۸ کشور؛
ورود جونیور از ۲۰۲۳ سخت‌تر شده — سابقهٔ کار شما مزیت است</t>
        </is>
      </c>
      <c r="Q61" s="128" t="inlineStr">
        <is>
          <t>⚠️ TUM از ۲۰۲۴ شهریهٔ غیر-EU می‌گیرد — دیگر «رایگان» نیست؛
Munich گران‌ترین شهر آلمان</t>
        </is>
      </c>
      <c r="R61" s="115" t="inlineStr">
        <is>
          <t>https://www.tum.de/en/studies/degree-programs/detail/informatics-master-of-science-msc</t>
        </is>
      </c>
    </row>
    <row r="62">
      <c r="A62" s="129" t="n">
        <v>61</v>
      </c>
      <c r="B62" s="130" t="inlineStr">
        <is>
          <t>هلند</t>
        </is>
      </c>
      <c r="C62" s="131" t="inlineStr">
        <is>
          <t>University of Twente (UT)</t>
        </is>
      </c>
      <c r="D62" s="131" t="inlineStr">
        <is>
          <t>Enschede (انسخده) — شرق هلند، مرز آلمان</t>
        </is>
      </c>
      <c r="E62" s="132" t="inlineStr">
        <is>
          <t>متوسط — $1,140–1,480</t>
        </is>
      </c>
      <c r="F62" s="131" t="inlineStr">
        <is>
          <t>MSc Computer Science (گرایش‌ها: Cyber Security، Data Science، Software Tech، ...)</t>
        </is>
      </c>
      <c r="G62" s="132" t="inlineStr">
        <is>
          <t>مهندسی نرم‌افزار / علوم کامپیوتر</t>
        </is>
      </c>
      <c r="H62" s="132" t="inlineStr">
        <is>
          <t>۲ سال</t>
        </is>
      </c>
      <c r="I62" s="132" t="inlineStr">
        <is>
          <t>$24,700</t>
        </is>
      </c>
      <c r="J62" s="132" t="inlineStr">
        <is>
          <t>$49,500</t>
        </is>
      </c>
      <c r="K62" s="121" t="inlineStr">
        <is>
          <t>$77–85k</t>
        </is>
      </c>
      <c r="L62" s="132" t="inlineStr">
        <is>
          <t>حداقل رسمی برای مدرک ایرانی ۱۵/۲۰</t>
        </is>
      </c>
      <c r="M62" s="132" t="inlineStr">
        <is>
          <t>6.5</t>
        </is>
      </c>
      <c r="N62" s="132" t="inlineStr">
        <is>
          <t>223</t>
        </is>
      </c>
      <c r="O62" s="122" t="inlineStr">
        <is>
          <t>Target</t>
        </is>
      </c>
      <c r="P62" s="132" t="inlineStr">
        <is>
          <t>4/5 — بیشترین حجم آگهی در هر ۸ کشور؛
ورود جونیور از ۲۰۲۳ سخت‌تر شده — سابقهٔ کار شما مزیت است</t>
        </is>
      </c>
      <c r="Q62" s="132" t="inlineStr">
        <is>
          <t>گزینهٔ Target جدول اصلی</t>
        </is>
      </c>
      <c r="R62" s="133" t="inlineStr">
        <is>
          <t>https://www.utwente.nl/en/education/master/programmes/computer-science/</t>
        </is>
      </c>
    </row>
    <row r="63">
      <c r="A63" s="112" t="n">
        <v>62</v>
      </c>
      <c r="B63" s="134" t="inlineStr">
        <is>
          <t>هلند</t>
        </is>
      </c>
      <c r="C63" s="113" t="inlineStr">
        <is>
          <t>University of Twente (UT)</t>
        </is>
      </c>
      <c r="D63" s="113" t="inlineStr">
        <is>
          <t>Enschede (انسخده) — شرق هلند، مرز آلمان</t>
        </is>
      </c>
      <c r="E63" s="114" t="inlineStr">
        <is>
          <t>متوسط — $1,140–1,480</t>
        </is>
      </c>
      <c r="F63" s="113" t="inlineStr">
        <is>
          <t>MSc Embedded Systems</t>
        </is>
      </c>
      <c r="G63" s="114" t="inlineStr">
        <is>
          <t>سیستم‌های نهفته / رباتیک / خودران</t>
        </is>
      </c>
      <c r="H63" s="114" t="inlineStr">
        <is>
          <t>۲ سال</t>
        </is>
      </c>
      <c r="I63" s="114" t="inlineStr">
        <is>
          <t>$24,700</t>
        </is>
      </c>
      <c r="J63" s="114" t="inlineStr">
        <is>
          <t>$49,500</t>
        </is>
      </c>
      <c r="K63" s="110" t="inlineStr">
        <is>
          <t>$77–85k</t>
        </is>
      </c>
      <c r="L63" s="113" t="inlineStr">
        <is>
          <t>CGPA ≥ ۷۰–۷۵٪؛ کارشناسی CS/EE/Computer Eng</t>
        </is>
      </c>
      <c r="M63" s="114" t="inlineStr">
        <is>
          <t>6.5</t>
        </is>
      </c>
      <c r="N63" s="114" t="inlineStr">
        <is>
          <t>223</t>
        </is>
      </c>
      <c r="O63" s="40" t="inlineStr">
        <is>
          <t>Target</t>
        </is>
      </c>
      <c r="P63" s="114" t="inlineStr">
        <is>
          <t>4/5 — در آلمان و سوئد قوی (خودرو، Bosch، ABB، Ericsson)؛
ولی کارفرمایان صنعتی خارج از شهرهای بزرگ اغلب آلمانی/سوئدی می‌خواهند</t>
        </is>
      </c>
      <c r="Q63" s="114" t="inlineStr">
        <is>
          <t>شهریهٔ رسمی 2026/27؛ مهلت غیر-EU ۱ مه</t>
        </is>
      </c>
      <c r="R63" s="115" t="inlineStr">
        <is>
          <t>https://www.utwente.nl/en/education/master/programmes/embedded-systems/finance/</t>
        </is>
      </c>
    </row>
    <row r="64">
      <c r="A64" s="66" t="n">
        <v>63</v>
      </c>
      <c r="B64" s="134" t="inlineStr">
        <is>
          <t>هلند</t>
        </is>
      </c>
      <c r="C64" s="63" t="inlineStr">
        <is>
          <t>University of Twente (UT)</t>
        </is>
      </c>
      <c r="D64" s="63" t="inlineStr">
        <is>
          <t>Enschede (انسخده) — شرق هلند، مرز آلمان</t>
        </is>
      </c>
      <c r="E64" s="69" t="inlineStr">
        <is>
          <t>متوسط — $1,140–1,480</t>
        </is>
      </c>
      <c r="F64" s="63" t="inlineStr">
        <is>
          <t>MSc Interaction Technology</t>
        </is>
      </c>
      <c r="G64" s="63" t="inlineStr">
        <is>
          <t>HCI / طراحی تعامل / UX</t>
        </is>
      </c>
      <c r="H64" s="69" t="inlineStr">
        <is>
          <t>۲ سال</t>
        </is>
      </c>
      <c r="I64" s="69" t="inlineStr">
        <is>
          <t>$24,700</t>
        </is>
      </c>
      <c r="J64" s="69" t="inlineStr">
        <is>
          <t>$49,500</t>
        </is>
      </c>
      <c r="K64" s="110" t="inlineStr">
        <is>
          <t>$77–85k</t>
        </is>
      </c>
      <c r="L64" s="69" t="inlineStr">
        <is>
          <t>کارشناسی CS/مرتبط</t>
        </is>
      </c>
      <c r="M64" s="69" t="inlineStr">
        <is>
          <t>6.5</t>
        </is>
      </c>
      <c r="N64" s="69" t="inlineStr">
        <is>
          <t>223</t>
        </is>
      </c>
      <c r="O64" s="40" t="inlineStr">
        <is>
          <t>Target</t>
        </is>
      </c>
      <c r="P64" s="69" t="inlineStr">
        <is>
          <t>2/5 — آگهی‌های UX/UXR از ۲۰۲۲ حدود ۷۰٪ کم شده و از ۲۰۲۳ ثابت مانده؛
رقابت شدید، حقوق شروع کمتر از توسعه‌دهنده</t>
        </is>
      </c>
      <c r="Q64" s="63" t="inlineStr">
        <is>
          <t>HCI فنی (نه طراحی صرف)</t>
        </is>
      </c>
      <c r="R64" s="111" t="inlineStr">
        <is>
          <t>https://www.utwente.nl/en/education/master/programmes/interaction-technology/</t>
        </is>
      </c>
    </row>
    <row r="65">
      <c r="A65" s="112" t="n">
        <v>64</v>
      </c>
      <c r="B65" s="134" t="inlineStr">
        <is>
          <t>هلند</t>
        </is>
      </c>
      <c r="C65" s="113" t="inlineStr">
        <is>
          <t>Radboud University</t>
        </is>
      </c>
      <c r="D65" s="113" t="inlineStr">
        <is>
          <t>Nijmegen (نایمخن) — شرق هلند</t>
        </is>
      </c>
      <c r="E65" s="114" t="inlineStr">
        <is>
          <t>متوسط — $1,200–1,540</t>
        </is>
      </c>
      <c r="F65" s="113" t="inlineStr">
        <is>
          <t>MSc Computing Science (گرایش‌ها: Cyber Security، Data Science، Software Science)</t>
        </is>
      </c>
      <c r="G65" s="114" t="inlineStr">
        <is>
          <t>مهندسی نرم‌افزار / علوم کامپیوتر</t>
        </is>
      </c>
      <c r="H65" s="114" t="inlineStr">
        <is>
          <t>۲ سال</t>
        </is>
      </c>
      <c r="I65" s="114" t="inlineStr">
        <is>
          <t>$22,500 (2026/27 — نرخ رسمی دانشکدهٔ علوم)</t>
        </is>
      </c>
      <c r="J65" s="114" t="inlineStr">
        <is>
          <t>$44,900</t>
        </is>
      </c>
      <c r="K65" s="110" t="inlineStr">
        <is>
          <t>$74–82k</t>
        </is>
      </c>
      <c r="L65" s="114" t="inlineStr">
        <is>
          <t>کارشناسی CS با ریاضی/الگوریتم کافی</t>
        </is>
      </c>
      <c r="M65" s="114" t="inlineStr">
        <is>
          <t>6.5</t>
        </is>
      </c>
      <c r="N65" s="114" t="inlineStr">
        <is>
          <t>283</t>
        </is>
      </c>
      <c r="O65" s="40" t="inlineStr">
        <is>
          <t>Target</t>
        </is>
      </c>
      <c r="P65" s="114" t="inlineStr">
        <is>
          <t>4/5 — بیشترین حجم آگهی در هر ۸ کشور؛
ورود جونیور از ۲۰۲۳ سخت‌تر شده — سابقهٔ کار شما مزیت است</t>
        </is>
      </c>
      <c r="Q65" s="114" t="inlineStr">
        <is>
          <t>گزینهٔ Target جدول اصلی</t>
        </is>
      </c>
      <c r="R65" s="115" t="inlineStr">
        <is>
          <t>https://www.ru.nl/en/education/masters/computing-science</t>
        </is>
      </c>
    </row>
    <row r="66">
      <c r="A66" s="66" t="n">
        <v>65</v>
      </c>
      <c r="B66" s="134" t="inlineStr">
        <is>
          <t>هلند</t>
        </is>
      </c>
      <c r="C66" s="63" t="inlineStr">
        <is>
          <t>Radboud University</t>
        </is>
      </c>
      <c r="D66" s="63" t="inlineStr">
        <is>
          <t>Nijmegen (نایمخن) — شرق هلند</t>
        </is>
      </c>
      <c r="E66" s="69" t="inlineStr">
        <is>
          <t>متوسط — $1,200–1,540</t>
        </is>
      </c>
      <c r="F66" s="63" t="inlineStr">
        <is>
          <t>MSc Artificial Intelligence</t>
        </is>
      </c>
      <c r="G66" s="69" t="inlineStr">
        <is>
          <t>هوش مصنوعی / یادگیری ماشین</t>
        </is>
      </c>
      <c r="H66" s="69" t="inlineStr">
        <is>
          <t>۲ سال</t>
        </is>
      </c>
      <c r="I66" s="69" t="inlineStr">
        <is>
          <t>$22,500 (2026/27 — نرخ رسمی دانشکدهٔ علوم)</t>
        </is>
      </c>
      <c r="J66" s="69" t="inlineStr">
        <is>
          <t>$44,900</t>
        </is>
      </c>
      <c r="K66" s="110" t="inlineStr">
        <is>
          <t>$74–82k</t>
        </is>
      </c>
      <c r="L66" s="69" t="inlineStr">
        <is>
          <t>کارشناسی CS/AI/مرتبط</t>
        </is>
      </c>
      <c r="M66" s="69" t="inlineStr">
        <is>
          <t>6.5</t>
        </is>
      </c>
      <c r="N66" s="69" t="inlineStr">
        <is>
          <t>283</t>
        </is>
      </c>
      <c r="O66" s="40" t="inlineStr">
        <is>
          <t>Target</t>
        </is>
      </c>
      <c r="P66" s="69" t="inlineStr">
        <is>
          <t>5/5 — داغ‌ترین بازار؛
«AI Engineer» سریع‌ترین‌رشد (LinkedIn 2026)؛
ولی برنامه‌های ریاضی‌محور (Tübingen، UvA، KTH) بسیار رقابتی‌اند</t>
        </is>
      </c>
      <c r="Q66" s="63" t="inlineStr">
        <is>
          <t>AI شناختی (Donders Institute)</t>
        </is>
      </c>
      <c r="R66" s="111" t="inlineStr">
        <is>
          <t>https://www.ru.nl/en/education/masters/artificial-intelligence</t>
        </is>
      </c>
    </row>
    <row r="67">
      <c r="A67" s="112" t="n">
        <v>66</v>
      </c>
      <c r="B67" s="134" t="inlineStr">
        <is>
          <t>هلند</t>
        </is>
      </c>
      <c r="C67" s="113" t="inlineStr">
        <is>
          <t>Leiden University</t>
        </is>
      </c>
      <c r="D67" s="113" t="inlineStr">
        <is>
          <t>Leiden (لایدن) — بین Den Haag و Amsterdam</t>
        </is>
      </c>
      <c r="E67" s="114" t="inlineStr">
        <is>
          <t>گران — $1,370–1,710</t>
        </is>
      </c>
      <c r="F67" s="113" t="inlineStr">
        <is>
          <t>MSc Computer Science (گرایش‌ها: Artificial Intelligence، Data Science، ...)</t>
        </is>
      </c>
      <c r="G67" s="114" t="inlineStr">
        <is>
          <t>چندحوزه‌ای (انتخاب گرایش)</t>
        </is>
      </c>
      <c r="H67" s="114" t="inlineStr">
        <is>
          <t>۲ سال</t>
        </is>
      </c>
      <c r="I67" s="114" t="inlineStr">
        <is>
          <t>$25,600</t>
        </is>
      </c>
      <c r="J67" s="114" t="inlineStr">
        <is>
          <t>$51,300</t>
        </is>
      </c>
      <c r="K67" s="110" t="inlineStr">
        <is>
          <t>$84–92k</t>
        </is>
      </c>
      <c r="L67" s="114" t="inlineStr">
        <is>
          <t>کارشناسی CS</t>
        </is>
      </c>
      <c r="M67" s="114" t="inlineStr">
        <is>
          <t>6.5</t>
        </is>
      </c>
      <c r="N67" s="114" t="inlineStr">
        <is>
          <t>119</t>
        </is>
      </c>
      <c r="O67" s="68" t="inlineStr">
        <is>
          <t>Target/Reach</t>
        </is>
      </c>
      <c r="P67" s="114" t="inlineStr">
        <is>
          <t>4/5 — گرایش را بعد از ورود انتخاب می‌کنید؛
امتیاز بازار = گرایشی که برمی‌دارید</t>
        </is>
      </c>
      <c r="Q67" s="114" t="inlineStr">
        <is>
          <t>شهریهٔ رسمی 2026/27؛
نزدیک Den Haag/Amsterdam</t>
        </is>
      </c>
      <c r="R67" s="115" t="inlineStr">
        <is>
          <t>https://www.universiteitleiden.nl/en/education/study-programmes/master/computer-science/artificial-intelligence/admission-and-application/tuition-fees</t>
        </is>
      </c>
    </row>
    <row r="68">
      <c r="A68" s="66" t="n">
        <v>67</v>
      </c>
      <c r="B68" s="134" t="inlineStr">
        <is>
          <t>هلند</t>
        </is>
      </c>
      <c r="C68" s="63" t="inlineStr">
        <is>
          <t>University of Groningen (RUG)</t>
        </is>
      </c>
      <c r="D68" s="63" t="inlineStr">
        <is>
          <t>Groningen (خرونینگن) — شمال هلند</t>
        </is>
      </c>
      <c r="E68" s="69" t="inlineStr">
        <is>
          <t>متوسط — $1,200–1,540</t>
        </is>
      </c>
      <c r="F68" s="63" t="inlineStr">
        <is>
          <t>MSc Artificial Intelligence</t>
        </is>
      </c>
      <c r="G68" s="69" t="inlineStr">
        <is>
          <t>هوش مصنوعی / یادگیری ماشین</t>
        </is>
      </c>
      <c r="H68" s="69" t="inlineStr">
        <is>
          <t>۲ سال</t>
        </is>
      </c>
      <c r="I68" s="69" t="inlineStr">
        <is>
          <t>$28,400</t>
        </is>
      </c>
      <c r="J68" s="69" t="inlineStr">
        <is>
          <t>$56,800</t>
        </is>
      </c>
      <c r="K68" s="110" t="inlineStr">
        <is>
          <t>$86–94k</t>
        </is>
      </c>
      <c r="L68" s="69" t="inlineStr">
        <is>
          <t>کارشناسی AI/CS با ریاضی</t>
        </is>
      </c>
      <c r="M68" s="69" t="inlineStr">
        <is>
          <t>6.5</t>
        </is>
      </c>
      <c r="N68" s="69" t="inlineStr">
        <is>
          <t>157</t>
        </is>
      </c>
      <c r="O68" s="68" t="inlineStr">
        <is>
          <t>Target/Reach</t>
        </is>
      </c>
      <c r="P68" s="69" t="inlineStr">
        <is>
          <t>5/5 — داغ‌ترین بازار؛
«AI Engineer» سریع‌ترین‌رشد (LinkedIn 2026)؛
ولی برنامه‌های ریاضی‌محور (Tübingen، UvA، KTH) بسیار رقابتی‌اند</t>
        </is>
      </c>
      <c r="Q68" s="69" t="inlineStr">
        <is>
          <t>شهریهٔ رسمی 2026/27؛ بورس ASML $5.7k</t>
        </is>
      </c>
      <c r="R68" s="111" t="inlineStr">
        <is>
          <t>https://www.rug.nl/masters/artificial-intelligence/?lang=en</t>
        </is>
      </c>
    </row>
    <row r="69">
      <c r="A69" s="112" t="n">
        <v>68</v>
      </c>
      <c r="B69" s="134" t="inlineStr">
        <is>
          <t>هلند</t>
        </is>
      </c>
      <c r="C69" s="113" t="inlineStr">
        <is>
          <t>University of Groningen (RUG)</t>
        </is>
      </c>
      <c r="D69" s="113" t="inlineStr">
        <is>
          <t>Groningen (خرونینگن) — شمال هلند</t>
        </is>
      </c>
      <c r="E69" s="114" t="inlineStr">
        <is>
          <t>متوسط — $1,200–1,540</t>
        </is>
      </c>
      <c r="F69" s="113" t="inlineStr">
        <is>
          <t>MSc Computing Science</t>
        </is>
      </c>
      <c r="G69" s="114" t="inlineStr">
        <is>
          <t>مهندسی نرم‌افزار / علوم کامپیوتر</t>
        </is>
      </c>
      <c r="H69" s="114" t="inlineStr">
        <is>
          <t>۲ سال</t>
        </is>
      </c>
      <c r="I69" s="114" t="inlineStr">
        <is>
          <t>≈ $24,400 (2025) → ≈ $25,600</t>
        </is>
      </c>
      <c r="J69" s="114" t="inlineStr">
        <is>
          <t>$51,300</t>
        </is>
      </c>
      <c r="K69" s="110" t="inlineStr">
        <is>
          <t>$80–88k</t>
        </is>
      </c>
      <c r="L69" s="114" t="inlineStr">
        <is>
          <t>کارشناسی CS</t>
        </is>
      </c>
      <c r="M69" s="114" t="inlineStr">
        <is>
          <t>6.5</t>
        </is>
      </c>
      <c r="N69" s="114" t="inlineStr">
        <is>
          <t>157</t>
        </is>
      </c>
      <c r="O69" s="40" t="inlineStr">
        <is>
          <t>Target</t>
        </is>
      </c>
      <c r="P69" s="114" t="inlineStr">
        <is>
          <t>4/5 — بیشترین حجم آگهی در هر ۸ کشور؛
ورود جونیور از ۲۰۲۳ سخت‌تر شده — سابقهٔ کار شما مزیت است</t>
        </is>
      </c>
      <c r="Q69" s="114" t="inlineStr"/>
      <c r="R69" s="115" t="inlineStr">
        <is>
          <t>https://www.rug.nl/masters/computing-science/?lang=en</t>
        </is>
      </c>
    </row>
    <row r="70">
      <c r="A70" s="66" t="n">
        <v>69</v>
      </c>
      <c r="B70" s="134" t="inlineStr">
        <is>
          <t>هلند</t>
        </is>
      </c>
      <c r="C70" s="63" t="inlineStr">
        <is>
          <t>Utrecht University</t>
        </is>
      </c>
      <c r="D70" s="63" t="inlineStr">
        <is>
          <t>Utrecht (اوترخت) — مرکز هلند؛
قطب استودیوهای بازی</t>
        </is>
      </c>
      <c r="E70" s="69" t="inlineStr">
        <is>
          <t>گران — $1,370–1,710</t>
        </is>
      </c>
      <c r="F70" s="63" t="inlineStr">
        <is>
          <t>MSc Game and Media Technology</t>
        </is>
      </c>
      <c r="G70" s="69" t="inlineStr">
        <is>
          <t>توسعه بازی</t>
        </is>
      </c>
      <c r="H70" s="69" t="inlineStr">
        <is>
          <t>۲ سال</t>
        </is>
      </c>
      <c r="I70" s="69" t="inlineStr">
        <is>
          <t>$28,800</t>
        </is>
      </c>
      <c r="J70" s="69" t="inlineStr">
        <is>
          <t>$57,700</t>
        </is>
      </c>
      <c r="K70" s="110" t="inlineStr">
        <is>
          <t>$91–99k</t>
        </is>
      </c>
      <c r="L70" s="69" t="inlineStr">
        <is>
          <t>کارشناسی CS؛ ارشد پژوهشی گزینشی</t>
        </is>
      </c>
      <c r="M70" s="69" t="inlineStr">
        <is>
          <t>6.5</t>
        </is>
      </c>
      <c r="N70" s="69" t="inlineStr">
        <is>
          <t>113</t>
        </is>
      </c>
      <c r="O70" s="116" t="inlineStr">
        <is>
          <t>Reach</t>
        </is>
      </c>
      <c r="P70"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0" s="69" t="inlineStr">
        <is>
          <t>تنها ارشد پژوهشی بازی هلند؛
Utrecht قطب استودیوهای بازی</t>
        </is>
      </c>
      <c r="R70" s="111" t="inlineStr">
        <is>
          <t>https://www.uu.nl/en/masters/game-and-media-technology</t>
        </is>
      </c>
    </row>
    <row r="71">
      <c r="A71" s="112" t="n">
        <v>70</v>
      </c>
      <c r="B71" s="134" t="inlineStr">
        <is>
          <t>هلند</t>
        </is>
      </c>
      <c r="C71" s="113" t="inlineStr">
        <is>
          <t>Utrecht University</t>
        </is>
      </c>
      <c r="D71" s="113" t="inlineStr">
        <is>
          <t>Utrecht (اوترخت) — مرکز هلند؛
قطب استودیوهای بازی</t>
        </is>
      </c>
      <c r="E71" s="114" t="inlineStr">
        <is>
          <t>گران — $1,370–1,710</t>
        </is>
      </c>
      <c r="F71" s="113" t="inlineStr">
        <is>
          <t>MSc Artificial Intelligence</t>
        </is>
      </c>
      <c r="G71" s="114" t="inlineStr">
        <is>
          <t>هوش مصنوعی / یادگیری ماشین</t>
        </is>
      </c>
      <c r="H71" s="114" t="inlineStr">
        <is>
          <t>۲ سال</t>
        </is>
      </c>
      <c r="I71" s="114" t="inlineStr">
        <is>
          <t>$28,800</t>
        </is>
      </c>
      <c r="J71" s="114" t="inlineStr">
        <is>
          <t>$57,700</t>
        </is>
      </c>
      <c r="K71" s="110" t="inlineStr">
        <is>
          <t>$91–99k</t>
        </is>
      </c>
      <c r="L71" s="114" t="inlineStr">
        <is>
          <t>کارشناسی CS/AI؛ گزینشی</t>
        </is>
      </c>
      <c r="M71" s="114" t="inlineStr">
        <is>
          <t>6.5</t>
        </is>
      </c>
      <c r="N71" s="114" t="inlineStr">
        <is>
          <t>113</t>
        </is>
      </c>
      <c r="O71" s="116" t="inlineStr">
        <is>
          <t>Reach</t>
        </is>
      </c>
      <c r="P71" s="114" t="inlineStr">
        <is>
          <t>5/5 — داغ‌ترین بازار؛
«AI Engineer» سریع‌ترین‌رشد (LinkedIn 2026)؛
ولی برنامه‌های ریاضی‌محور (Tübingen، UvA، KTH) بسیار رقابتی‌اند</t>
        </is>
      </c>
      <c r="Q71" s="114" t="inlineStr">
        <is>
          <t>همان باند شهریهٔ Utrecht 2026/27</t>
        </is>
      </c>
      <c r="R71" s="115" t="inlineStr">
        <is>
          <t>https://www.uu.nl/en/masters/artificial-intelligence</t>
        </is>
      </c>
    </row>
    <row r="72">
      <c r="A72" s="66" t="n">
        <v>71</v>
      </c>
      <c r="B72" s="134" t="inlineStr">
        <is>
          <t>هلند</t>
        </is>
      </c>
      <c r="C72" s="63" t="inlineStr">
        <is>
          <t>University of Amsterdam (UvA)</t>
        </is>
      </c>
      <c r="D72" s="63" t="inlineStr">
        <is>
          <t>Amsterdam (آمستردام)</t>
        </is>
      </c>
      <c r="E72" s="69" t="inlineStr">
        <is>
          <t>خیلی گران — $1,480–1,940</t>
        </is>
      </c>
      <c r="F72" s="63" t="inlineStr">
        <is>
          <t>MSc Software Engineering (۱ ساله!)</t>
        </is>
      </c>
      <c r="G72" s="69" t="inlineStr">
        <is>
          <t>مهندسی نرم‌افزار / علوم کامپیوتر</t>
        </is>
      </c>
      <c r="H72" s="69" t="inlineStr">
        <is>
          <t>۱ سال</t>
        </is>
      </c>
      <c r="I72" s="69" t="inlineStr">
        <is>
          <t>$39,100 (2026/27 رسمی — ارشد یک‌سالهٔ دانشکدهٔ علوم برای غیر-EEA)</t>
        </is>
      </c>
      <c r="J72" s="69" t="inlineStr">
        <is>
          <t>$39,100</t>
        </is>
      </c>
      <c r="K72" s="110" t="inlineStr">
        <is>
          <t>$57–62k</t>
        </is>
      </c>
      <c r="L72" s="69" t="inlineStr">
        <is>
          <t>کارشناسی CS با پیش‌زمینهٔ برنامه‌نویسی/نرم‌افزار؛
بررسی موردی</t>
        </is>
      </c>
      <c r="M72" s="69" t="inlineStr">
        <is>
          <t>6.5</t>
        </is>
      </c>
      <c r="N72" s="69" t="inlineStr">
        <is>
          <t>60</t>
        </is>
      </c>
      <c r="O72" s="68" t="inlineStr">
        <is>
          <t>Target/Reach</t>
        </is>
      </c>
      <c r="P72" s="69" t="inlineStr">
        <is>
          <t>4/5 — بیشترین حجم آگهی در هر ۸ کشور؛
ورود جونیور از ۲۰۲۳ سخت‌تر شده — سابقهٔ کار شما مزیت است</t>
        </is>
      </c>
      <c r="Q72" s="69"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2" s="111" t="inlineStr">
        <is>
          <t>https://www.uva.nl/en/programmes/masters/software-engineering/software-engineering.html</t>
        </is>
      </c>
    </row>
    <row r="73">
      <c r="A73" s="112" t="n">
        <v>72</v>
      </c>
      <c r="B73" s="134" t="inlineStr">
        <is>
          <t>هلند</t>
        </is>
      </c>
      <c r="C73" s="113" t="inlineStr">
        <is>
          <t>University of Amsterdam (UvA)</t>
        </is>
      </c>
      <c r="D73" s="113" t="inlineStr">
        <is>
          <t>Amsterdam (آمستردام)</t>
        </is>
      </c>
      <c r="E73" s="114" t="inlineStr">
        <is>
          <t>خیلی گران — $1,480–1,940</t>
        </is>
      </c>
      <c r="F73" s="113" t="inlineStr">
        <is>
          <t>MSc Artificial Intelligence</t>
        </is>
      </c>
      <c r="G73" s="114" t="inlineStr">
        <is>
          <t>هوش مصنوعی / یادگیری ماشین</t>
        </is>
      </c>
      <c r="H73" s="114" t="inlineStr">
        <is>
          <t>۲ سال</t>
        </is>
      </c>
      <c r="I73" s="114" t="inlineStr">
        <is>
          <t>$29,600 (2026/27 رسمی — ارشد دوسالهٔ دانشکدهٔ علوم)</t>
        </is>
      </c>
      <c r="J73" s="114" t="inlineStr">
        <is>
          <t>$59,300</t>
        </is>
      </c>
      <c r="K73" s="110" t="inlineStr">
        <is>
          <t>$95–106k</t>
        </is>
      </c>
      <c r="L73" s="114" t="inlineStr">
        <is>
          <t>کارشناسی AI/CS با ریاضی قوی؛ بسیار رقابتی</t>
        </is>
      </c>
      <c r="M73" s="114" t="inlineStr">
        <is>
          <t>6.5</t>
        </is>
      </c>
      <c r="N73" s="114" t="inlineStr">
        <is>
          <t>60</t>
        </is>
      </c>
      <c r="O73" s="116" t="inlineStr">
        <is>
          <t>Reach</t>
        </is>
      </c>
      <c r="P73" s="114" t="inlineStr">
        <is>
          <t>5/5 — داغ‌ترین بازار؛
«AI Engineer» سریع‌ترین‌رشد (LinkedIn 2026)؛
ولی برنامه‌های ریاضی‌محور (Tübingen، UvA، KTH) بسیار رقابتی‌اند</t>
        </is>
      </c>
      <c r="Q73" s="114" t="inlineStr"/>
      <c r="R73" s="115" t="inlineStr">
        <is>
          <t>https://www.uva.nl/en/programmes/masters/artificial-intelligence/artificial-intelligence.html</t>
        </is>
      </c>
    </row>
    <row r="74">
      <c r="A74" s="66" t="n">
        <v>73</v>
      </c>
      <c r="B74" s="134" t="inlineStr">
        <is>
          <t>هلند</t>
        </is>
      </c>
      <c r="C74" s="63" t="inlineStr">
        <is>
          <t>TU Eindhoven (TU/e)</t>
        </is>
      </c>
      <c r="D74" s="63" t="inlineStr">
        <is>
          <t>Eindhoven (آیندهوون) — Brainport: ASML، Philips، NXP</t>
        </is>
      </c>
      <c r="E74" s="69" t="inlineStr">
        <is>
          <t>گران — $1,250–1,600</t>
        </is>
      </c>
      <c r="F74" s="63" t="inlineStr">
        <is>
          <t>MSc Data Science and Artificial Intelligence</t>
        </is>
      </c>
      <c r="G74" s="69" t="inlineStr">
        <is>
          <t>علم داده / تحلیل داده</t>
        </is>
      </c>
      <c r="H74" s="69" t="inlineStr">
        <is>
          <t>۲ سال</t>
        </is>
      </c>
      <c r="I74" s="69" t="inlineStr">
        <is>
          <t>$25,500 (2027/28 رسمی؛ 2026/27: $24,700)</t>
        </is>
      </c>
      <c r="J74" s="69" t="inlineStr">
        <is>
          <t>$51,100</t>
        </is>
      </c>
      <c r="K74" s="110" t="inlineStr">
        <is>
          <t>$81–89k</t>
        </is>
      </c>
      <c r="L74" s="69" t="inlineStr">
        <is>
          <t>کارشناسی CS/ریاضی؛ گزینش بر اساس معدل</t>
        </is>
      </c>
      <c r="M74" s="69" t="inlineStr">
        <is>
          <t>6.5</t>
        </is>
      </c>
      <c r="N74" s="69" t="inlineStr">
        <is>
          <t>152</t>
        </is>
      </c>
      <c r="O74" s="116" t="inlineStr">
        <is>
          <t>Reach</t>
        </is>
      </c>
      <c r="P74" s="69" t="inlineStr">
        <is>
          <t>3/5 — بازار ارشد/سینیور خوب، ولی سطح جونیور اشباع (ده‌ها هزار فارغ‌التحصیل مشابه)؛
Data Engineer کم‌رقابت‌تر از Data Scientist</t>
        </is>
      </c>
      <c r="Q74" s="63" t="inlineStr">
        <is>
          <t>Brainport (ASML، Philips، NXP)</t>
        </is>
      </c>
      <c r="R74" s="111" t="inlineStr">
        <is>
          <t>https://www.tue.nl/en/education/graduate-school/master-data-science-and-artificial-intelligence</t>
        </is>
      </c>
    </row>
    <row r="75">
      <c r="A75" s="112" t="n">
        <v>74</v>
      </c>
      <c r="B75" s="134" t="inlineStr">
        <is>
          <t>هلند</t>
        </is>
      </c>
      <c r="C75" s="113" t="inlineStr">
        <is>
          <t>TU Eindhoven (TU/e)</t>
        </is>
      </c>
      <c r="D75" s="113" t="inlineStr">
        <is>
          <t>Eindhoven (آیندهوون) — Brainport: ASML، Philips، NXP</t>
        </is>
      </c>
      <c r="E75" s="114" t="inlineStr">
        <is>
          <t>گران — $1,250–1,600</t>
        </is>
      </c>
      <c r="F75" s="113" t="inlineStr">
        <is>
          <t>MSc Embedded Systems</t>
        </is>
      </c>
      <c r="G75" s="114" t="inlineStr">
        <is>
          <t>سیستم‌های نهفته / رباتیک / خودران</t>
        </is>
      </c>
      <c r="H75" s="114" t="inlineStr">
        <is>
          <t>۲ سال</t>
        </is>
      </c>
      <c r="I75" s="114" t="inlineStr">
        <is>
          <t>$25,500 (2027/28 رسمی؛ 2026/27: $24,700)</t>
        </is>
      </c>
      <c r="J75" s="114" t="inlineStr">
        <is>
          <t>$51,100</t>
        </is>
      </c>
      <c r="K75" s="110" t="inlineStr">
        <is>
          <t>$81–89k</t>
        </is>
      </c>
      <c r="L75" s="114" t="inlineStr">
        <is>
          <t>کارشناسی CS/EE؛ گزینش</t>
        </is>
      </c>
      <c r="M75" s="114" t="inlineStr">
        <is>
          <t>6.5</t>
        </is>
      </c>
      <c r="N75" s="114" t="inlineStr">
        <is>
          <t>152</t>
        </is>
      </c>
      <c r="O75" s="116" t="inlineStr">
        <is>
          <t>Reach</t>
        </is>
      </c>
      <c r="P75" s="114" t="inlineStr">
        <is>
          <t>4/5 — در آلمان و سوئد قوی (خودرو، Bosch، ABB، Ericsson)؛
ولی کارفرمایان صنعتی خارج از شهرهای بزرگ اغلب آلمانی/سوئدی می‌خواهند</t>
        </is>
      </c>
      <c r="Q75" s="113" t="inlineStr">
        <is>
          <t>ASML/NXP بزرگ‌ترین کارفرمایان Embedded اروپا</t>
        </is>
      </c>
      <c r="R75" s="115" t="inlineStr">
        <is>
          <t>https://www.tue.nl/en/education/graduate-school/master-embedded-systems</t>
        </is>
      </c>
    </row>
    <row r="76">
      <c r="A76" s="66" t="n">
        <v>75</v>
      </c>
      <c r="B76" s="134" t="inlineStr">
        <is>
          <t>هلند</t>
        </is>
      </c>
      <c r="C76" s="63" t="inlineStr">
        <is>
          <t>TU Delft</t>
        </is>
      </c>
      <c r="D76" s="63" t="inlineStr">
        <is>
          <t>Delft (دلفت) — کنار Den Haag/Rotterdam</t>
        </is>
      </c>
      <c r="E76" s="69" t="inlineStr">
        <is>
          <t>گران — $1,370–1,710</t>
        </is>
      </c>
      <c r="F76" s="63" t="inlineStr">
        <is>
          <t>MSc Computer Science / MSc Computer &amp; Embedded Systems Engineering</t>
        </is>
      </c>
      <c r="G76" s="69" t="inlineStr">
        <is>
          <t>مهندسی نرم‌افزار / علوم کامپیوتر</t>
        </is>
      </c>
      <c r="H76" s="69" t="inlineStr">
        <is>
          <t>۲ سال</t>
        </is>
      </c>
      <c r="I76" s="69" t="inlineStr">
        <is>
          <t>$25,400 (2025/26) → ≈ $26,200</t>
        </is>
      </c>
      <c r="J76" s="69" t="inlineStr">
        <is>
          <t>$52,400</t>
        </is>
      </c>
      <c r="K76" s="110" t="inlineStr">
        <is>
          <t>$85–93k</t>
        </is>
      </c>
      <c r="L76" s="69" t="inlineStr">
        <is>
          <t>معدل ≥ ۷۵٪ / ۲۰٪ برتر</t>
        </is>
      </c>
      <c r="M76" s="69" t="inlineStr">
        <is>
          <t>7.0</t>
        </is>
      </c>
      <c r="N76" s="69" t="inlineStr">
        <is>
          <t>48</t>
        </is>
      </c>
      <c r="O76" s="116" t="inlineStr">
        <is>
          <t>Reach</t>
        </is>
      </c>
      <c r="P76" s="69" t="inlineStr">
        <is>
          <t>4/5 — بیشترین حجم آگهی در هر ۸ کشور؛
ورود جونیور از ۲۰۲۳ سخت‌تر شده — سابقهٔ کار شما مزیت است</t>
        </is>
      </c>
      <c r="Q76" s="69" t="inlineStr">
        <is>
          <t>معتبرترین، ولی برای معدل ۱۵.۷۷ دور از دسترس</t>
        </is>
      </c>
      <c r="R76" s="111" t="inlineStr">
        <is>
          <t>https://www.tudelft.nl/onderwijs/opleidingen/masters/cs/msc-computer-science</t>
        </is>
      </c>
    </row>
    <row r="77">
      <c r="A77" s="112" t="n">
        <v>76</v>
      </c>
      <c r="B77" s="134" t="inlineStr">
        <is>
          <t>هلند</t>
        </is>
      </c>
      <c r="C77" s="113" t="inlineStr">
        <is>
          <t>Breda University of Applied Sciences (BUas)</t>
        </is>
      </c>
      <c r="D77" s="113" t="inlineStr">
        <is>
          <t>Breda (بردا) — جنوب هلند</t>
        </is>
      </c>
      <c r="E77" s="114" t="inlineStr">
        <is>
          <t>متوسط — $1,140–1,480</t>
        </is>
      </c>
      <c r="F77" s="113" t="inlineStr">
        <is>
          <t>Master Game Technology (۱ ساله)</t>
        </is>
      </c>
      <c r="G77" s="114" t="inlineStr">
        <is>
          <t>توسعه بازی</t>
        </is>
      </c>
      <c r="H77" s="114" t="inlineStr">
        <is>
          <t>۱ سال</t>
        </is>
      </c>
      <c r="I77" s="114" t="inlineStr">
        <is>
          <t>≈ $17,300</t>
        </is>
      </c>
      <c r="J77" s="114" t="inlineStr">
        <is>
          <t>$17,300</t>
        </is>
      </c>
      <c r="K77" s="110" t="inlineStr">
        <is>
          <t>$31–35k</t>
        </is>
      </c>
      <c r="L77" s="114" t="inlineStr">
        <is>
          <t>کارشناسی IT/برنامه‌نویسی/بازی + پیشنهاد پروژه</t>
        </is>
      </c>
      <c r="M77" s="114" t="inlineStr">
        <is>
          <t>6.0</t>
        </is>
      </c>
      <c r="N77" s="113" t="inlineStr">
        <is>
          <t>— (UAS)</t>
        </is>
      </c>
      <c r="O77" s="74" t="inlineStr">
        <is>
          <t>Safe/Target</t>
        </is>
      </c>
      <c r="P77"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7" s="114" t="inlineStr">
        <is>
          <t>برنامهٔ بازی BUas در اروپا شناخته‌شده است؛
مدرک UAS (نه پژوهشی)</t>
        </is>
      </c>
      <c r="R77" s="115" t="inlineStr">
        <is>
          <t>https://www.topuniversities.com/universities/breda-university-applied-sciences/postgrad/master-game-technology</t>
        </is>
      </c>
    </row>
    <row r="78">
      <c r="A78" s="129" t="n">
        <v>77</v>
      </c>
      <c r="B78" s="135" t="inlineStr">
        <is>
          <t>سوئد</t>
        </is>
      </c>
      <c r="C78" s="131" t="inlineStr">
        <is>
          <t>Linköping University (LiU)</t>
        </is>
      </c>
      <c r="D78" s="131" t="inlineStr">
        <is>
          <t>Linköping (لینشوپینگ) — Saab، Ericsson</t>
        </is>
      </c>
      <c r="E78" s="132" t="inlineStr">
        <is>
          <t>متوسط — $1,060–1,260</t>
        </is>
      </c>
      <c r="F78" s="131" t="inlineStr">
        <is>
          <t>MSc Computer Science</t>
        </is>
      </c>
      <c r="G78" s="132" t="inlineStr">
        <is>
          <t>مهندسی نرم‌افزار / علوم کامپیوتر</t>
        </is>
      </c>
      <c r="H78" s="132" t="inlineStr">
        <is>
          <t>۲ سال</t>
        </is>
      </c>
      <c r="I78" s="132" t="inlineStr">
        <is>
          <t>$16,800</t>
        </is>
      </c>
      <c r="J78" s="132" t="inlineStr">
        <is>
          <t>$33,500</t>
        </is>
      </c>
      <c r="K78" s="121" t="inlineStr">
        <is>
          <t>$59–64k</t>
        </is>
      </c>
      <c r="L78" s="132" t="inlineStr">
        <is>
          <t>گزینش بر اساس گروه معدل</t>
        </is>
      </c>
      <c r="M78" s="132" t="inlineStr">
        <is>
          <t>6.5</t>
        </is>
      </c>
      <c r="N78" s="132" t="inlineStr">
        <is>
          <t>308</t>
        </is>
      </c>
      <c r="O78" s="122" t="inlineStr">
        <is>
          <t>Target</t>
        </is>
      </c>
      <c r="P78" s="132" t="inlineStr">
        <is>
          <t>4/5 — بیشترین حجم آگهی در هر ۸ کشور؛
ورود جونیور از ۲۰۲۳ سخت‌تر شده — سابقهٔ کار شما مزیت است</t>
        </is>
      </c>
      <c r="Q78" s="132" t="inlineStr">
        <is>
          <t>گزینهٔ Target جدول اصلی</t>
        </is>
      </c>
      <c r="R78" s="133" t="inlineStr">
        <is>
          <t>https://liu.se/en/education/program/6mics</t>
        </is>
      </c>
    </row>
    <row r="79">
      <c r="A79" s="112" t="n">
        <v>78</v>
      </c>
      <c r="B79" s="136" t="inlineStr">
        <is>
          <t>سوئد</t>
        </is>
      </c>
      <c r="C79" s="113" t="inlineStr">
        <is>
          <t>Linköping University (LiU)</t>
        </is>
      </c>
      <c r="D79" s="113" t="inlineStr">
        <is>
          <t>Linköping (لینشوپینگ) — Saab، Ericsson</t>
        </is>
      </c>
      <c r="E79" s="114" t="inlineStr">
        <is>
          <t>متوسط — $1,060–1,260</t>
        </is>
      </c>
      <c r="F79" s="113" t="inlineStr">
        <is>
          <t>MSc Statistics and Machine Learning</t>
        </is>
      </c>
      <c r="G79" s="114" t="inlineStr">
        <is>
          <t>هوش مصنوعی / یادگیری ماشین</t>
        </is>
      </c>
      <c r="H79" s="114" t="inlineStr">
        <is>
          <t>۲ سال</t>
        </is>
      </c>
      <c r="I79" s="114" t="inlineStr">
        <is>
          <t>≈ $16,800 (همان باند)</t>
        </is>
      </c>
      <c r="J79" s="114" t="inlineStr">
        <is>
          <t>$33,500</t>
        </is>
      </c>
      <c r="K79" s="110" t="inlineStr">
        <is>
          <t>$59–64k</t>
        </is>
      </c>
      <c r="L79" s="114" t="inlineStr">
        <is>
          <t>کارشناسی با ≥ ۳۰ واحد ریاضی/آمار + برنامه‌نویسی</t>
        </is>
      </c>
      <c r="M79" s="114" t="inlineStr">
        <is>
          <t>6.5</t>
        </is>
      </c>
      <c r="N79" s="114" t="inlineStr">
        <is>
          <t>308</t>
        </is>
      </c>
      <c r="O79" s="40" t="inlineStr">
        <is>
          <t>Target</t>
        </is>
      </c>
      <c r="P79" s="114" t="inlineStr">
        <is>
          <t>5/5 — داغ‌ترین بازار؛
«AI Engineer» سریع‌ترین‌رشد (LinkedIn 2026)؛
ولی برنامه‌های ریاضی‌محور (Tübingen، UvA، KTH) بسیار رقابتی‌اند</t>
        </is>
      </c>
      <c r="Q79" s="114" t="inlineStr"/>
      <c r="R79" s="115" t="inlineStr">
        <is>
          <t>https://liu.se/en/education/program/f7msl</t>
        </is>
      </c>
    </row>
    <row r="80">
      <c r="A80" s="66" t="n">
        <v>79</v>
      </c>
      <c r="B80" s="136" t="inlineStr">
        <is>
          <t>سوئد</t>
        </is>
      </c>
      <c r="C80" s="63" t="inlineStr">
        <is>
          <t>Halmstad University</t>
        </is>
      </c>
      <c r="D80" s="63" t="inlineStr">
        <is>
          <t>Halmstad (هالمستاد) — غرب سوئد</t>
        </is>
      </c>
      <c r="E80" s="69" t="inlineStr">
        <is>
          <t>متوسط — $1,010–1,210</t>
        </is>
      </c>
      <c r="F80" s="63" t="inlineStr">
        <is>
          <t>MSc Embedded and Intelligent Systems (120 cr)</t>
        </is>
      </c>
      <c r="G80" s="69" t="inlineStr">
        <is>
          <t>سیستم‌های نهفته / رباتیک / خودران</t>
        </is>
      </c>
      <c r="H80" s="69" t="inlineStr">
        <is>
          <t>۲ سال</t>
        </is>
      </c>
      <c r="I80" s="69" t="inlineStr">
        <is>
          <t>≈ $15,300</t>
        </is>
      </c>
      <c r="J80" s="69" t="inlineStr">
        <is>
          <t>$30,500</t>
        </is>
      </c>
      <c r="K80" s="110" t="inlineStr">
        <is>
          <t>$55–60k</t>
        </is>
      </c>
      <c r="L80" s="69" t="inlineStr">
        <is>
          <t>کارشناسی CS/EE</t>
        </is>
      </c>
      <c r="M80" s="69" t="inlineStr">
        <is>
          <t>6.5</t>
        </is>
      </c>
      <c r="N80" s="69" t="inlineStr">
        <is>
          <t>—</t>
        </is>
      </c>
      <c r="O80" s="78" t="inlineStr">
        <is>
          <t>Safe</t>
        </is>
      </c>
      <c r="P80" s="69" t="inlineStr">
        <is>
          <t>4/5 — در آلمان و سوئد قوی (خودرو، Bosch، ABB، Ericsson)؛
ولی کارفرمایان صنعتی خارج از شهرهای بزرگ اغلب آلمانی/سوئدی می‌خواهند</t>
        </is>
      </c>
      <c r="Q80" s="63" t="inlineStr">
        <is>
          <t>Volvo/HMS در منطقه؛ بدون رتبهٔ QS</t>
        </is>
      </c>
      <c r="R80" s="111" t="inlineStr">
        <is>
          <t>https://www.hh.se/english/education/programmes.html</t>
        </is>
      </c>
    </row>
    <row r="81">
      <c r="A81" s="112" t="n">
        <v>80</v>
      </c>
      <c r="B81" s="136" t="inlineStr">
        <is>
          <t>سوئد</t>
        </is>
      </c>
      <c r="C81" s="113" t="inlineStr">
        <is>
          <t>Blekinge Institute of Technology (BTH)</t>
        </is>
      </c>
      <c r="D81" s="113" t="inlineStr">
        <is>
          <t>Karlskrona (کارلسکرونا) — Ericsson، Telenor</t>
        </is>
      </c>
      <c r="E81" s="114" t="inlineStr">
        <is>
          <t>ارزان — $960–1,160</t>
        </is>
      </c>
      <c r="F81" s="113" t="inlineStr">
        <is>
          <t>MSc Software Engineering (120 cr)</t>
        </is>
      </c>
      <c r="G81" s="114" t="inlineStr">
        <is>
          <t>مهندسی نرم‌افزار / علوم کامپیوتر</t>
        </is>
      </c>
      <c r="H81" s="114" t="inlineStr">
        <is>
          <t>۲ سال</t>
        </is>
      </c>
      <c r="I81" s="114" t="inlineStr">
        <is>
          <t>$14,100</t>
        </is>
      </c>
      <c r="J81" s="114" t="inlineStr">
        <is>
          <t>$28,300</t>
        </is>
      </c>
      <c r="K81" s="110" t="inlineStr">
        <is>
          <t>$51–56k</t>
        </is>
      </c>
      <c r="L81" s="114" t="inlineStr">
        <is>
          <t>≥ ۹۰ واحد CS/SE</t>
        </is>
      </c>
      <c r="M81" s="114" t="inlineStr">
        <is>
          <t>6.5</t>
        </is>
      </c>
      <c r="N81" s="114" t="inlineStr">
        <is>
          <t>—</t>
        </is>
      </c>
      <c r="O81" s="74" t="inlineStr">
        <is>
          <t>Safe/Target</t>
        </is>
      </c>
      <c r="P81" s="114" t="inlineStr">
        <is>
          <t>4/5 — بیشترین حجم آگهی در هر ۸ کشور؛
ورود جونیور از ۲۰۲۳ سخت‌تر شده — سابقهٔ کار شما مزیت است</t>
        </is>
      </c>
      <c r="Q81" s="113" t="inlineStr">
        <is>
          <t>Ericsson و Telenor در Karlskrona؛
⚠️ نسخهٔ ۶۰ واحدی از راه دور است</t>
        </is>
      </c>
      <c r="R81" s="115" t="inlineStr">
        <is>
          <t>https://www.bth.se/eng/programmes/</t>
        </is>
      </c>
    </row>
    <row r="82">
      <c r="A82" s="66" t="n">
        <v>81</v>
      </c>
      <c r="B82" s="136" t="inlineStr">
        <is>
          <t>سوئد</t>
        </is>
      </c>
      <c r="C82" s="63" t="inlineStr">
        <is>
          <t>KTH Royal Institute of Technology</t>
        </is>
      </c>
      <c r="D82" s="63" t="inlineStr">
        <is>
          <t>Stockholm (استکهلم)</t>
        </is>
      </c>
      <c r="E82" s="69" t="inlineStr">
        <is>
          <t>گران — $1,260–1,520</t>
        </is>
      </c>
      <c r="F82" s="63" t="inlineStr">
        <is>
          <t>MSc Machine Learning</t>
        </is>
      </c>
      <c r="G82" s="69" t="inlineStr">
        <is>
          <t>هوش مصنوعی / یادگیری ماشین</t>
        </is>
      </c>
      <c r="H82" s="69" t="inlineStr">
        <is>
          <t>۲ سال</t>
        </is>
      </c>
      <c r="I82" s="69" t="inlineStr">
        <is>
          <t>≈ $18,200–19,200 (کل دوره ≈ $36–38k)</t>
        </is>
      </c>
      <c r="J82" s="69" t="inlineStr">
        <is>
          <t>$36,400–38,400</t>
        </is>
      </c>
      <c r="K82" s="110" t="inlineStr">
        <is>
          <t>$67–75k</t>
        </is>
      </c>
      <c r="L82" s="69" t="inlineStr">
        <is>
          <t>کارشناسی CS/ریاضی قوی؛ بسیار رقابتی</t>
        </is>
      </c>
      <c r="M82" s="69" t="inlineStr">
        <is>
          <t>6.5</t>
        </is>
      </c>
      <c r="N82" s="69" t="inlineStr">
        <is>
          <t>82</t>
        </is>
      </c>
      <c r="O82" s="116" t="inlineStr">
        <is>
          <t>Reach</t>
        </is>
      </c>
      <c r="P82" s="69" t="inlineStr">
        <is>
          <t>5/5 — داغ‌ترین بازار؛
«AI Engineer» سریع‌ترین‌رشد (LinkedIn 2026)؛
ولی برنامه‌های ریاضی‌محور (Tübingen، UvA، KTH) بسیار رقابتی‌اند</t>
        </is>
      </c>
      <c r="Q82" s="63" t="inlineStr">
        <is>
          <t>Stockholm گران (اتاق $0.7–1k)؛
رقم دقیق روی kth.se فقط در سامانهٔ اپلای نمایش داده می‌شود</t>
        </is>
      </c>
      <c r="R82" s="111" t="inlineStr">
        <is>
          <t>https://www.kth.se/en/studies/master/machine-learning</t>
        </is>
      </c>
    </row>
    <row r="83">
      <c r="A83" s="112" t="n">
        <v>82</v>
      </c>
      <c r="B83" s="136" t="inlineStr">
        <is>
          <t>سوئد</t>
        </is>
      </c>
      <c r="C83" s="113" t="inlineStr">
        <is>
          <t>KTH Royal Institute of Technology</t>
        </is>
      </c>
      <c r="D83" s="113" t="inlineStr">
        <is>
          <t>Stockholm (استکهلم)</t>
        </is>
      </c>
      <c r="E83" s="114" t="inlineStr">
        <is>
          <t>گران — $1,260–1,520</t>
        </is>
      </c>
      <c r="F83" s="113" t="inlineStr">
        <is>
          <t>MSc Cybersecurity</t>
        </is>
      </c>
      <c r="G83" s="114" t="inlineStr">
        <is>
          <t>امنیت سایبری</t>
        </is>
      </c>
      <c r="H83" s="114" t="inlineStr">
        <is>
          <t>۲ سال</t>
        </is>
      </c>
      <c r="I83" s="114" t="inlineStr">
        <is>
          <t>≈ $18,200–19,200</t>
        </is>
      </c>
      <c r="J83" s="114" t="inlineStr">
        <is>
          <t>$36,400–38,400</t>
        </is>
      </c>
      <c r="K83" s="110" t="inlineStr">
        <is>
          <t>$67–75k</t>
        </is>
      </c>
      <c r="L83" s="114" t="inlineStr">
        <is>
          <t>کارشناسی CS</t>
        </is>
      </c>
      <c r="M83" s="114" t="inlineStr">
        <is>
          <t>6.5</t>
        </is>
      </c>
      <c r="N83" s="114" t="inlineStr">
        <is>
          <t>82</t>
        </is>
      </c>
      <c r="O83" s="116" t="inlineStr">
        <is>
          <t>Reach</t>
        </is>
      </c>
      <c r="P83" s="114" t="inlineStr">
        <is>
          <t>4/5 — کمبود ساختاری (Bitkom: جزو ۳ کمبود اصلی آلمان)؛
اما ۳۱٪ تیم‌ها هیچ نیروی جونیور ندارند → کارآموزی/گواهی لازم است</t>
        </is>
      </c>
      <c r="Q83" s="114" t="inlineStr"/>
      <c r="R83" s="115" t="inlineStr">
        <is>
          <t>https://www.kth.se/en/studies/master/cybersecurity</t>
        </is>
      </c>
    </row>
    <row r="84">
      <c r="A84" s="66" t="n">
        <v>83</v>
      </c>
      <c r="B84" s="136" t="inlineStr">
        <is>
          <t>سوئد</t>
        </is>
      </c>
      <c r="C84" s="63" t="inlineStr">
        <is>
          <t>KTH Royal Institute of Technology</t>
        </is>
      </c>
      <c r="D84" s="63" t="inlineStr">
        <is>
          <t>Stockholm – Kista (استکهلم، شیستا؛ قطب ICT)</t>
        </is>
      </c>
      <c r="E84" s="69" t="inlineStr">
        <is>
          <t>گران — $1,260–1,520</t>
        </is>
      </c>
      <c r="F84" s="63" t="inlineStr">
        <is>
          <t>MSc Software Engineering of Distributed Systems</t>
        </is>
      </c>
      <c r="G84" s="69" t="inlineStr">
        <is>
          <t>ابری / سیستم‌های توزیع‌شده / DevOps</t>
        </is>
      </c>
      <c r="H84" s="69" t="inlineStr">
        <is>
          <t>۲ سال</t>
        </is>
      </c>
      <c r="I84" s="69" t="inlineStr">
        <is>
          <t>$18,200–19,200</t>
        </is>
      </c>
      <c r="J84" s="69" t="inlineStr">
        <is>
          <t>$36,400–38,400</t>
        </is>
      </c>
      <c r="K84" s="110" t="inlineStr">
        <is>
          <t>$67–75k</t>
        </is>
      </c>
      <c r="L84" s="69" t="inlineStr">
        <is>
          <t>کارشناسی CS</t>
        </is>
      </c>
      <c r="M84" s="69" t="inlineStr">
        <is>
          <t>6.5</t>
        </is>
      </c>
      <c r="N84" s="69" t="inlineStr">
        <is>
          <t>82</t>
        </is>
      </c>
      <c r="O84" s="68" t="inlineStr">
        <is>
          <t>Target/Reach</t>
        </is>
      </c>
      <c r="P84" s="69" t="inlineStr">
        <is>
          <t>4/5 — تقاضای پایدار و کمتر مدرک‌محور؛
گواهی AWS/Azure کنار مدرک وزن زیادی دارد</t>
        </is>
      </c>
      <c r="Q84" s="63" t="inlineStr">
        <is>
          <t>Kista = قطب ICT سوئد (Ericsson)</t>
        </is>
      </c>
      <c r="R84" s="111" t="inlineStr">
        <is>
          <t>https://www.kth.se/en/studies/master/software-engineering-of-distributed-systems</t>
        </is>
      </c>
    </row>
    <row r="85">
      <c r="A85" s="112" t="n">
        <v>84</v>
      </c>
      <c r="B85" s="136" t="inlineStr">
        <is>
          <t>سوئد</t>
        </is>
      </c>
      <c r="C85" s="113" t="inlineStr">
        <is>
          <t>Chalmers University of Technology</t>
        </is>
      </c>
      <c r="D85" s="113" t="inlineStr">
        <is>
          <t>Gothenburg / Göteborg (گوتنبرگ) — Volvo، Ericsson</t>
        </is>
      </c>
      <c r="E85" s="114" t="inlineStr">
        <is>
          <t>متوسط تا گران — $1,160–1,360</t>
        </is>
      </c>
      <c r="F85" s="113" t="inlineStr">
        <is>
          <t>MSc Data Science and AI</t>
        </is>
      </c>
      <c r="G85" s="114" t="inlineStr">
        <is>
          <t>علم داده / تحلیل داده</t>
        </is>
      </c>
      <c r="H85" s="114" t="inlineStr">
        <is>
          <t>۲ سال</t>
        </is>
      </c>
      <c r="I85" s="114" t="inlineStr">
        <is>
          <t>≈ $17,700 (2026/27؛ 2025/26: $16,200)</t>
        </is>
      </c>
      <c r="J85" s="114" t="inlineStr">
        <is>
          <t>$35,400</t>
        </is>
      </c>
      <c r="K85" s="110" t="inlineStr">
        <is>
          <t>$63–68k</t>
        </is>
      </c>
      <c r="L85" s="114" t="inlineStr">
        <is>
          <t>کارشناسی CS/ریاضی</t>
        </is>
      </c>
      <c r="M85" s="114" t="inlineStr">
        <is>
          <t>6.5</t>
        </is>
      </c>
      <c r="N85" s="114" t="inlineStr">
        <is>
          <t>174</t>
        </is>
      </c>
      <c r="O85" s="68" t="inlineStr">
        <is>
          <t>Target/Reach</t>
        </is>
      </c>
      <c r="P85" s="114" t="inlineStr">
        <is>
          <t>3/5 — بازار ارشد/سینیور خوب، ولی سطح جونیور اشباع (ده‌ها هزار فارغ‌التحصیل مشابه)؛
Data Engineer کم‌رقابت‌تر از Data Scientist</t>
        </is>
      </c>
      <c r="Q85" s="113" t="inlineStr">
        <is>
          <t>Volvo، Ericsson، Zenseact؛
مهلت ۱۵ ژانویه؛
⚠️ طبق صفحهٔ شهریهٔ Chalmers دانشگاه‌های سوئد فعلاً نمی‌توانند از ایران پول دریافت کنند (تحریم بانکی) — پرداخت از کشور ثالث</t>
        </is>
      </c>
      <c r="R85" s="115" t="inlineStr">
        <is>
          <t>https://www.chalmers.se/en/education/find-masters-programme/data-science-and-ai-msc/</t>
        </is>
      </c>
    </row>
    <row r="86">
      <c r="A86" s="66" t="n">
        <v>85</v>
      </c>
      <c r="B86" s="136" t="inlineStr">
        <is>
          <t>سوئد</t>
        </is>
      </c>
      <c r="C86" s="63" t="inlineStr">
        <is>
          <t>Chalmers University of Technology</t>
        </is>
      </c>
      <c r="D86" s="63" t="inlineStr">
        <is>
          <t>Gothenburg / Göteborg (گوتنبرگ) — Volvo، Ericsson</t>
        </is>
      </c>
      <c r="E86" s="69" t="inlineStr">
        <is>
          <t>متوسط تا گران — $1,160–1,360</t>
        </is>
      </c>
      <c r="F86" s="63" t="inlineStr">
        <is>
          <t>MSc Software Engineering and Technology</t>
        </is>
      </c>
      <c r="G86" s="69" t="inlineStr">
        <is>
          <t>مهندسی نرم‌افزار / علوم کامپیوتر</t>
        </is>
      </c>
      <c r="H86" s="69" t="inlineStr">
        <is>
          <t>۲ سال</t>
        </is>
      </c>
      <c r="I86" s="69" t="inlineStr">
        <is>
          <t>≈ $17,700 (2026/27)</t>
        </is>
      </c>
      <c r="J86" s="69" t="inlineStr">
        <is>
          <t>$35,400</t>
        </is>
      </c>
      <c r="K86" s="110" t="inlineStr">
        <is>
          <t>$63–68k</t>
        </is>
      </c>
      <c r="L86" s="69" t="inlineStr">
        <is>
          <t>کارشناسی CS/SE</t>
        </is>
      </c>
      <c r="M86" s="69" t="inlineStr">
        <is>
          <t>6.5</t>
        </is>
      </c>
      <c r="N86" s="69" t="inlineStr">
        <is>
          <t>174</t>
        </is>
      </c>
      <c r="O86" s="40" t="inlineStr">
        <is>
          <t>Target</t>
        </is>
      </c>
      <c r="P86" s="69" t="inlineStr">
        <is>
          <t>4/5 — بیشترین حجم آگهی در هر ۸ کشور؛
ورود جونیور از ۲۰۲۳ سخت‌تر شده — سابقهٔ کار شما مزیت است</t>
        </is>
      </c>
      <c r="Q86" s="69" t="inlineStr"/>
      <c r="R86" s="111" t="inlineStr">
        <is>
          <t>https://www.chalmers.se/en/education/find-masters-programme/software-engineering-and-technology-msc/</t>
        </is>
      </c>
    </row>
    <row r="87">
      <c r="A87" s="112" t="n">
        <v>86</v>
      </c>
      <c r="B87" s="136" t="inlineStr">
        <is>
          <t>سوئد</t>
        </is>
      </c>
      <c r="C87" s="113" t="inlineStr">
        <is>
          <t>Chalmers University of Technology</t>
        </is>
      </c>
      <c r="D87" s="113" t="inlineStr">
        <is>
          <t>Gothenburg / Göteborg (گوتنبرگ) — Volvo، Ericsson</t>
        </is>
      </c>
      <c r="E87" s="114" t="inlineStr">
        <is>
          <t>متوسط تا گران — $1,160–1,360</t>
        </is>
      </c>
      <c r="F87" s="113" t="inlineStr">
        <is>
          <t>MSc Interaction Design and Technologies</t>
        </is>
      </c>
      <c r="G87" s="113" t="inlineStr">
        <is>
          <t>HCI / طراحی تعامل / UX</t>
        </is>
      </c>
      <c r="H87" s="114" t="inlineStr">
        <is>
          <t>۲ سال</t>
        </is>
      </c>
      <c r="I87" s="114" t="inlineStr">
        <is>
          <t>≈ $17,700 (2026/27)</t>
        </is>
      </c>
      <c r="J87" s="114" t="inlineStr">
        <is>
          <t>$35,400</t>
        </is>
      </c>
      <c r="K87" s="110" t="inlineStr">
        <is>
          <t>$63–68k</t>
        </is>
      </c>
      <c r="L87" s="114" t="inlineStr">
        <is>
          <t>کارشناسی CS/Design</t>
        </is>
      </c>
      <c r="M87" s="114" t="inlineStr">
        <is>
          <t>6.5</t>
        </is>
      </c>
      <c r="N87" s="114" t="inlineStr">
        <is>
          <t>174</t>
        </is>
      </c>
      <c r="O87" s="40" t="inlineStr">
        <is>
          <t>Target</t>
        </is>
      </c>
      <c r="P87" s="114" t="inlineStr">
        <is>
          <t>2/5 — آگهی‌های UX/UXR از ۲۰۲۲ حدود ۷۰٪ کم شده و از ۲۰۲۳ ثابت مانده؛
رقابت شدید، حقوق شروع کمتر از توسعه‌دهنده</t>
        </is>
      </c>
      <c r="Q87" s="114" t="inlineStr"/>
      <c r="R87" s="115" t="inlineStr">
        <is>
          <t>https://www.chalmers.se/en/education/find-masters-programme/interaction-design-and-technologies-msc/</t>
        </is>
      </c>
    </row>
    <row r="88">
      <c r="A88" s="66" t="n">
        <v>87</v>
      </c>
      <c r="B88" s="136" t="inlineStr">
        <is>
          <t>سوئد</t>
        </is>
      </c>
      <c r="C88" s="63" t="inlineStr">
        <is>
          <t>University of Gothenburg (مشترک با Chalmers)</t>
        </is>
      </c>
      <c r="D88" s="63" t="inlineStr">
        <is>
          <t>Gothenburg / Göteborg (گوتنبرگ) — Volvo، Ericsson</t>
        </is>
      </c>
      <c r="E88" s="69" t="inlineStr">
        <is>
          <t>متوسط تا گران — $1,160–1,360</t>
        </is>
      </c>
      <c r="F88" s="63" t="inlineStr">
        <is>
          <t>MSc Game Design &amp; Technology</t>
        </is>
      </c>
      <c r="G88" s="69" t="inlineStr">
        <is>
          <t>توسعه بازی</t>
        </is>
      </c>
      <c r="H88" s="69" t="inlineStr">
        <is>
          <t>۲ سال</t>
        </is>
      </c>
      <c r="I88" s="69" t="inlineStr">
        <is>
          <t>$14,800 (ورودی ۲۰۲۷: کل دوره $29,700 رسمی)</t>
        </is>
      </c>
      <c r="J88" s="69" t="inlineStr">
        <is>
          <t>$29,700</t>
        </is>
      </c>
      <c r="K88" s="110" t="inlineStr">
        <is>
          <t>$58–62k</t>
        </is>
      </c>
      <c r="L88" s="69" t="inlineStr">
        <is>
          <t>کارشناسی CS/Design/Media</t>
        </is>
      </c>
      <c r="M88" s="69" t="inlineStr">
        <is>
          <t>6.5</t>
        </is>
      </c>
      <c r="N88" s="69" t="inlineStr">
        <is>
          <t>225</t>
        </is>
      </c>
      <c r="O88" s="40" t="inlineStr">
        <is>
          <t>Target</t>
        </is>
      </c>
      <c r="P88" s="6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8" s="63" t="inlineStr">
        <is>
          <t>Gothenburg: استودیوهای EA DICE/Ghost؛
بازار بازی ضعیف</t>
        </is>
      </c>
      <c r="R88" s="111" t="inlineStr">
        <is>
          <t>https://www.gu.se/en/study-gothenburg/game-design-technology-masters-programme-n2gdt</t>
        </is>
      </c>
    </row>
    <row r="89">
      <c r="A89" s="112" t="n">
        <v>88</v>
      </c>
      <c r="B89" s="136" t="inlineStr">
        <is>
          <t>سوئد</t>
        </is>
      </c>
      <c r="C89" s="113" t="inlineStr">
        <is>
          <t>Uppsala University</t>
        </is>
      </c>
      <c r="D89" s="113" t="inlineStr">
        <is>
          <t>Uppsala (اوپسالا) — ۴۰ دقیقه تا استکهلم</t>
        </is>
      </c>
      <c r="E89" s="114" t="inlineStr">
        <is>
          <t>متوسط تا گران — $1,110–1,310</t>
        </is>
      </c>
      <c r="F89" s="113" t="inlineStr">
        <is>
          <t>MSc Computer Science</t>
        </is>
      </c>
      <c r="G89" s="114" t="inlineStr">
        <is>
          <t>مهندسی نرم‌افزار / علوم کامپیوتر</t>
        </is>
      </c>
      <c r="H89" s="114" t="inlineStr">
        <is>
          <t>۲ سال</t>
        </is>
      </c>
      <c r="I89" s="114" t="inlineStr">
        <is>
          <t>≈ $14,600–15,200</t>
        </is>
      </c>
      <c r="J89" s="114" t="inlineStr">
        <is>
          <t>$29,300–30,300</t>
        </is>
      </c>
      <c r="K89" s="110" t="inlineStr">
        <is>
          <t>$56–62k</t>
        </is>
      </c>
      <c r="L89" s="114" t="inlineStr">
        <is>
          <t>کارشناسی CS</t>
        </is>
      </c>
      <c r="M89" s="114" t="inlineStr">
        <is>
          <t>6.5</t>
        </is>
      </c>
      <c r="N89" s="114" t="inlineStr">
        <is>
          <t>87</t>
        </is>
      </c>
      <c r="O89" s="68" t="inlineStr">
        <is>
          <t>Target/Reach</t>
        </is>
      </c>
      <c r="P89" s="114" t="inlineStr">
        <is>
          <t>4/5 — بیشترین حجم آگهی در هر ۸ کشور؛
ورود جونیور از ۲۰۲۳ سخت‌تر شده — سابقهٔ کار شما مزیت است</t>
        </is>
      </c>
      <c r="Q89" s="114" t="inlineStr">
        <is>
          <t>رتبهٔ بالا با شهریهٔ پایین‌تر از KTH</t>
        </is>
      </c>
      <c r="R89" s="115" t="inlineStr">
        <is>
          <t>https://www.uu.se/en/study/programme/masters-programme-in-computer-science</t>
        </is>
      </c>
    </row>
    <row r="90">
      <c r="A90" s="66" t="n">
        <v>89</v>
      </c>
      <c r="B90" s="136" t="inlineStr">
        <is>
          <t>سوئد</t>
        </is>
      </c>
      <c r="C90" s="63" t="inlineStr">
        <is>
          <t>Umeå University</t>
        </is>
      </c>
      <c r="D90" s="63" t="inlineStr">
        <is>
          <t>Umeå (اومئو) — شمال سوئد</t>
        </is>
      </c>
      <c r="E90" s="69" t="inlineStr">
        <is>
          <t>ارزان تا متوسط — $1,010–1,210</t>
        </is>
      </c>
      <c r="F90" s="63" t="inlineStr">
        <is>
          <t>MSc Artificial Intelligence</t>
        </is>
      </c>
      <c r="G90" s="69" t="inlineStr">
        <is>
          <t>هوش مصنوعی / یادگیری ماشین</t>
        </is>
      </c>
      <c r="H90" s="69" t="inlineStr">
        <is>
          <t>۲ سال</t>
        </is>
      </c>
      <c r="I90" s="69" t="inlineStr">
        <is>
          <t>$15,400</t>
        </is>
      </c>
      <c r="J90" s="69" t="inlineStr">
        <is>
          <t>$30,800</t>
        </is>
      </c>
      <c r="K90" s="110" t="inlineStr">
        <is>
          <t>$55–60k</t>
        </is>
      </c>
      <c r="L90" s="69" t="inlineStr">
        <is>
          <t>کارشناسی CS/ریاضی</t>
        </is>
      </c>
      <c r="M90" s="69" t="inlineStr">
        <is>
          <t>6.5</t>
        </is>
      </c>
      <c r="N90" s="69" t="inlineStr">
        <is>
          <t>438</t>
        </is>
      </c>
      <c r="O90" s="40" t="inlineStr">
        <is>
          <t>Target</t>
        </is>
      </c>
      <c r="P90" s="69" t="inlineStr">
        <is>
          <t>5/5 — داغ‌ترین بازار؛
«AI Engineer» سریع‌ترین‌رشد (LinkedIn 2026)؛
ولی برنامه‌های ریاضی‌محور (Tübingen، UvA، KTH) بسیار رقابتی‌اند</t>
        </is>
      </c>
      <c r="Q90" s="69" t="inlineStr">
        <is>
          <t>شمال سوئد، شهر دانشجویی ارزان؛
کل دوره $30,800</t>
        </is>
      </c>
      <c r="R90" s="111" t="inlineStr">
        <is>
          <t>https://www.umu.se/en/education/master/masters-programme-in-artificial-intelligence/</t>
        </is>
      </c>
    </row>
    <row r="91">
      <c r="A91" s="112" t="n">
        <v>90</v>
      </c>
      <c r="B91" s="136" t="inlineStr">
        <is>
          <t>سوئد</t>
        </is>
      </c>
      <c r="C91" s="113" t="inlineStr">
        <is>
          <t>University of Skövde</t>
        </is>
      </c>
      <c r="D91" s="113" t="inlineStr">
        <is>
          <t>Skövde (شوده) — Sweden Game Arena</t>
        </is>
      </c>
      <c r="E91" s="114" t="inlineStr">
        <is>
          <t>ارزان — $960–1,160</t>
        </is>
      </c>
      <c r="F91" s="113" t="inlineStr">
        <is>
          <t>MSc Data Science (120 cr)</t>
        </is>
      </c>
      <c r="G91" s="114" t="inlineStr">
        <is>
          <t>علم داده / تحلیل داده</t>
        </is>
      </c>
      <c r="H91" s="114" t="inlineStr">
        <is>
          <t>۲ سال</t>
        </is>
      </c>
      <c r="I91" s="114" t="inlineStr">
        <is>
          <t>$13,600</t>
        </is>
      </c>
      <c r="J91" s="114" t="inlineStr">
        <is>
          <t>$27,300</t>
        </is>
      </c>
      <c r="K91" s="110" t="inlineStr">
        <is>
          <t>$50–55k</t>
        </is>
      </c>
      <c r="L91" s="114" t="inlineStr">
        <is>
          <t>کارشناسی CS/مرتبط</t>
        </is>
      </c>
      <c r="M91" s="114" t="inlineStr">
        <is>
          <t>6.5</t>
        </is>
      </c>
      <c r="N91" s="114" t="inlineStr">
        <is>
          <t>—</t>
        </is>
      </c>
      <c r="O91" s="78" t="inlineStr">
        <is>
          <t>Safe</t>
        </is>
      </c>
      <c r="P91" s="114" t="inlineStr">
        <is>
          <t>3/5 — بازار ارشد/سینیور خوب، ولی سطح جونیور اشباع (ده‌ها هزار فارغ‌التحصیل مشابه)؛
Data Engineer کم‌رقابت‌تر از Data Scientist</t>
        </is>
      </c>
      <c r="Q91" s="114" t="inlineStr">
        <is>
          <t>ارزان؛
Skövde قطب بازی سوئد (Sweden Game Arena)</t>
        </is>
      </c>
      <c r="R91" s="115" t="inlineStr">
        <is>
          <t>https://www.his.se/en/education/</t>
        </is>
      </c>
    </row>
    <row r="92">
      <c r="A92" s="66" t="n">
        <v>91</v>
      </c>
      <c r="B92" s="136" t="inlineStr">
        <is>
          <t>سوئد</t>
        </is>
      </c>
      <c r="C92" s="63" t="inlineStr">
        <is>
          <t>Mälardalen University (MDU)</t>
        </is>
      </c>
      <c r="D92" s="63" t="inlineStr">
        <is>
          <t>Västerås (وسترئوس) — ABB، Westinghouse؛
۱ ساعت تا استکهلم</t>
        </is>
      </c>
      <c r="E92" s="69" t="inlineStr">
        <is>
          <t>متوسط — $1,010–1,210</t>
        </is>
      </c>
      <c r="F92" s="63" t="inlineStr">
        <is>
          <t>MSc Intelligent Embedded Systems</t>
        </is>
      </c>
      <c r="G92" s="69" t="inlineStr">
        <is>
          <t>سیستم‌های نهفته / رباتیک / خودران</t>
        </is>
      </c>
      <c r="H92" s="69" t="inlineStr">
        <is>
          <t>۲ سال</t>
        </is>
      </c>
      <c r="I92" s="69" t="inlineStr">
        <is>
          <t>≈ $13,600</t>
        </is>
      </c>
      <c r="J92" s="69" t="inlineStr">
        <is>
          <t>$27,300</t>
        </is>
      </c>
      <c r="K92" s="110" t="inlineStr">
        <is>
          <t>$52–56k</t>
        </is>
      </c>
      <c r="L92" s="69" t="inlineStr">
        <is>
          <t>کارشناسی CS/EE</t>
        </is>
      </c>
      <c r="M92" s="69" t="inlineStr">
        <is>
          <t>6.5</t>
        </is>
      </c>
      <c r="N92" s="69" t="inlineStr">
        <is>
          <t>—</t>
        </is>
      </c>
      <c r="O92" s="78" t="inlineStr">
        <is>
          <t>Safe</t>
        </is>
      </c>
      <c r="P92" s="69" t="inlineStr">
        <is>
          <t>4/5 — در آلمان و سوئد قوی (خودرو، Bosch، ABB، Ericsson)؛
ولی کارفرمایان صنعتی خارج از شهرهای بزرگ اغلب آلمانی/سوئدی می‌خواهند</t>
        </is>
      </c>
      <c r="Q92" s="63" t="inlineStr">
        <is>
          <t>ABB و Westinghouse در Västerås؛ رقم 2024/25</t>
        </is>
      </c>
      <c r="R92" s="111" t="inlineStr">
        <is>
          <t>https://www.mdu.se/en/malardalen-university/education</t>
        </is>
      </c>
    </row>
    <row r="93">
      <c r="A93" s="112" t="n">
        <v>92</v>
      </c>
      <c r="B93" s="136" t="inlineStr">
        <is>
          <t>سوئد</t>
        </is>
      </c>
      <c r="C93" s="113" t="inlineStr">
        <is>
          <t>Mälardalen University (MDU)</t>
        </is>
      </c>
      <c r="D93" s="113" t="inlineStr">
        <is>
          <t>Västerås (وسترئوس) — ABB، Westinghouse؛
۱ ساعت تا استکهلم</t>
        </is>
      </c>
      <c r="E93" s="114" t="inlineStr">
        <is>
          <t>متوسط — $1,010–1,210</t>
        </is>
      </c>
      <c r="F93" s="113" t="inlineStr">
        <is>
          <t>MSc Software Engineering</t>
        </is>
      </c>
      <c r="G93" s="114" t="inlineStr">
        <is>
          <t>مهندسی نرم‌افزار / علوم کامپیوتر</t>
        </is>
      </c>
      <c r="H93" s="114" t="inlineStr">
        <is>
          <t>۲ سال</t>
        </is>
      </c>
      <c r="I93" s="114" t="inlineStr">
        <is>
          <t>≈ $13,600</t>
        </is>
      </c>
      <c r="J93" s="114" t="inlineStr">
        <is>
          <t>$27,300</t>
        </is>
      </c>
      <c r="K93" s="110" t="inlineStr">
        <is>
          <t>$52–56k</t>
        </is>
      </c>
      <c r="L93" s="114" t="inlineStr">
        <is>
          <t>کارشناسی CS/SE</t>
        </is>
      </c>
      <c r="M93" s="114" t="inlineStr">
        <is>
          <t>6.5</t>
        </is>
      </c>
      <c r="N93" s="114" t="inlineStr">
        <is>
          <t>—</t>
        </is>
      </c>
      <c r="O93" s="78" t="inlineStr">
        <is>
          <t>Safe</t>
        </is>
      </c>
      <c r="P93" s="114" t="inlineStr">
        <is>
          <t>4/5 — بیشترین حجم آگهی در هر ۸ کشور؛
ورود جونیور از ۲۰۲۳ سخت‌تر شده — سابقهٔ کار شما مزیت است</t>
        </is>
      </c>
      <c r="Q93" s="114" t="inlineStr"/>
      <c r="R93" s="115" t="inlineStr">
        <is>
          <t>https://www.mdu.se/en/malardalen-university/education</t>
        </is>
      </c>
    </row>
    <row r="94">
      <c r="A94" s="129" t="n">
        <v>93</v>
      </c>
      <c r="B94" s="137" t="inlineStr">
        <is>
          <t>دانمارک</t>
        </is>
      </c>
      <c r="C94" s="131" t="inlineStr">
        <is>
          <t>Aalborg University (AAU)</t>
        </is>
      </c>
      <c r="D94" s="131" t="inlineStr">
        <is>
          <t>Aalborg (آلبورگ) — شمال یوتلند</t>
        </is>
      </c>
      <c r="E94" s="132" t="inlineStr">
        <is>
          <t>متوسط — $1,220–1,450</t>
        </is>
      </c>
      <c r="F94" s="131" t="inlineStr">
        <is>
          <t>MSc Computer Science (IT)</t>
        </is>
      </c>
      <c r="G94" s="132" t="inlineStr">
        <is>
          <t>مهندسی نرم‌افزار / علوم کامپیوتر</t>
        </is>
      </c>
      <c r="H94" s="132" t="inlineStr">
        <is>
          <t>۲ سال</t>
        </is>
      </c>
      <c r="I94" s="132" t="inlineStr">
        <is>
          <t>≈ $17,000 (2025/26: $8,500 در ترم؛ نرخ ۲۰۲۶ روی سایت AAU منتشر نشده — mastersportal: $17,500)</t>
        </is>
      </c>
      <c r="J94" s="132" t="inlineStr">
        <is>
          <t>$34,000–35,000</t>
        </is>
      </c>
      <c r="K94" s="121" t="inlineStr">
        <is>
          <t>$63–70k</t>
        </is>
      </c>
      <c r="L94" s="13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4" s="132" t="inlineStr">
        <is>
          <t>6.5 (هر بخش ≥ 6.0)</t>
        </is>
      </c>
      <c r="N94" s="132">
        <f>329</f>
        <v/>
      </c>
      <c r="O94" s="122" t="inlineStr">
        <is>
          <t>Target</t>
        </is>
      </c>
      <c r="P94" s="132" t="inlineStr">
        <is>
          <t>4/5 — بیشترین حجم آگهی در هر ۸ کشور؛
ورود جونیور از ۲۰۲۳ سخت‌تر شده — سابقهٔ کار شما مزیت است</t>
        </is>
      </c>
      <c r="Q94" s="132" t="inlineStr">
        <is>
          <t>گزینهٔ Target جدول اصلی؛
PBL (پروژه‌محور)؛
ظرفیت محدود</t>
        </is>
      </c>
      <c r="R94" s="133" t="inlineStr">
        <is>
          <t>https://www.en.aau.dk/education/master/computer-science-it</t>
        </is>
      </c>
    </row>
    <row r="95">
      <c r="A95" s="112" t="n">
        <v>94</v>
      </c>
      <c r="B95" s="138" t="inlineStr">
        <is>
          <t>دانمارک</t>
        </is>
      </c>
      <c r="C95" s="113" t="inlineStr">
        <is>
          <t>Aalborg University (AAU)</t>
        </is>
      </c>
      <c r="D95" s="113" t="inlineStr">
        <is>
          <t>Aalborg (آلبورگ) — شمال یوتلند</t>
        </is>
      </c>
      <c r="E95" s="114" t="inlineStr">
        <is>
          <t>متوسط — $1,220–1,450</t>
        </is>
      </c>
      <c r="F95" s="113" t="inlineStr">
        <is>
          <t>MSc Software</t>
        </is>
      </c>
      <c r="G95" s="114" t="inlineStr">
        <is>
          <t>مهندسی نرم‌افزار / علوم کامپیوتر</t>
        </is>
      </c>
      <c r="H95" s="114" t="inlineStr">
        <is>
          <t>۲ سال</t>
        </is>
      </c>
      <c r="I95" s="114" t="inlineStr">
        <is>
          <t>≈ $17,000–17,500</t>
        </is>
      </c>
      <c r="J95" s="114" t="inlineStr">
        <is>
          <t>$34,000–35,000</t>
        </is>
      </c>
      <c r="K95" s="110" t="inlineStr">
        <is>
          <t>$63–70k</t>
        </is>
      </c>
      <c r="L95" s="114" t="inlineStr">
        <is>
          <t>کارشناسی SE/CS</t>
        </is>
      </c>
      <c r="M95" s="114" t="inlineStr">
        <is>
          <t>6.5</t>
        </is>
      </c>
      <c r="N95" s="114">
        <f>329</f>
        <v/>
      </c>
      <c r="O95" s="40" t="inlineStr">
        <is>
          <t>Target</t>
        </is>
      </c>
      <c r="P95" s="114" t="inlineStr">
        <is>
          <t>4/5 — بیشترین حجم آگهی در هر ۸ کشور؛
ورود جونیور از ۲۰۲۳ سخت‌تر شده — سابقهٔ کار شما مزیت است</t>
        </is>
      </c>
      <c r="Q95" s="114" t="inlineStr"/>
      <c r="R95" s="115" t="inlineStr">
        <is>
          <t>https://www.en.aau.dk/education/master/software</t>
        </is>
      </c>
    </row>
    <row r="96">
      <c r="A96" s="66" t="n">
        <v>95</v>
      </c>
      <c r="B96" s="138" t="inlineStr">
        <is>
          <t>دانمارک</t>
        </is>
      </c>
      <c r="C96" s="63" t="inlineStr">
        <is>
          <t>Aalborg University (AAU)</t>
        </is>
      </c>
      <c r="D96" s="63" t="inlineStr">
        <is>
          <t>Copenhagen – Sydhavn (کپنهاگ؛ کمپوس AAU)</t>
        </is>
      </c>
      <c r="E96" s="69" t="inlineStr">
        <is>
          <t>خیلی گران — $1,530–1,910</t>
        </is>
      </c>
      <c r="F96" s="63" t="inlineStr">
        <is>
          <t>MSc Eng Cyber Security</t>
        </is>
      </c>
      <c r="G96" s="69" t="inlineStr">
        <is>
          <t>امنیت سایبری</t>
        </is>
      </c>
      <c r="H96" s="69" t="inlineStr">
        <is>
          <t>۲ سال</t>
        </is>
      </c>
      <c r="I96" s="69" t="inlineStr">
        <is>
          <t>≈ $17,000–17,500</t>
        </is>
      </c>
      <c r="J96" s="69" t="inlineStr">
        <is>
          <t>$34,000–35,000</t>
        </is>
      </c>
      <c r="K96" s="110" t="inlineStr">
        <is>
          <t>$71–81k</t>
        </is>
      </c>
      <c r="L96" s="69" t="inlineStr">
        <is>
          <t>کارشناسی CS/EE مرتبط؛ مهلت ۱ مارس</t>
        </is>
      </c>
      <c r="M96" s="69" t="inlineStr">
        <is>
          <t>6.5</t>
        </is>
      </c>
      <c r="N96" s="69">
        <f>329</f>
        <v/>
      </c>
      <c r="O96" s="40" t="inlineStr">
        <is>
          <t>Target</t>
        </is>
      </c>
      <c r="P96" s="69" t="inlineStr">
        <is>
          <t>4/5 — کمبود ساختاری (Bitkom: جزو ۳ کمبود اصلی آلمان)؛
اما ۳۱٪ تیم‌ها هیچ نیروی جونیور ندارند → کارآموزی/گواهی لازم است</t>
        </is>
      </c>
      <c r="Q96" s="69" t="inlineStr">
        <is>
          <t>کمپوس کپنهاگ: اجاره بالاتر ولی بازار کار بزرگ</t>
        </is>
      </c>
      <c r="R96" s="111" t="inlineStr">
        <is>
          <t>https://www.en.aau.dk/education/master/cyber-security/</t>
        </is>
      </c>
    </row>
    <row r="97">
      <c r="A97" s="112" t="n">
        <v>96</v>
      </c>
      <c r="B97" s="138" t="inlineStr">
        <is>
          <t>دانمارک</t>
        </is>
      </c>
      <c r="C97" s="113" t="inlineStr">
        <is>
          <t>Aalborg University (AAU)</t>
        </is>
      </c>
      <c r="D97" s="113" t="inlineStr">
        <is>
          <t>Aalborg یا Copenhagen (هر دو کمپوس)</t>
        </is>
      </c>
      <c r="E97" s="114" t="inlineStr">
        <is>
          <t>متوسط (Aalborg) تا خیلی گران (Copenhagen)</t>
        </is>
      </c>
      <c r="F97" s="113" t="inlineStr">
        <is>
          <t>MSc Medialogy</t>
        </is>
      </c>
      <c r="G97" s="113" t="inlineStr">
        <is>
          <t>HCI / طراحی تعامل / UX</t>
        </is>
      </c>
      <c r="H97" s="114" t="inlineStr">
        <is>
          <t>۲ سال</t>
        </is>
      </c>
      <c r="I97" s="114" t="inlineStr">
        <is>
          <t>≈ $17,000–17,500</t>
        </is>
      </c>
      <c r="J97" s="114" t="inlineStr">
        <is>
          <t>$34,000–35,000</t>
        </is>
      </c>
      <c r="K97" s="110" t="inlineStr">
        <is>
          <t>$34–35k</t>
        </is>
      </c>
      <c r="L97" s="114" t="inlineStr">
        <is>
          <t>کارشناسی مرتبط (Medialogy، CS، Media Tech)</t>
        </is>
      </c>
      <c r="M97" s="114" t="inlineStr">
        <is>
          <t>6.5</t>
        </is>
      </c>
      <c r="N97" s="114">
        <f>329</f>
        <v/>
      </c>
      <c r="O97" s="40" t="inlineStr">
        <is>
          <t>Target</t>
        </is>
      </c>
      <c r="P97" s="114" t="inlineStr">
        <is>
          <t>2/5 — آگهی‌های UX/UXR از ۲۰۲۲ حدود ۷۰٪ کم شده و از ۲۰۲۳ ثابت مانده؛
رقابت شدید، حقوق شروع کمتر از توسعه‌دهنده</t>
        </is>
      </c>
      <c r="Q97" s="114" t="inlineStr">
        <is>
          <t>تعامل، AR/VR، بازی؛ بین HCI و Game</t>
        </is>
      </c>
      <c r="R97" s="115" t="inlineStr">
        <is>
          <t>https://www.en.aau.dk/education/master/medialogy-aal</t>
        </is>
      </c>
    </row>
    <row r="98">
      <c r="A98" s="66" t="n">
        <v>97</v>
      </c>
      <c r="B98" s="138" t="inlineStr">
        <is>
          <t>دانمارک</t>
        </is>
      </c>
      <c r="C98" s="63" t="inlineStr">
        <is>
          <t>University of Southern Denmark (SDU)</t>
        </is>
      </c>
      <c r="D98" s="63" t="inlineStr">
        <is>
          <t>Odense (اودنسه) — سومین شهر؛ خوشهٔ رباتیک</t>
        </is>
      </c>
      <c r="E98" s="69" t="inlineStr">
        <is>
          <t>متوسط — $1,220–1,530</t>
        </is>
      </c>
      <c r="F98" s="63" t="inlineStr">
        <is>
          <t>MSc Computer Science</t>
        </is>
      </c>
      <c r="G98" s="69" t="inlineStr">
        <is>
          <t>مهندسی نرم‌افزار / علوم کامپیوتر</t>
        </is>
      </c>
      <c r="H98" s="69" t="inlineStr">
        <is>
          <t>۲ سال</t>
        </is>
      </c>
      <c r="I98" s="69" t="inlineStr">
        <is>
          <t>$19,700 (از ورودی سپتامبر ۲۰۲۶؛ قبلاً $15,800)</t>
        </is>
      </c>
      <c r="J98" s="69" t="inlineStr">
        <is>
          <t>$39,400</t>
        </is>
      </c>
      <c r="K98" s="110" t="inlineStr">
        <is>
          <t>$69–76k</t>
        </is>
      </c>
      <c r="L98" s="69" t="inlineStr">
        <is>
          <t>≥ ۱۰۰ ECTS دروس CS؛ ظرفیت محدود + آزمون</t>
        </is>
      </c>
      <c r="M98" s="69" t="inlineStr">
        <is>
          <t>6.5</t>
        </is>
      </c>
      <c r="N98" s="69">
        <f>283</f>
        <v/>
      </c>
      <c r="O98" s="40" t="inlineStr">
        <is>
          <t>Target</t>
        </is>
      </c>
      <c r="P98" s="69" t="inlineStr">
        <is>
          <t>4/5 — بیشترین حجم آگهی در هر ۸ کشور؛
ورود جونیور از ۲۰۲۳ سخت‌تر شده — سابقهٔ کار شما مزیت است</t>
        </is>
      </c>
      <c r="Q98" s="125" t="inlineStr">
        <is>
          <t>⚠️ افزایش شهریهٔ ۲۰۲۶ — جدول اصلی اصلاح شد</t>
        </is>
      </c>
      <c r="R98" s="111" t="inlineStr">
        <is>
          <t>https://www.sdu.dk/en/uddannelse/fees_and_funding/tuition</t>
        </is>
      </c>
    </row>
    <row r="99">
      <c r="A99" s="112" t="n">
        <v>98</v>
      </c>
      <c r="B99" s="138" t="inlineStr">
        <is>
          <t>دانمارک</t>
        </is>
      </c>
      <c r="C99" s="113" t="inlineStr">
        <is>
          <t>University of Southern Denmark (SDU)</t>
        </is>
      </c>
      <c r="D99" s="113" t="inlineStr">
        <is>
          <t>Odense (اودنسه) — سومین شهر؛ خوشهٔ رباتیک</t>
        </is>
      </c>
      <c r="E99" s="114" t="inlineStr">
        <is>
          <t>متوسط — $1,220–1,530</t>
        </is>
      </c>
      <c r="F99" s="113" t="inlineStr">
        <is>
          <t>MSc Eng Software Engineering</t>
        </is>
      </c>
      <c r="G99" s="114" t="inlineStr">
        <is>
          <t>مهندسی نرم‌افزار / علوم کامپیوتر</t>
        </is>
      </c>
      <c r="H99" s="114" t="inlineStr">
        <is>
          <t>۲ سال</t>
        </is>
      </c>
      <c r="I99" s="114" t="inlineStr">
        <is>
          <t>$19,700</t>
        </is>
      </c>
      <c r="J99" s="114" t="inlineStr">
        <is>
          <t>$39,400</t>
        </is>
      </c>
      <c r="K99" s="110" t="inlineStr">
        <is>
          <t>$69–76k</t>
        </is>
      </c>
      <c r="L99" s="114" t="inlineStr">
        <is>
          <t>کارشناسی SE/CS</t>
        </is>
      </c>
      <c r="M99" s="114" t="inlineStr">
        <is>
          <t>6.5</t>
        </is>
      </c>
      <c r="N99" s="114">
        <f>283</f>
        <v/>
      </c>
      <c r="O99" s="40" t="inlineStr">
        <is>
          <t>Target</t>
        </is>
      </c>
      <c r="P99" s="114" t="inlineStr">
        <is>
          <t>4/5 — بیشترین حجم آگهی در هر ۸ کشور؛
ورود جونیور از ۲۰۲۳ سخت‌تر شده — سابقهٔ کار شما مزیت است</t>
        </is>
      </c>
      <c r="Q99" s="114" t="inlineStr">
        <is>
          <t>گرایش‌های Interactive Tech &amp; Games، Cyber-security &amp; Data Intelligence</t>
        </is>
      </c>
      <c r="R99" s="115" t="inlineStr">
        <is>
          <t>https://www.sdu.dk/en/uddannelse/kandidat/softwareengineering</t>
        </is>
      </c>
    </row>
    <row r="100">
      <c r="A100" s="66" t="n">
        <v>99</v>
      </c>
      <c r="B100" s="138" t="inlineStr">
        <is>
          <t>دانمارک</t>
        </is>
      </c>
      <c r="C100" s="63" t="inlineStr">
        <is>
          <t>University of Southern Denmark (SDU)</t>
        </is>
      </c>
      <c r="D100" s="63" t="inlineStr">
        <is>
          <t>Odense (اودنسه) — سومین شهر؛ خوشهٔ رباتیک</t>
        </is>
      </c>
      <c r="E100" s="69" t="inlineStr">
        <is>
          <t>متوسط — $1,220–1,530</t>
        </is>
      </c>
      <c r="F100" s="63" t="inlineStr">
        <is>
          <t>MSc Artificial Intelligence</t>
        </is>
      </c>
      <c r="G100" s="69" t="inlineStr">
        <is>
          <t>هوش مصنوعی / یادگیری ماشین</t>
        </is>
      </c>
      <c r="H100" s="69" t="inlineStr">
        <is>
          <t>۲ سال</t>
        </is>
      </c>
      <c r="I100" s="69" t="inlineStr">
        <is>
          <t>$19,700</t>
        </is>
      </c>
      <c r="J100" s="69" t="inlineStr">
        <is>
          <t>$39,400</t>
        </is>
      </c>
      <c r="K100" s="110" t="inlineStr">
        <is>
          <t>$69–76k</t>
        </is>
      </c>
      <c r="L100" s="69" t="inlineStr">
        <is>
          <t>کارشناسی CS/AI</t>
        </is>
      </c>
      <c r="M100" s="69" t="inlineStr">
        <is>
          <t>6.5</t>
        </is>
      </c>
      <c r="N100" s="69">
        <f>283</f>
        <v/>
      </c>
      <c r="O100" s="40" t="inlineStr">
        <is>
          <t>Target</t>
        </is>
      </c>
      <c r="P100" s="69" t="inlineStr">
        <is>
          <t>5/5 — داغ‌ترین بازار؛
«AI Engineer» سریع‌ترین‌رشد (LinkedIn 2026)؛
ولی برنامه‌های ریاضی‌محور (Tübingen، UvA، KTH) بسیار رقابتی‌اند</t>
        </is>
      </c>
      <c r="Q100" s="69" t="inlineStr">
        <is>
          <t>شروع سپتامبر و فوریه</t>
        </is>
      </c>
      <c r="R100" s="111" t="inlineStr">
        <is>
          <t>https://www.sdu.dk/en/studyscience</t>
        </is>
      </c>
    </row>
    <row r="101">
      <c r="A101" s="112" t="n">
        <v>100</v>
      </c>
      <c r="B101" s="138" t="inlineStr">
        <is>
          <t>دانمارک</t>
        </is>
      </c>
      <c r="C101" s="113" t="inlineStr">
        <is>
          <t>University of Southern Denmark (SDU)</t>
        </is>
      </c>
      <c r="D101" s="113" t="inlineStr">
        <is>
          <t>Odense (اودنسه) — سومین شهر؛ خوشهٔ رباتیک</t>
        </is>
      </c>
      <c r="E101" s="114" t="inlineStr">
        <is>
          <t>متوسط — $1,220–1,530</t>
        </is>
      </c>
      <c r="F101" s="113" t="inlineStr">
        <is>
          <t>MSc Eng Robot Systems</t>
        </is>
      </c>
      <c r="G101" s="114" t="inlineStr">
        <is>
          <t>سیستم‌های نهفته / رباتیک / خودران</t>
        </is>
      </c>
      <c r="H101" s="114" t="inlineStr">
        <is>
          <t>۲ سال</t>
        </is>
      </c>
      <c r="I101" s="114" t="inlineStr">
        <is>
          <t>$19,700</t>
        </is>
      </c>
      <c r="J101" s="114" t="inlineStr">
        <is>
          <t>$39,400</t>
        </is>
      </c>
      <c r="K101" s="110" t="inlineStr">
        <is>
          <t>$69–76k</t>
        </is>
      </c>
      <c r="L101" s="114" t="inlineStr">
        <is>
          <t>کارشناسی مرتبط (CS/EE/Mechatronics)</t>
        </is>
      </c>
      <c r="M101" s="114" t="inlineStr">
        <is>
          <t>6.5</t>
        </is>
      </c>
      <c r="N101" s="114">
        <f>283</f>
        <v/>
      </c>
      <c r="O101" s="40" t="inlineStr">
        <is>
          <t>Target</t>
        </is>
      </c>
      <c r="P101" s="114" t="inlineStr">
        <is>
          <t>4/5 — در آلمان و سوئد قوی (خودرو، Bosch، ABB، Ericsson)؛
ولی کارفرمایان صنعتی خارج از شهرهای بزرگ اغلب آلمانی/سوئدی می‌خواهند</t>
        </is>
      </c>
      <c r="Q101" s="113" t="inlineStr">
        <is>
          <t>Odense Robotics cluster (Universal Robots، MiR)</t>
        </is>
      </c>
      <c r="R101" s="115" t="inlineStr">
        <is>
          <t>https://www.sdu.dk/en/uddannelse/kandidat/alle-kandidatuddannelser</t>
        </is>
      </c>
    </row>
    <row r="102">
      <c r="A102" s="66" t="n">
        <v>101</v>
      </c>
      <c r="B102" s="138" t="inlineStr">
        <is>
          <t>دانمارک</t>
        </is>
      </c>
      <c r="C102" s="63" t="inlineStr">
        <is>
          <t>University of Southern Denmark (SDU)</t>
        </is>
      </c>
      <c r="D102" s="63" t="inlineStr">
        <is>
          <t>Kolding (کولدینگ) — جنوب یوتلند</t>
        </is>
      </c>
      <c r="E102" s="69" t="inlineStr">
        <is>
          <t>ارزان تا متوسط — $1,150–1,370</t>
        </is>
      </c>
      <c r="F102" s="63" t="inlineStr">
        <is>
          <t>MSc Data Science</t>
        </is>
      </c>
      <c r="G102" s="69" t="inlineStr">
        <is>
          <t>علم داده / تحلیل داده</t>
        </is>
      </c>
      <c r="H102" s="69" t="inlineStr">
        <is>
          <t>۲ سال</t>
        </is>
      </c>
      <c r="I102" s="69" t="inlineStr">
        <is>
          <t>$19,700</t>
        </is>
      </c>
      <c r="J102" s="69" t="inlineStr">
        <is>
          <t>$39,400</t>
        </is>
      </c>
      <c r="K102" s="110" t="inlineStr">
        <is>
          <t>$67–72k</t>
        </is>
      </c>
      <c r="L102" s="69" t="inlineStr">
        <is>
          <t>کارشناسی با محتوای کمی/برنامه‌نویسی</t>
        </is>
      </c>
      <c r="M102" s="69" t="inlineStr">
        <is>
          <t>6.5</t>
        </is>
      </c>
      <c r="N102" s="69">
        <f>283</f>
        <v/>
      </c>
      <c r="O102" s="40" t="inlineStr">
        <is>
          <t>Target</t>
        </is>
      </c>
      <c r="P102" s="69" t="inlineStr">
        <is>
          <t>3/5 — بازار ارشد/سینیور خوب، ولی سطح جونیور اشباع (ده‌ها هزار فارغ‌التحصیل مشابه)؛
Data Engineer کم‌رقابت‌تر از Data Scientist</t>
        </is>
      </c>
      <c r="Q102" s="69" t="inlineStr"/>
      <c r="R102" s="111" t="inlineStr">
        <is>
          <t>https://www.sdu.dk/en/uddannelse/kandidat/alle-kandidatuddannelser</t>
        </is>
      </c>
    </row>
    <row r="103">
      <c r="A103" s="112" t="n">
        <v>102</v>
      </c>
      <c r="B103" s="138" t="inlineStr">
        <is>
          <t>دانمارک</t>
        </is>
      </c>
      <c r="C103" s="113" t="inlineStr">
        <is>
          <t>IT University of Copenhagen (ITU)</t>
        </is>
      </c>
      <c r="D103" s="113" t="inlineStr">
        <is>
          <t>Copenhagen (کپنهاگ)</t>
        </is>
      </c>
      <c r="E103" s="114" t="inlineStr">
        <is>
          <t>خیلی گران — $1,530–1,910</t>
        </is>
      </c>
      <c r="F103" s="113" t="inlineStr">
        <is>
          <t>MSc Games — track Game Technology</t>
        </is>
      </c>
      <c r="G103" s="114" t="inlineStr">
        <is>
          <t>توسعه بازی</t>
        </is>
      </c>
      <c r="H103" s="114" t="inlineStr">
        <is>
          <t>۲ سال</t>
        </is>
      </c>
      <c r="I103" s="114" t="inlineStr">
        <is>
          <t>$18,800 ($9,410 در ترم؛ ورودی ۲۰۲۶ — رسمی)</t>
        </is>
      </c>
      <c r="J103" s="114" t="inlineStr">
        <is>
          <t>$37,600</t>
        </is>
      </c>
      <c r="K103" s="110" t="inlineStr">
        <is>
          <t>$74–83k</t>
        </is>
      </c>
      <c r="L103" s="114" t="inlineStr">
        <is>
          <t>برای track فنی: کارشناسی CS</t>
        </is>
      </c>
      <c r="M103" s="114" t="inlineStr">
        <is>
          <t>6.5</t>
        </is>
      </c>
      <c r="N103" s="114" t="inlineStr">
        <is>
          <t>— (تخصصی)</t>
        </is>
      </c>
      <c r="O103" s="40" t="inlineStr">
        <is>
          <t>Target</t>
        </is>
      </c>
      <c r="P103"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3" s="114" t="inlineStr">
        <is>
          <t>شناخته‌شده‌ترین ارشد بازی اسکاندیناوی؛
Copenhagen (IO Interactive، Unity Copenhagen)</t>
        </is>
      </c>
      <c r="R103" s="115" t="inlineStr">
        <is>
          <t>https://en.itu.dk/Programmes/MSc-Programmes/Applying-to-a-MSc-programme/Non-EU-EOES</t>
        </is>
      </c>
    </row>
    <row r="104">
      <c r="A104" s="66" t="n">
        <v>103</v>
      </c>
      <c r="B104" s="138" t="inlineStr">
        <is>
          <t>دانمارک</t>
        </is>
      </c>
      <c r="C104" s="63" t="inlineStr">
        <is>
          <t>IT University of Copenhagen (ITU)</t>
        </is>
      </c>
      <c r="D104" s="63" t="inlineStr">
        <is>
          <t>Copenhagen (کپنهاگ)</t>
        </is>
      </c>
      <c r="E104" s="69" t="inlineStr">
        <is>
          <t>خیلی گران — $1,530–1,910</t>
        </is>
      </c>
      <c r="F104" s="63" t="inlineStr">
        <is>
          <t>MSc Computer Science</t>
        </is>
      </c>
      <c r="G104" s="69" t="inlineStr">
        <is>
          <t>مهندسی نرم‌افزار / علوم کامپیوتر</t>
        </is>
      </c>
      <c r="H104" s="69" t="inlineStr">
        <is>
          <t>۲ سال</t>
        </is>
      </c>
      <c r="I104" s="69" t="inlineStr">
        <is>
          <t>$18,800 ($9,410 در ترم)</t>
        </is>
      </c>
      <c r="J104" s="69" t="inlineStr">
        <is>
          <t>$37,600</t>
        </is>
      </c>
      <c r="K104" s="110" t="inlineStr">
        <is>
          <t>$74–83k</t>
        </is>
      </c>
      <c r="L104" s="69" t="inlineStr">
        <is>
          <t>کارشناسی CS/SE با برنامه‌نویسی قابل توجه</t>
        </is>
      </c>
      <c r="M104" s="69" t="inlineStr">
        <is>
          <t>6.5</t>
        </is>
      </c>
      <c r="N104" s="69" t="inlineStr">
        <is>
          <t>— (تخصصی)</t>
        </is>
      </c>
      <c r="O104" s="40" t="inlineStr">
        <is>
          <t>Target</t>
        </is>
      </c>
      <c r="P104" s="69" t="inlineStr">
        <is>
          <t>4/5 — بیشترین حجم آگهی در هر ۸ کشور؛
ورود جونیور از ۲۰۲۳ سخت‌تر شده — سابقهٔ کار شما مزیت است</t>
        </is>
      </c>
      <c r="Q104" s="69" t="inlineStr">
        <is>
          <t>ارزان‌تر از DTU/KU در کپنهاگ؛
رقم قدیمی $15,300 (پورتال studyindenmark) منسوخ است</t>
        </is>
      </c>
      <c r="R104" s="111" t="inlineStr">
        <is>
          <t>https://en.itu.dk/Programmes/MSc-Programmes/Applying-to-a-MSc-programme/Non-EU-EOES</t>
        </is>
      </c>
    </row>
    <row r="105">
      <c r="A105" s="112" t="n">
        <v>104</v>
      </c>
      <c r="B105" s="138" t="inlineStr">
        <is>
          <t>دانمارک</t>
        </is>
      </c>
      <c r="C105" s="113" t="inlineStr">
        <is>
          <t>IT University of Copenhagen (ITU)</t>
        </is>
      </c>
      <c r="D105" s="113" t="inlineStr">
        <is>
          <t>Copenhagen (کپنهاگ)</t>
        </is>
      </c>
      <c r="E105" s="114" t="inlineStr">
        <is>
          <t>خیلی گران — $1,530–1,910</t>
        </is>
      </c>
      <c r="F105" s="113" t="inlineStr">
        <is>
          <t>MSc Data Science</t>
        </is>
      </c>
      <c r="G105" s="114" t="inlineStr">
        <is>
          <t>علم داده / تحلیل داده</t>
        </is>
      </c>
      <c r="H105" s="114" t="inlineStr">
        <is>
          <t>۲ سال</t>
        </is>
      </c>
      <c r="I105" s="114" t="inlineStr">
        <is>
          <t>$18,800 ($9,410 در ترم)</t>
        </is>
      </c>
      <c r="J105" s="114" t="inlineStr">
        <is>
          <t>$37,600</t>
        </is>
      </c>
      <c r="K105" s="110" t="inlineStr">
        <is>
          <t>$74–83k</t>
        </is>
      </c>
      <c r="L105" s="114" t="inlineStr">
        <is>
          <t>کارشناسی مرتبط با داده/CS</t>
        </is>
      </c>
      <c r="M105" s="114" t="inlineStr">
        <is>
          <t>6.5</t>
        </is>
      </c>
      <c r="N105" s="114" t="inlineStr">
        <is>
          <t>— (تخصصی)</t>
        </is>
      </c>
      <c r="O105" s="40" t="inlineStr">
        <is>
          <t>Target</t>
        </is>
      </c>
      <c r="P105" s="114" t="inlineStr">
        <is>
          <t>3/5 — بازار ارشد/سینیور خوب، ولی سطح جونیور اشباع (ده‌ها هزار فارغ‌التحصیل مشابه)؛
Data Engineer کم‌رقابت‌تر از Data Scientist</t>
        </is>
      </c>
      <c r="Q105" s="114" t="inlineStr"/>
      <c r="R105" s="115" t="inlineStr">
        <is>
          <t>https://en.itu.dk/Programmes/MSc-Programmes/Applying-to-a-MSc-programme/Non-EU-EOES</t>
        </is>
      </c>
    </row>
    <row r="106">
      <c r="A106" s="66" t="n">
        <v>105</v>
      </c>
      <c r="B106" s="138" t="inlineStr">
        <is>
          <t>دانمارک</t>
        </is>
      </c>
      <c r="C106" s="63" t="inlineStr">
        <is>
          <t>Technical University of Denmark (DTU)</t>
        </is>
      </c>
      <c r="D106" s="63" t="inlineStr">
        <is>
          <t>Kgs. Lyngby (لینگبی) — ۱۵ کیلومتری کپنهاگ</t>
        </is>
      </c>
      <c r="E106" s="69" t="inlineStr">
        <is>
          <t>خیلی گران — $1,450–1,830</t>
        </is>
      </c>
      <c r="F106" s="63" t="inlineStr">
        <is>
          <t>MSc Eng Human-Centered Artificial Intelligence</t>
        </is>
      </c>
      <c r="G106" s="69" t="inlineStr">
        <is>
          <t>هوش مصنوعی / یادگیری ماشین</t>
        </is>
      </c>
      <c r="H106" s="69" t="inlineStr">
        <is>
          <t>۲ سال</t>
        </is>
      </c>
      <c r="I106" s="69" t="inlineStr">
        <is>
          <t>$17,100</t>
        </is>
      </c>
      <c r="J106" s="69" t="inlineStr">
        <is>
          <t>$34,200</t>
        </is>
      </c>
      <c r="K106" s="110" t="inlineStr">
        <is>
          <t>$69–78k</t>
        </is>
      </c>
      <c r="L106" s="69" t="inlineStr">
        <is>
          <t>ظرفیت محدود؛
امتیازدهی: معدل ۶۰٪ + سابقهٔ کار ۱۰٪</t>
        </is>
      </c>
      <c r="M106" s="69" t="inlineStr">
        <is>
          <t>6.5</t>
        </is>
      </c>
      <c r="N106" s="69" t="inlineStr">
        <is>
          <t>105</t>
        </is>
      </c>
      <c r="O106" s="116" t="inlineStr">
        <is>
          <t>Reach</t>
        </is>
      </c>
      <c r="P106" s="69" t="inlineStr">
        <is>
          <t>5/5 — داغ‌ترین بازار؛
«AI Engineer» سریع‌ترین‌رشد (LinkedIn 2026)؛
ولی برنامه‌های ریاضی‌محور (Tübingen، UvA، KTH) بسیار رقابتی‌اند</t>
        </is>
      </c>
      <c r="Q106" s="69" t="inlineStr">
        <is>
          <t>معدل ۱۵.۷۷ در رقابت DTU ضعیف است</t>
        </is>
      </c>
      <c r="R106" s="111" t="inlineStr">
        <is>
          <t>https://www.dtu.dk/english/education/graduate/msc-programmes/human-centered-artificial-intelligence</t>
        </is>
      </c>
    </row>
    <row r="107">
      <c r="A107" s="112" t="n">
        <v>106</v>
      </c>
      <c r="B107" s="138" t="inlineStr">
        <is>
          <t>دانمارک</t>
        </is>
      </c>
      <c r="C107" s="113" t="inlineStr">
        <is>
          <t>Technical University of Denmark (DTU)</t>
        </is>
      </c>
      <c r="D107" s="113" t="inlineStr">
        <is>
          <t>Kgs. Lyngby (لینگبی) — ۱۵ کیلومتری کپنهاگ</t>
        </is>
      </c>
      <c r="E107" s="114" t="inlineStr">
        <is>
          <t>خیلی گران — $1,450–1,830</t>
        </is>
      </c>
      <c r="F107" s="113" t="inlineStr">
        <is>
          <t>MSc Eng Autonomous Systems</t>
        </is>
      </c>
      <c r="G107" s="114" t="inlineStr">
        <is>
          <t>سیستم‌های نهفته / رباتیک / خودران</t>
        </is>
      </c>
      <c r="H107" s="114" t="inlineStr">
        <is>
          <t>۲ سال</t>
        </is>
      </c>
      <c r="I107" s="114" t="inlineStr">
        <is>
          <t>$17,100</t>
        </is>
      </c>
      <c r="J107" s="114" t="inlineStr">
        <is>
          <t>$34,200</t>
        </is>
      </c>
      <c r="K107" s="110" t="inlineStr">
        <is>
          <t>$69–78k</t>
        </is>
      </c>
      <c r="L107" s="114" t="inlineStr">
        <is>
          <t>۸۰–۹۰ ECTS دروس مرتبط؛ ظرفیت محدود</t>
        </is>
      </c>
      <c r="M107" s="114" t="inlineStr">
        <is>
          <t>6.5</t>
        </is>
      </c>
      <c r="N107" s="114" t="inlineStr">
        <is>
          <t>105</t>
        </is>
      </c>
      <c r="O107" s="116" t="inlineStr">
        <is>
          <t>Reach</t>
        </is>
      </c>
      <c r="P107" s="114" t="inlineStr">
        <is>
          <t>4/5 — در آلمان و سوئد قوی (خودرو، Bosch، ABB، Ericsson)؛
ولی کارفرمایان صنعتی خارج از شهرهای بزرگ اغلب آلمانی/سوئدی می‌خواهند</t>
        </is>
      </c>
      <c r="Q107" s="114" t="inlineStr"/>
      <c r="R107" s="115" t="inlineStr">
        <is>
          <t>https://www.dtu.dk/english/education/graduate/msc-programmes/autonomous-systems/prerequisites</t>
        </is>
      </c>
    </row>
    <row r="108">
      <c r="A108" s="66" t="n">
        <v>107</v>
      </c>
      <c r="B108" s="138" t="inlineStr">
        <is>
          <t>دانمارک</t>
        </is>
      </c>
      <c r="C108" s="63" t="inlineStr">
        <is>
          <t>Technical University of Denmark (DTU)</t>
        </is>
      </c>
      <c r="D108" s="63" t="inlineStr">
        <is>
          <t>Kgs. Lyngby (لینگبی) — ۱۵ کیلومتری کپنهاگ</t>
        </is>
      </c>
      <c r="E108" s="69" t="inlineStr">
        <is>
          <t>خیلی گران — $1,450–1,830</t>
        </is>
      </c>
      <c r="F108" s="63" t="inlineStr">
        <is>
          <t>MSc Eng Computer Science and Engineering</t>
        </is>
      </c>
      <c r="G108" s="69" t="inlineStr">
        <is>
          <t>مهندسی نرم‌افزار / علوم کامپیوتر</t>
        </is>
      </c>
      <c r="H108" s="69" t="inlineStr">
        <is>
          <t>۲ سال</t>
        </is>
      </c>
      <c r="I108" s="69" t="inlineStr">
        <is>
          <t>$17,100</t>
        </is>
      </c>
      <c r="J108" s="69" t="inlineStr">
        <is>
          <t>$34,200</t>
        </is>
      </c>
      <c r="K108" s="110" t="inlineStr">
        <is>
          <t>$69–78k</t>
        </is>
      </c>
      <c r="L108" s="69" t="inlineStr">
        <is>
          <t>ظرفیت محدود؛ گزینش با معدل</t>
        </is>
      </c>
      <c r="M108" s="69" t="inlineStr">
        <is>
          <t>6.5</t>
        </is>
      </c>
      <c r="N108" s="69" t="inlineStr">
        <is>
          <t>105</t>
        </is>
      </c>
      <c r="O108" s="116" t="inlineStr">
        <is>
          <t>Reach</t>
        </is>
      </c>
      <c r="P108" s="69" t="inlineStr">
        <is>
          <t>4/5 — بیشترین حجم آگهی در هر ۸ کشور؛
ورود جونیور از ۲۰۲۳ سخت‌تر شده — سابقهٔ کار شما مزیت است</t>
        </is>
      </c>
      <c r="Q108" s="69" t="inlineStr"/>
      <c r="R108" s="111" t="inlineStr">
        <is>
          <t>https://www.dtu.dk/english/education/graduate/msc-programmes/computer-science-and-engineering</t>
        </is>
      </c>
    </row>
    <row r="109">
      <c r="A109" s="112" t="n">
        <v>108</v>
      </c>
      <c r="B109" s="138" t="inlineStr">
        <is>
          <t>دانمارک</t>
        </is>
      </c>
      <c r="C109" s="113" t="inlineStr">
        <is>
          <t>Aarhus University (AU)</t>
        </is>
      </c>
      <c r="D109" s="113" t="inlineStr">
        <is>
          <t>Aarhus (آرهوس) — دومین شهر دانمارک</t>
        </is>
      </c>
      <c r="E109" s="114" t="inlineStr">
        <is>
          <t>گران — $1,370–1,680</t>
        </is>
      </c>
      <c r="F109" s="113" t="inlineStr">
        <is>
          <t>MSc Computer Science</t>
        </is>
      </c>
      <c r="G109" s="114" t="inlineStr">
        <is>
          <t>مهندسی نرم‌افزار / علوم کامپیوتر</t>
        </is>
      </c>
      <c r="H109" s="114" t="inlineStr">
        <is>
          <t>۲ سال</t>
        </is>
      </c>
      <c r="I109" s="114" t="inlineStr">
        <is>
          <t>$19,700</t>
        </is>
      </c>
      <c r="J109" s="114" t="inlineStr">
        <is>
          <t>$39,400</t>
        </is>
      </c>
      <c r="K109" s="110" t="inlineStr">
        <is>
          <t>$72–80k</t>
        </is>
      </c>
      <c r="L109" s="114" t="inlineStr">
        <is>
          <t>کارشناسی CS با واحدهای مشخص</t>
        </is>
      </c>
      <c r="M109" s="114" t="inlineStr">
        <is>
          <t>6.5</t>
        </is>
      </c>
      <c r="N109" s="114" t="inlineStr">
        <is>
          <t>128</t>
        </is>
      </c>
      <c r="O109" s="68" t="inlineStr">
        <is>
          <t>Target/Reach</t>
        </is>
      </c>
      <c r="P109" s="114" t="inlineStr">
        <is>
          <t>4/5 — بیشترین حجم آگهی در هر ۸ کشور؛
ورود جونیور از ۲۰۲۳ سخت‌تر شده — سابقهٔ کار شما مزیت است</t>
        </is>
      </c>
      <c r="Q109" s="113" t="inlineStr">
        <is>
          <t>Aarhus: دومین شهر، ارزان‌تر از کپنهاگ</t>
        </is>
      </c>
      <c r="R109" s="115" t="inlineStr">
        <is>
          <t>https://masters.au.dk/computerscience</t>
        </is>
      </c>
    </row>
    <row r="110">
      <c r="A110" s="129" t="n">
        <v>109</v>
      </c>
      <c r="B110" s="139" t="inlineStr">
        <is>
          <t>فنلاند</t>
        </is>
      </c>
      <c r="C110" s="131" t="inlineStr">
        <is>
          <t>Tampere University</t>
        </is>
      </c>
      <c r="D110" s="131" t="inlineStr">
        <is>
          <t>Tampere (تامپره) — Nokia، Unity، Intel؛
دومین قطب فناوری فنلاند</t>
        </is>
      </c>
      <c r="E110" s="132" t="inlineStr">
        <is>
          <t>ارزان — $910–1,140</t>
        </is>
      </c>
      <c r="F110" s="131" t="inlineStr">
        <is>
          <t>MSc Computing Sciences and Electrical Engineering — AI-native Software (Software, Web &amp; Cloud)</t>
        </is>
      </c>
      <c r="G110" s="132" t="inlineStr">
        <is>
          <t>مهندسی نرم‌افزار / علوم کامپیوتر</t>
        </is>
      </c>
      <c r="H110" s="132" t="inlineStr">
        <is>
          <t>۲ سال</t>
        </is>
      </c>
      <c r="I110" s="132" t="inlineStr">
        <is>
          <t>$13,700 (رسمی 2026/27؛ Early-bird −$2,280 سال اول)</t>
        </is>
      </c>
      <c r="J110" s="132" t="inlineStr">
        <is>
          <t>$27,400</t>
        </is>
      </c>
      <c r="K110" s="121" t="inlineStr">
        <is>
          <t>$49–55k</t>
        </is>
      </c>
      <c r="L110" s="132" t="inlineStr">
        <is>
          <t>کارشناسی مرتبط (CS/SE/IT) با برنامه‌نویسی و ریاضی</t>
        </is>
      </c>
      <c r="M110" s="131" t="inlineStr">
        <is>
          <t>6.5 (W 5.5)</t>
        </is>
      </c>
      <c r="N110" s="132" t="inlineStr">
        <is>
          <t>436</t>
        </is>
      </c>
      <c r="O110" s="122" t="inlineStr">
        <is>
          <t>Target</t>
        </is>
      </c>
      <c r="P110" s="132" t="inlineStr">
        <is>
          <t>4/5 — بیشترین حجم آگهی در هر ۸ کشور؛
ورود جونیور از ۲۰۲۳ سخت‌تر شده — سابقهٔ کار شما مزیت است</t>
        </is>
      </c>
      <c r="Q110" s="132" t="inlineStr">
        <is>
          <t>بورس ۵۰٪ برای کل دوره هنگام پذیرش (گزینشی)؛
Nokia/Unity/Intel در شهر؛
خوابگاه TOAS $240–465؛
مهلت ۲۱ ژانویه ۲۰۲۷</t>
        </is>
      </c>
      <c r="R110" s="133" t="inlineStr">
        <is>
          <t>https://www.tuni.fi/en/tau/masters-programmes/ai-native-software-computing-sciences-and-electrical-engineering</t>
        </is>
      </c>
    </row>
    <row r="111">
      <c r="A111" s="112" t="n">
        <v>110</v>
      </c>
      <c r="B111" s="140" t="inlineStr">
        <is>
          <t>فنلاند</t>
        </is>
      </c>
      <c r="C111" s="113" t="inlineStr">
        <is>
          <t>Tampere University</t>
        </is>
      </c>
      <c r="D111" s="113" t="inlineStr">
        <is>
          <t>Tampere (تامپره) — Nokia، Unity، Intel؛
دومین قطب فناوری فنلاند</t>
        </is>
      </c>
      <c r="E111" s="114" t="inlineStr">
        <is>
          <t>ارزان — $910–1,140</t>
        </is>
      </c>
      <c r="F111" s="113" t="inlineStr">
        <is>
          <t>MSc Computing Sciences and Electrical Engineering — Data Science</t>
        </is>
      </c>
      <c r="G111" s="114" t="inlineStr">
        <is>
          <t>علم داده / تحلیل داده</t>
        </is>
      </c>
      <c r="H111" s="114" t="inlineStr">
        <is>
          <t>۲ سال</t>
        </is>
      </c>
      <c r="I111" s="114" t="inlineStr">
        <is>
          <t>$13,700</t>
        </is>
      </c>
      <c r="J111" s="114" t="inlineStr">
        <is>
          <t>$27,400</t>
        </is>
      </c>
      <c r="K111" s="110" t="inlineStr">
        <is>
          <t>$49–55k</t>
        </is>
      </c>
      <c r="L111" s="114" t="inlineStr">
        <is>
          <t>کارشناسی مرتبط + ریاضی/آمار</t>
        </is>
      </c>
      <c r="M111" s="113" t="inlineStr">
        <is>
          <t>6.5 (W 5.5)</t>
        </is>
      </c>
      <c r="N111" s="114" t="inlineStr">
        <is>
          <t>436</t>
        </is>
      </c>
      <c r="O111" s="40" t="inlineStr">
        <is>
          <t>Target</t>
        </is>
      </c>
      <c r="P111" s="114" t="inlineStr">
        <is>
          <t>3/5 — بازار ارشد/سینیور خوب، ولی سطح جونیور اشباع (ده‌ها هزار فارغ‌التحصیل مشابه)؛
Data Engineer کم‌رقابت‌تر از Data Scientist</t>
        </is>
      </c>
      <c r="Q111" s="114" t="inlineStr">
        <is>
          <t>همان برنامهٔ CSEE، تخصص Data Science</t>
        </is>
      </c>
      <c r="R111" s="115" t="inlineStr">
        <is>
          <t>https://www.tuni.fi/en/tau/masters-programmes/data-science-computing-sciences-and-electrical-engineering</t>
        </is>
      </c>
    </row>
    <row r="112">
      <c r="A112" s="66" t="n">
        <v>111</v>
      </c>
      <c r="B112" s="140" t="inlineStr">
        <is>
          <t>فنلاند</t>
        </is>
      </c>
      <c r="C112" s="63" t="inlineStr">
        <is>
          <t>Tampere University</t>
        </is>
      </c>
      <c r="D112" s="63" t="inlineStr">
        <is>
          <t>Tampere (تامپره) — Nokia، Unity، Intel؛
دومین قطب فناوری فنلاند</t>
        </is>
      </c>
      <c r="E112" s="69" t="inlineStr">
        <is>
          <t>ارزان — $910–1,140</t>
        </is>
      </c>
      <c r="F112" s="63" t="inlineStr">
        <is>
          <t>MSc Computing Sciences and Electrical Engineering — Information Security</t>
        </is>
      </c>
      <c r="G112" s="69" t="inlineStr">
        <is>
          <t>امنیت سایبری</t>
        </is>
      </c>
      <c r="H112" s="69" t="inlineStr">
        <is>
          <t>۲ سال</t>
        </is>
      </c>
      <c r="I112" s="69" t="inlineStr">
        <is>
          <t>$13,700</t>
        </is>
      </c>
      <c r="J112" s="69" t="inlineStr">
        <is>
          <t>$27,400</t>
        </is>
      </c>
      <c r="K112" s="110" t="inlineStr">
        <is>
          <t>$49–55k</t>
        </is>
      </c>
      <c r="L112" s="69" t="inlineStr">
        <is>
          <t>کارشناسی CS/IT/EE</t>
        </is>
      </c>
      <c r="M112" s="63" t="inlineStr">
        <is>
          <t>6.5 (W 5.5)</t>
        </is>
      </c>
      <c r="N112" s="69" t="inlineStr">
        <is>
          <t>436</t>
        </is>
      </c>
      <c r="O112" s="40" t="inlineStr">
        <is>
          <t>Target</t>
        </is>
      </c>
      <c r="P112" s="69" t="inlineStr">
        <is>
          <t>4/5 — کمبود ساختاری (Bitkom: جزو ۳ کمبود اصلی آلمان)؛
اما ۳۱٪ تیم‌ها هیچ نیروی جونیور ندارند → کارآموزی/گواهی لازم است</t>
        </is>
      </c>
      <c r="Q112" s="69" t="inlineStr">
        <is>
          <t>تخصص امنیت اطلاعات؛
Nokia/Insta/Nixu در تامپره</t>
        </is>
      </c>
      <c r="R112" s="111" t="inlineStr">
        <is>
          <t>https://www.tuni.fi/en/tau/masters-programmes/information-security-computing-sciences-and-electrical-engineering</t>
        </is>
      </c>
    </row>
    <row r="113">
      <c r="A113" s="112" t="n">
        <v>112</v>
      </c>
      <c r="B113" s="140" t="inlineStr">
        <is>
          <t>فنلاند</t>
        </is>
      </c>
      <c r="C113" s="113" t="inlineStr">
        <is>
          <t>Tampere University</t>
        </is>
      </c>
      <c r="D113" s="113" t="inlineStr">
        <is>
          <t>Tampere (تامپره) — Nokia، Unity، Intel؛
دومین قطب فناوری فنلاند</t>
        </is>
      </c>
      <c r="E113" s="114" t="inlineStr">
        <is>
          <t>ارزان — $910–1,140</t>
        </is>
      </c>
      <c r="F113" s="113" t="inlineStr">
        <is>
          <t>MSc Computing Sciences and Electrical Engineering — Human-Technology Interaction</t>
        </is>
      </c>
      <c r="G113" s="113" t="inlineStr">
        <is>
          <t>HCI / طراحی تعامل / UX</t>
        </is>
      </c>
      <c r="H113" s="114" t="inlineStr">
        <is>
          <t>۲ سال</t>
        </is>
      </c>
      <c r="I113" s="114" t="inlineStr">
        <is>
          <t>$13,700</t>
        </is>
      </c>
      <c r="J113" s="114" t="inlineStr">
        <is>
          <t>$27,400</t>
        </is>
      </c>
      <c r="K113" s="110" t="inlineStr">
        <is>
          <t>$49–55k</t>
        </is>
      </c>
      <c r="L113" s="114" t="inlineStr">
        <is>
          <t>کارشناسی CS/IT یا مرتبط</t>
        </is>
      </c>
      <c r="M113" s="113" t="inlineStr">
        <is>
          <t>6.5 (W 5.5)</t>
        </is>
      </c>
      <c r="N113" s="114" t="inlineStr">
        <is>
          <t>436</t>
        </is>
      </c>
      <c r="O113" s="40" t="inlineStr">
        <is>
          <t>Target</t>
        </is>
      </c>
      <c r="P113" s="114" t="inlineStr">
        <is>
          <t>2/5 — آگهی‌های UX/UXR از ۲۰۲۲ حدود ۷۰٪ کم شده و از ۲۰۲۳ ثابت مانده؛
رقابت شدید، حقوق شروع کمتر از توسعه‌دهنده</t>
        </is>
      </c>
      <c r="Q113" s="114" t="inlineStr">
        <is>
          <t>گروه HTI و Gamification تامپره؛
برای علاقه به UX/بازی</t>
        </is>
      </c>
      <c r="R113" s="115" t="inlineStr">
        <is>
          <t>https://www.tuni.fi/en/tau/masters-programmes/human-technology-interaction-computing-sciences-and-electrical-engineering</t>
        </is>
      </c>
    </row>
    <row r="114">
      <c r="A114" s="66" t="n">
        <v>113</v>
      </c>
      <c r="B114" s="140" t="inlineStr">
        <is>
          <t>فنلاند</t>
        </is>
      </c>
      <c r="C114" s="63" t="inlineStr">
        <is>
          <t>University of Oulu</t>
        </is>
      </c>
      <c r="D114" s="63" t="inlineStr">
        <is>
          <t>Oulu (اولو) — Nokia، خوشهٔ 5G/6G؛ شمال</t>
        </is>
      </c>
      <c r="E114" s="69" t="inlineStr">
        <is>
          <t>ارزان — $855–1,080</t>
        </is>
      </c>
      <c r="F114" s="63" t="inlineStr">
        <is>
          <t>MSc (Tech) Computer Science and Engineering — Artificial Intelligence / Applied Computing</t>
        </is>
      </c>
      <c r="G114" s="69" t="inlineStr">
        <is>
          <t>هوش مصنوعی / یادگیری ماشین</t>
        </is>
      </c>
      <c r="H114" s="69" t="inlineStr">
        <is>
          <t>۲ سال</t>
        </is>
      </c>
      <c r="I114" s="69" t="inlineStr">
        <is>
          <t>$11,400 (رسمی؛ ۳۰٪ معافیت سال دوم)</t>
        </is>
      </c>
      <c r="J114" s="69" t="inlineStr">
        <is>
          <t>$22,800</t>
        </is>
      </c>
      <c r="K114" s="110" t="inlineStr">
        <is>
          <t>$43–49k</t>
        </is>
      </c>
      <c r="L114" s="69" t="inlineStr">
        <is>
          <t>کارشناسی CS/CE/EE؛ ۷۰ جای تحصیل</t>
        </is>
      </c>
      <c r="M114" s="69" t="inlineStr">
        <is>
          <t>6.5</t>
        </is>
      </c>
      <c r="N114" s="69" t="inlineStr">
        <is>
          <t>360</t>
        </is>
      </c>
      <c r="O114" s="40" t="inlineStr">
        <is>
          <t>Target</t>
        </is>
      </c>
      <c r="P114" s="69" t="inlineStr">
        <is>
          <t>5/5 — داغ‌ترین بازار؛
«AI Engineer» سریع‌ترین‌رشد (LinkedIn 2026)؛
ولی برنامه‌های ریاضی‌محور (Tübingen، UvA، KTH) بسیار رقابتی‌اند</t>
        </is>
      </c>
      <c r="Q114" s="69" t="inlineStr">
        <is>
          <t>ارزان‌ترین شهریهٔ فنلاند در فهرست؛
Nokia و خوشهٔ 6G در Oulu؛
خوابگاه PSOAS $285–435؛
مهلت ۲۱ ژانویه ۲۰۲۷</t>
        </is>
      </c>
      <c r="R114" s="111" t="inlineStr">
        <is>
          <t>https://www.oulu.fi/en/apply/masters-computer-science-and-engineering</t>
        </is>
      </c>
    </row>
    <row r="115">
      <c r="A115" s="112" t="n">
        <v>114</v>
      </c>
      <c r="B115" s="140" t="inlineStr">
        <is>
          <t>فنلاند</t>
        </is>
      </c>
      <c r="C115" s="113" t="inlineStr">
        <is>
          <t>University of Turku</t>
        </is>
      </c>
      <c r="D115" s="113" t="inlineStr">
        <is>
          <t>Turku (تورکو) — سومین شهر؛
Bayer، Meyer، Wärtsilä</t>
        </is>
      </c>
      <c r="E115" s="114" t="inlineStr">
        <is>
          <t>ارزان — $910–1,140</t>
        </is>
      </c>
      <c r="F115" s="113" t="inlineStr">
        <is>
          <t>MSc (Tech) Information and Communication Technology — Software Engineering</t>
        </is>
      </c>
      <c r="G115" s="114" t="inlineStr">
        <is>
          <t>مهندسی نرم‌افزار / علوم کامپیوتر</t>
        </is>
      </c>
      <c r="H115" s="114" t="inlineStr">
        <is>
          <t>۲ سال</t>
        </is>
      </c>
      <c r="I115" s="114" t="inlineStr">
        <is>
          <t>$13,700 (رسمی؛ Early-bird −$2,280؛ ۵۰٪ سال دوم با ۵۵ واحد)</t>
        </is>
      </c>
      <c r="J115" s="114" t="inlineStr">
        <is>
          <t>$27,400</t>
        </is>
      </c>
      <c r="K115" s="110" t="inlineStr">
        <is>
          <t>$49–55k</t>
        </is>
      </c>
      <c r="L115" s="114" t="inlineStr">
        <is>
          <t>کارشناسی مرتبط (CS/SE/IT)؛
سهمیهٔ ۵۵ نفر برای کل ICT</t>
        </is>
      </c>
      <c r="M115" s="114" t="inlineStr">
        <is>
          <t>6.5</t>
        </is>
      </c>
      <c r="N115" s="114" t="inlineStr">
        <is>
          <t>398</t>
        </is>
      </c>
      <c r="O115" s="40" t="inlineStr">
        <is>
          <t>Target</t>
        </is>
      </c>
      <c r="P115" s="114" t="inlineStr">
        <is>
          <t>4/5 — بیشترین حجم آگهی در هر ۸ کشور؛
ورود جونیور از ۲۰۲۳ سخت‌تر شده — سابقهٔ کار شما مزیت است</t>
        </is>
      </c>
      <c r="Q115" s="114" t="inlineStr">
        <is>
          <t>بورس سال دوم برای همهٔ واجدان شرایط (۵۵ واحد در سال اول) → کل شهریه می‌تواند $18,200 شود؛
خوابگاه TYS $285–455</t>
        </is>
      </c>
      <c r="R115" s="115" t="inlineStr">
        <is>
          <t>https://www.utu.fi/en/study-at-utu/masters-degree-programme-in-information-and-communication-technology-software-engineering</t>
        </is>
      </c>
    </row>
    <row r="116">
      <c r="A116" s="66" t="n">
        <v>115</v>
      </c>
      <c r="B116" s="140" t="inlineStr">
        <is>
          <t>فنلاند</t>
        </is>
      </c>
      <c r="C116" s="63" t="inlineStr">
        <is>
          <t>University of Turku</t>
        </is>
      </c>
      <c r="D116" s="63" t="inlineStr">
        <is>
          <t>Turku (تورکو) — سومین شهر؛
Bayer، Meyer، Wärtsilä</t>
        </is>
      </c>
      <c r="E116" s="69" t="inlineStr">
        <is>
          <t>ارزان — $910–1,140</t>
        </is>
      </c>
      <c r="F116" s="63" t="inlineStr">
        <is>
          <t>MSc (Tech) Information and Communication Technology — Cyber Security (EIT Digital)</t>
        </is>
      </c>
      <c r="G116" s="69" t="inlineStr">
        <is>
          <t>امنیت سایبری</t>
        </is>
      </c>
      <c r="H116" s="69" t="inlineStr">
        <is>
          <t>۲ سال</t>
        </is>
      </c>
      <c r="I116" s="69" t="inlineStr">
        <is>
          <t>$13,700</t>
        </is>
      </c>
      <c r="J116" s="69" t="inlineStr">
        <is>
          <t>$27,400</t>
        </is>
      </c>
      <c r="K116" s="110" t="inlineStr">
        <is>
          <t>$49–55k</t>
        </is>
      </c>
      <c r="L116" s="69" t="inlineStr">
        <is>
          <t>کارشناسی CS/IT/EE</t>
        </is>
      </c>
      <c r="M116" s="69" t="inlineStr">
        <is>
          <t>6.5</t>
        </is>
      </c>
      <c r="N116" s="69" t="inlineStr">
        <is>
          <t>398</t>
        </is>
      </c>
      <c r="O116" s="40" t="inlineStr">
        <is>
          <t>Target</t>
        </is>
      </c>
      <c r="P116" s="69" t="inlineStr">
        <is>
          <t>4/5 — کمبود ساختاری (Bitkom: جزو ۳ کمبود اصلی آلمان)؛
اما ۳۱٪ تیم‌ها هیچ نیروی جونیور ندارند → کارآموزی/گواهی لازم است</t>
        </is>
      </c>
      <c r="Q116" s="69" t="inlineStr">
        <is>
          <t>عضو EIT Digital Master School (امکان مدرک دوگانه)</t>
        </is>
      </c>
      <c r="R116" s="111" t="inlineStr">
        <is>
          <t>https://www.utu.fi/en/study-at-utu/masters-degree-programme-in-information-and-communication-technology-cyber-security</t>
        </is>
      </c>
    </row>
    <row r="117">
      <c r="A117" s="112" t="n">
        <v>116</v>
      </c>
      <c r="B117" s="140" t="inlineStr">
        <is>
          <t>فنلاند</t>
        </is>
      </c>
      <c r="C117" s="113" t="inlineStr">
        <is>
          <t>LUT University</t>
        </is>
      </c>
      <c r="D117" s="113" t="inlineStr">
        <is>
          <t>Lappeenranta (لاپین‌رانتا) — شهر کوچک دانشگاهی، شرق</t>
        </is>
      </c>
      <c r="E117" s="114" t="inlineStr">
        <is>
          <t>ارزان — $800–1,030</t>
        </is>
      </c>
      <c r="F117" s="113" t="inlineStr">
        <is>
          <t>MSc (Tech) Software Engineering</t>
        </is>
      </c>
      <c r="G117" s="114" t="inlineStr">
        <is>
          <t>مهندسی نرم‌افزار / علوم کامپیوتر</t>
        </is>
      </c>
      <c r="H117" s="114" t="inlineStr">
        <is>
          <t>۲ سال</t>
        </is>
      </c>
      <c r="I117" s="114" t="inlineStr">
        <is>
          <t>$17,100 (رسمی 2026/27؛ بورس Early-bird/ادامهٔ تحصیل تا $5,700)</t>
        </is>
      </c>
      <c r="J117" s="114" t="inlineStr">
        <is>
          <t>$34,200</t>
        </is>
      </c>
      <c r="K117" s="110" t="inlineStr">
        <is>
          <t>$53–59k</t>
        </is>
      </c>
      <c r="L117" s="114" t="inlineStr">
        <is>
          <t>کارشناسی مهندسی/CS با برنامه‌نویسی</t>
        </is>
      </c>
      <c r="M117" s="114" t="inlineStr">
        <is>
          <t>6.5</t>
        </is>
      </c>
      <c r="N117" s="114" t="inlineStr">
        <is>
          <t>390</t>
        </is>
      </c>
      <c r="O117" s="40" t="inlineStr">
        <is>
          <t>Target</t>
        </is>
      </c>
      <c r="P117" s="114" t="inlineStr">
        <is>
          <t>4/5 — بیشترین حجم آگهی در هر ۸ کشور؛
ورود جونیور از ۲۰۲۳ سخت‌تر شده — سابقهٔ کار شما مزیت است</t>
        </is>
      </c>
      <c r="Q117" s="114" t="inlineStr">
        <is>
          <t>شهر کوچک و ارزان کنار مرز روسیه؛
گام ۱ فقط با بورس $5,700 رد می‌شود؛
خوابگاه LOAS $285–515</t>
        </is>
      </c>
      <c r="R117" s="115" t="inlineStr">
        <is>
          <t>https://www.lut.fi/en/studies/masters-programmes</t>
        </is>
      </c>
    </row>
    <row r="118">
      <c r="A118" s="66" t="n">
        <v>117</v>
      </c>
      <c r="B118" s="140" t="inlineStr">
        <is>
          <t>فنلاند</t>
        </is>
      </c>
      <c r="C118" s="63" t="inlineStr">
        <is>
          <t>Aalto University</t>
        </is>
      </c>
      <c r="D118" s="63" t="inlineStr">
        <is>
          <t>Espoo (اسپو) — پردیس Otaniemi؛
Nokia، Rovio، Supercell در منطقهٔ هلسینکی</t>
        </is>
      </c>
      <c r="E118" s="69" t="inlineStr">
        <is>
          <t>متوسط — $1,080–1,370</t>
        </is>
      </c>
      <c r="F118" s="63" t="inlineStr">
        <is>
          <t>MSc (Tech) Computer Science</t>
        </is>
      </c>
      <c r="G118" s="69" t="inlineStr">
        <is>
          <t>مهندسی نرم‌افزار / علوم کامپیوتر</t>
        </is>
      </c>
      <c r="H118" s="69" t="inlineStr">
        <is>
          <t>۲ سال</t>
        </is>
      </c>
      <c r="I118" s="69" t="inlineStr">
        <is>
          <t>$19,400 (رسمی؛ گروه فناوری)</t>
        </is>
      </c>
      <c r="J118" s="69" t="inlineStr">
        <is>
          <t>$38,800</t>
        </is>
      </c>
      <c r="K118" s="110" t="inlineStr">
        <is>
          <t>$65–72k</t>
        </is>
      </c>
      <c r="L118" s="69" t="inlineStr">
        <is>
          <t>کارشناسی CS/SE قوی؛ GRE اختیاری</t>
        </is>
      </c>
      <c r="M118" s="63" t="inlineStr">
        <is>
          <t>6.5 (W 5.5)</t>
        </is>
      </c>
      <c r="N118" s="69" t="inlineStr">
        <is>
          <t>126</t>
        </is>
      </c>
      <c r="O118" s="116" t="inlineStr">
        <is>
          <t>Reach</t>
        </is>
      </c>
      <c r="P118" s="69" t="inlineStr">
        <is>
          <t>4/5 — بیشترین حجم آگهی در هر ۸ کشور؛
ورود جونیور از ۲۰۲۳ سخت‌تر شده — سابقهٔ کار شما مزیت است</t>
        </is>
      </c>
      <c r="Q118" s="69" t="inlineStr">
        <is>
          <t>بهترین برند فنی فنلاند؛
اکوسیستم استارتاپی Otaniemi؛
خوابگاه AYY/HOAS $340–800؛
مهلت ۵ ژانویه ۲۰۲۷</t>
        </is>
      </c>
      <c r="R118" s="111" t="inlineStr">
        <is>
          <t>https://www.aalto.fi/en/study-options/computer-science-master-of-science-technology</t>
        </is>
      </c>
    </row>
    <row r="119">
      <c r="A119" s="112" t="n">
        <v>118</v>
      </c>
      <c r="B119" s="140" t="inlineStr">
        <is>
          <t>فنلاند</t>
        </is>
      </c>
      <c r="C119" s="113" t="inlineStr">
        <is>
          <t>Aalto University</t>
        </is>
      </c>
      <c r="D119" s="113" t="inlineStr">
        <is>
          <t>Espoo (اسپو) — پردیس Otaniemi؛
Nokia، Rovio، Supercell در منطقهٔ هلسینکی</t>
        </is>
      </c>
      <c r="E119" s="114" t="inlineStr">
        <is>
          <t>متوسط — $1,080–1,370</t>
        </is>
      </c>
      <c r="F119" s="113" t="inlineStr">
        <is>
          <t>MSc (Tech) Machine Learning, Data Science and Artificial Intelligence (Macadamia)</t>
        </is>
      </c>
      <c r="G119" s="114" t="inlineStr">
        <is>
          <t>هوش مصنوعی / یادگیری ماشین</t>
        </is>
      </c>
      <c r="H119" s="114" t="inlineStr">
        <is>
          <t>۲ سال</t>
        </is>
      </c>
      <c r="I119" s="114" t="inlineStr">
        <is>
          <t>$19,400</t>
        </is>
      </c>
      <c r="J119" s="114" t="inlineStr">
        <is>
          <t>$38,800</t>
        </is>
      </c>
      <c r="K119" s="110" t="inlineStr">
        <is>
          <t>$65–72k</t>
        </is>
      </c>
      <c r="L119" s="114" t="inlineStr">
        <is>
          <t>کارشناسی CS/ریاضی/EE با ریاضیات قوی؛
GRE (گروه ۲)</t>
        </is>
      </c>
      <c r="M119" s="113" t="inlineStr">
        <is>
          <t>6.5 (W 5.5)</t>
        </is>
      </c>
      <c r="N119" s="114" t="inlineStr">
        <is>
          <t>126</t>
        </is>
      </c>
      <c r="O119" s="116" t="inlineStr">
        <is>
          <t>Reach</t>
        </is>
      </c>
      <c r="P119" s="114" t="inlineStr">
        <is>
          <t>5/5 — داغ‌ترین بازار؛
«AI Engineer» سریع‌ترین‌رشد (LinkedIn 2026)؛
ولی برنامه‌های ریاضی‌محور (Tübingen، UvA، KTH) بسیار رقابتی‌اند</t>
        </is>
      </c>
      <c r="Q119" s="114" t="inlineStr">
        <is>
          <t>شناخته‌شده‌ترین ارشد ML فنلاند؛ رقابت بالا</t>
        </is>
      </c>
      <c r="R119" s="115" t="inlineStr">
        <is>
          <t>https://www.aalto.fi/en/study-options/machine-learning-data-science-and-artificial-intelligence-master-of-science-technology</t>
        </is>
      </c>
    </row>
    <row r="120">
      <c r="A120" s="66" t="n">
        <v>119</v>
      </c>
      <c r="B120" s="140" t="inlineStr">
        <is>
          <t>فنلاند</t>
        </is>
      </c>
      <c r="C120" s="63" t="inlineStr">
        <is>
          <t>Aalto University</t>
        </is>
      </c>
      <c r="D120" s="63" t="inlineStr">
        <is>
          <t>Espoo (اسپو) — پردیس Otaniemi؛
Nokia، Rovio، Supercell در منطقهٔ هلسینکی</t>
        </is>
      </c>
      <c r="E120" s="69" t="inlineStr">
        <is>
          <t>متوسط — $1,080–1,370</t>
        </is>
      </c>
      <c r="F120" s="63" t="inlineStr">
        <is>
          <t>MSc (Tech) Security and Cloud Computing (SECCLO، Erasmus Mundus)</t>
        </is>
      </c>
      <c r="G120" s="69" t="inlineStr">
        <is>
          <t>ابری / سیستم‌های توزیع‌شده / DevOps</t>
        </is>
      </c>
      <c r="H120" s="69" t="inlineStr">
        <is>
          <t>۲ سال</t>
        </is>
      </c>
      <c r="I120" s="69" t="inlineStr">
        <is>
          <t>$19,400 (مسیر Aalto؛ کنسرسیوم بورس Erasmus Mundus جدا دارد)</t>
        </is>
      </c>
      <c r="J120" s="69" t="inlineStr">
        <is>
          <t>$38,800</t>
        </is>
      </c>
      <c r="K120" s="110" t="inlineStr">
        <is>
          <t>$65–72k</t>
        </is>
      </c>
      <c r="L120" s="69" t="inlineStr">
        <is>
          <t>کارشناسی CS/IT؛ ریاضی/شبکه</t>
        </is>
      </c>
      <c r="M120" s="63" t="inlineStr">
        <is>
          <t>6.5 (W 5.5)</t>
        </is>
      </c>
      <c r="N120" s="69" t="inlineStr">
        <is>
          <t>126</t>
        </is>
      </c>
      <c r="O120" s="116" t="inlineStr">
        <is>
          <t>Reach</t>
        </is>
      </c>
      <c r="P120" s="69" t="inlineStr">
        <is>
          <t>4/5 — تقاضای پایدار و کمتر مدرک‌محور؛
گواهی AWS/Azure کنار مدرک وزن زیادی دارد</t>
        </is>
      </c>
      <c r="Q120" s="69" t="inlineStr">
        <is>
          <t>سال دوم در یکی از ۶ دانشگاه شریک (KTH، DTU، NTNU، …)</t>
        </is>
      </c>
      <c r="R120" s="111" t="inlineStr">
        <is>
          <t>https://www.aalto.fi/en/study-options/security-and-cloud-computing-secclo-master-of-science-technology</t>
        </is>
      </c>
    </row>
    <row r="121">
      <c r="A121" s="112" t="n">
        <v>120</v>
      </c>
      <c r="B121" s="140" t="inlineStr">
        <is>
          <t>فنلاند</t>
        </is>
      </c>
      <c r="C121" s="113" t="inlineStr">
        <is>
          <t>Aalto University</t>
        </is>
      </c>
      <c r="D121" s="113" t="inlineStr">
        <is>
          <t>Espoo (اسپو) — پردیس Otaniemi؛
Nokia، Rovio، Supercell در منطقهٔ هلسینکی</t>
        </is>
      </c>
      <c r="E121" s="114" t="inlineStr">
        <is>
          <t>متوسط — $1,080–1,370</t>
        </is>
      </c>
      <c r="F121" s="113" t="inlineStr">
        <is>
          <t>MSc (Tech) Computer, Communication and Information Sciences — Game Design and Development</t>
        </is>
      </c>
      <c r="G121" s="114" t="inlineStr">
        <is>
          <t>توسعه بازی</t>
        </is>
      </c>
      <c r="H121" s="114" t="inlineStr">
        <is>
          <t>۲ سال</t>
        </is>
      </c>
      <c r="I121" s="113" t="inlineStr">
        <is>
          <t>$19,400 (Studyinfo 2027)</t>
        </is>
      </c>
      <c r="J121" s="114" t="inlineStr">
        <is>
          <t>$38,800</t>
        </is>
      </c>
      <c r="K121" s="110" t="inlineStr">
        <is>
          <t>$65–72k</t>
        </is>
      </c>
      <c r="L121" s="114" t="inlineStr">
        <is>
          <t>کارشناسی مرتبط + پورتفولیو؛ فقط ۸ جای تحصیل</t>
        </is>
      </c>
      <c r="M121" s="113" t="inlineStr">
        <is>
          <t>6.5 (W 5.5)</t>
        </is>
      </c>
      <c r="N121" s="114" t="inlineStr">
        <is>
          <t>126</t>
        </is>
      </c>
      <c r="O121" s="116" t="inlineStr">
        <is>
          <t>Reach</t>
        </is>
      </c>
      <c r="P121" s="11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21" s="114" t="inlineStr">
        <is>
          <t>هلسینکی = قطب بازی اروپا (Supercell، Rovio، Remedy، Housemarque، Unity)؛
سابقهٔ Unity شما مزیت است؛
۸ نفر ⇒ Reach</t>
        </is>
      </c>
      <c r="R121" s="115" t="inlineStr">
        <is>
          <t>https://opintopolku.fi/konfo/en/toteutus/1.2.246.562.17.00000000000000008124</t>
        </is>
      </c>
    </row>
    <row r="122">
      <c r="A122" s="66" t="n">
        <v>121</v>
      </c>
      <c r="B122" s="140" t="inlineStr">
        <is>
          <t>فنلاند</t>
        </is>
      </c>
      <c r="C122" s="63" t="inlineStr">
        <is>
          <t>University of Helsinki</t>
        </is>
      </c>
      <c r="D122" s="63" t="inlineStr">
        <is>
          <t>Helsinki (هلسینکی) — پایتخت؛
Wolt، Supercell، Remedy، Unity</t>
        </is>
      </c>
      <c r="E122" s="69" t="inlineStr">
        <is>
          <t>متوسط — $1,140–1,480</t>
        </is>
      </c>
      <c r="F122" s="63" t="inlineStr">
        <is>
          <t>MSc Computer Science (Algorithms / Networks / Software)</t>
        </is>
      </c>
      <c r="G122" s="69" t="inlineStr">
        <is>
          <t>مهندسی نرم‌افزار / علوم کامپیوتر</t>
        </is>
      </c>
      <c r="H122" s="69" t="inlineStr">
        <is>
          <t>۲ سال</t>
        </is>
      </c>
      <c r="I122" s="69" t="inlineStr">
        <is>
          <t>$17,100 (رسمی؛ مهلت ۵–۱۹ ژانویه ۲۰۲۷)</t>
        </is>
      </c>
      <c r="J122" s="69" t="inlineStr">
        <is>
          <t>$34,200</t>
        </is>
      </c>
      <c r="K122" s="110" t="inlineStr">
        <is>
          <t>$62–70k</t>
        </is>
      </c>
      <c r="L122" s="69" t="inlineStr">
        <is>
          <t>کارشناسی CS با ≥ ۶۰ ECTS CS</t>
        </is>
      </c>
      <c r="M122" s="63" t="inlineStr">
        <is>
          <t>6.5 (W 6.0)</t>
        </is>
      </c>
      <c r="N122" s="69" t="inlineStr">
        <is>
          <t>123</t>
        </is>
      </c>
      <c r="O122" s="68" t="inlineStr">
        <is>
          <t>Target/Reach</t>
        </is>
      </c>
      <c r="P122" s="69" t="inlineStr">
        <is>
          <t>4/5 — بیشترین حجم آگهی در هر ۸ کشور؛
ورود جونیور از ۲۰۲۳ سخت‌تر شده — سابقهٔ کار شما مزیت است</t>
        </is>
      </c>
      <c r="Q122" s="69" t="inlineStr">
        <is>
          <t>بالاترین رتبهٔ فنلاند؛
درخواست جدا از سامانهٔ مشترک؛
خوابگاه HOAS $340–515</t>
        </is>
      </c>
      <c r="R122" s="111" t="inlineStr">
        <is>
          <t>https://www.helsinki.fi/en/degree-programmes/computer-science-masters-programme</t>
        </is>
      </c>
    </row>
    <row r="123">
      <c r="A123" s="112" t="n">
        <v>122</v>
      </c>
      <c r="B123" s="140" t="inlineStr">
        <is>
          <t>فنلاند</t>
        </is>
      </c>
      <c r="C123" s="113" t="inlineStr">
        <is>
          <t>University of Helsinki</t>
        </is>
      </c>
      <c r="D123" s="113" t="inlineStr">
        <is>
          <t>Helsinki (هلسینکی) — پایتخت؛
Wolt، Supercell، Remedy، Unity</t>
        </is>
      </c>
      <c r="E123" s="114" t="inlineStr">
        <is>
          <t>متوسط — $1,140–1,480</t>
        </is>
      </c>
      <c r="F123" s="113" t="inlineStr">
        <is>
          <t>MSc Data Science</t>
        </is>
      </c>
      <c r="G123" s="114" t="inlineStr">
        <is>
          <t>علم داده / تحلیل داده</t>
        </is>
      </c>
      <c r="H123" s="114" t="inlineStr">
        <is>
          <t>۲ سال</t>
        </is>
      </c>
      <c r="I123" s="114" t="inlineStr">
        <is>
          <t>$17,100</t>
        </is>
      </c>
      <c r="J123" s="114" t="inlineStr">
        <is>
          <t>$34,200</t>
        </is>
      </c>
      <c r="K123" s="110" t="inlineStr">
        <is>
          <t>$62–70k</t>
        </is>
      </c>
      <c r="L123" s="114" t="inlineStr">
        <is>
          <t>کارشناسی CS/ریاضی/آمار؛ رقابتی</t>
        </is>
      </c>
      <c r="M123" s="113" t="inlineStr">
        <is>
          <t>6.5 (W 6.0)</t>
        </is>
      </c>
      <c r="N123" s="114" t="inlineStr">
        <is>
          <t>123</t>
        </is>
      </c>
      <c r="O123" s="116" t="inlineStr">
        <is>
          <t>Reach</t>
        </is>
      </c>
      <c r="P123" s="114" t="inlineStr">
        <is>
          <t>3/5 — بازار ارشد/سینیور خوب، ولی سطح جونیور اشباع (ده‌ها هزار فارغ‌التحصیل مشابه)؛
Data Engineer کم‌رقابت‌تر از Data Scientist</t>
        </is>
      </c>
      <c r="Q123" s="114" t="inlineStr">
        <is>
          <t>دانشکدهٔ علوم؛ ظرفیت محدود</t>
        </is>
      </c>
      <c r="R123" s="115" t="inlineStr">
        <is>
          <t>https://www.helsinki.fi/en/degree-programmes/data-science-masters-programme</t>
        </is>
      </c>
    </row>
    <row r="124">
      <c r="A124" s="129" t="n">
        <v>123</v>
      </c>
      <c r="B124" s="141" t="inlineStr">
        <is>
          <t>کانادا</t>
        </is>
      </c>
      <c r="C124" s="131" t="inlineStr">
        <is>
          <t>Memorial University of Newfoundland (MUN)</t>
        </is>
      </c>
      <c r="D124" s="131" t="inlineStr">
        <is>
          <t>St. John's (سنت جانز، نیوفاندلند) — پایتخت استان؛
کوچک، ارزان، دور</t>
        </is>
      </c>
      <c r="E124" s="132" t="inlineStr">
        <is>
          <t>ارزان — $1,020–1,230</t>
        </is>
      </c>
      <c r="F124" s="131" t="inlineStr">
        <is>
          <t>MSc Computer Science — thesis route</t>
        </is>
      </c>
      <c r="G124" s="132" t="inlineStr">
        <is>
          <t>مهندسی نرم‌افزار / علوم کامپیوتر</t>
        </is>
      </c>
      <c r="H124" s="132" t="inlineStr">
        <is>
          <t>۲ سال</t>
        </is>
      </c>
      <c r="I124" s="131" t="inlineStr">
        <is>
          <t>$1,140 × ۶ ترم = $6,810 برای کل دوره (Master's Payment Plan A، رسمی 2026/27) + ≈ $915 هزینه‌های اجباری/سال</t>
        </is>
      </c>
      <c r="J124" s="132" t="inlineStr">
        <is>
          <t>$6,810</t>
        </is>
      </c>
      <c r="K124" s="121" t="inlineStr">
        <is>
          <t>$31–36k</t>
        </is>
      </c>
      <c r="L124" s="132" t="inlineStr">
        <is>
          <t>کارشناسی ۴ ساله با «Second Class» (B ≈ ۷۵٪) — معادل ایرانی رسمی ندارد (معمولاً ۱۴–۱۵/۲۰)؛
برای مسیر پایان‌نامه‌ای استاد راهنما لازم است</t>
        </is>
      </c>
      <c r="M124" s="132" t="inlineStr">
        <is>
          <t>6.5 (هر بخش ≥ 6.0)</t>
        </is>
      </c>
      <c r="N124" s="131" t="inlineStr">
        <is>
          <t>≈ 800+ (QS 2026)</t>
        </is>
      </c>
      <c r="O124" s="122" t="inlineStr">
        <is>
          <t>Target</t>
        </is>
      </c>
      <c r="P124" s="132" t="inlineStr">
        <is>
          <t>4/5 — بیشترین حجم آگهی در هر ۸ کشور؛
ورود جونیور از ۲۰۲۳ سخت‌تر شده — سابقهٔ کار شما مزیت است</t>
        </is>
      </c>
      <c r="Q124" s="132" t="inlineStr">
        <is>
          <t>ارزان‌ترین ارشد کل جدول (کل شهریه ≈ $6,800)؛
پرداخت در ۶ قسط؛
MCP (بیمهٔ استانی) رایگان با مجوز ≥ ۱۲ ماه؛
شهر کوچک و دور، بازار IT کوچک (Verafin/Nasdaq)؛
مهلت پاییز ≈ فوریه ۲۰۲۷ (چک شود)</t>
        </is>
      </c>
      <c r="R124" s="133" t="inlineStr">
        <is>
          <t>https://www.mun.ca/sgs/media/production/memorial/academic/school-of-graduate-studies/school-of-graduate-studies/media-library/MinimumExpense.pdf</t>
        </is>
      </c>
    </row>
    <row r="125">
      <c r="A125" s="112" t="n">
        <v>124</v>
      </c>
      <c r="B125" s="142" t="inlineStr">
        <is>
          <t>کانادا</t>
        </is>
      </c>
      <c r="C125" s="113" t="inlineStr">
        <is>
          <t>Memorial University of Newfoundland (MUN)</t>
        </is>
      </c>
      <c r="D125" s="113" t="inlineStr">
        <is>
          <t>St. John's (سنت جانز، نیوفاندلند) — پایتخت استان؛
کوچک، ارزان، دور</t>
        </is>
      </c>
      <c r="E125" s="114" t="inlineStr">
        <is>
          <t>ارزان — $1,020–1,230</t>
        </is>
      </c>
      <c r="F125" s="113" t="inlineStr">
        <is>
          <t>MSc Computer Science — non-thesis (course) route</t>
        </is>
      </c>
      <c r="G125" s="114" t="inlineStr">
        <is>
          <t>مهندسی نرم‌افزار / علوم کامپیوتر</t>
        </is>
      </c>
      <c r="H125" s="114" t="inlineStr">
        <is>
          <t>۲ سال</t>
        </is>
      </c>
      <c r="I125" s="113" t="inlineStr">
        <is>
          <t>$1,830 × ۶ ترم = $11,000 برای کل دوره (رسمی 2026/27، تمام‌وقت) + ≈ $915 هزینه‌های اجباری/سال</t>
        </is>
      </c>
      <c r="J125" s="114" t="inlineStr">
        <is>
          <t>$11,000</t>
        </is>
      </c>
      <c r="K125" s="110" t="inlineStr">
        <is>
          <t>$36–41k</t>
        </is>
      </c>
      <c r="L125" s="114" t="inlineStr">
        <is>
          <t>همان کف B؛
بدون استاد راهنما → پذیرش آسان‌تر؛
بدون TA/RA تضمینی</t>
        </is>
      </c>
      <c r="M125" s="114" t="inlineStr">
        <is>
          <t>6.5 (هر بخش ≥ 6.0)</t>
        </is>
      </c>
      <c r="N125" s="113" t="inlineStr">
        <is>
          <t>≈ 800+ (QS 2026)</t>
        </is>
      </c>
      <c r="O125" s="74" t="inlineStr">
        <is>
          <t>Safe/Target</t>
        </is>
      </c>
      <c r="P125" s="114" t="inlineStr">
        <is>
          <t>4/5 — بیشترین حجم آگهی در هر ۸ کشور؛
ورود جونیور از ۲۰۲۳ سخت‌تر شده — سابقهٔ کار شما مزیت است</t>
        </is>
      </c>
      <c r="Q125" s="114" t="inlineStr">
        <is>
          <t>ارزان‌ترین مسیر «درسی» ۸ کشور؛
همان مدرک MSc؛
PGWP ۳ ساله؛
خوابگاه Paton College $3,700/ترم با غذا</t>
        </is>
      </c>
      <c r="R125" s="115" t="inlineStr">
        <is>
          <t>https://www.mun.ca/sgs/media/production/memorial/academic/school-of-graduate-studies/school-of-graduate-studies/media-library/MinimumExpense.pdf</t>
        </is>
      </c>
    </row>
    <row r="126">
      <c r="A126" s="66" t="n">
        <v>125</v>
      </c>
      <c r="B126" s="142" t="inlineStr">
        <is>
          <t>کانادا</t>
        </is>
      </c>
      <c r="C126" s="63" t="inlineStr">
        <is>
          <t>Memorial University of Newfoundland (MUN)</t>
        </is>
      </c>
      <c r="D126" s="63" t="inlineStr">
        <is>
          <t>St. John's (سنت جانز، نیوفاندلند) — پایتخت استان؛
کوچک، ارزان، دور</t>
        </is>
      </c>
      <c r="E126" s="69" t="inlineStr">
        <is>
          <t>ارزان — $1,020–1,230</t>
        </is>
      </c>
      <c r="F126" s="63" t="inlineStr">
        <is>
          <t>Master of Artificial Intelligence (MAI، درسی)</t>
        </is>
      </c>
      <c r="G126" s="69" t="inlineStr">
        <is>
          <t>هوش مصنوعی / یادگیری ماشین</t>
        </is>
      </c>
      <c r="H126" s="69" t="inlineStr">
        <is>
          <t>۱۶ ماه (۱.۳۳ سال)</t>
        </is>
      </c>
      <c r="I126" s="63" t="inlineStr">
        <is>
          <t>Payment Plan D: $1,700 × ۴ + هزینهٔ ویژهٔ $14,300 = $21,100 برای کل دوره (رسمی 2026/27)</t>
        </is>
      </c>
      <c r="J126" s="69" t="inlineStr">
        <is>
          <t>$21,100</t>
        </is>
      </c>
      <c r="K126" s="110" t="inlineStr">
        <is>
          <t>$37–41k</t>
        </is>
      </c>
      <c r="L126" s="69" t="inlineStr">
        <is>
          <t>کارشناسی CS/مهندسی با B؛
درسی (بدون استاد راهنما)</t>
        </is>
      </c>
      <c r="M126" s="69" t="inlineStr">
        <is>
          <t>6.5 (هر بخش ≥ 6.0)</t>
        </is>
      </c>
      <c r="N126" s="63" t="inlineStr">
        <is>
          <t>≈ 800+ (QS 2026)</t>
        </is>
      </c>
      <c r="O126" s="40" t="inlineStr">
        <is>
          <t>Target</t>
        </is>
      </c>
      <c r="P126" s="69" t="inlineStr">
        <is>
          <t>5/5 — داغ‌ترین بازار؛
«AI Engineer» سریع‌ترین‌رشد (LinkedIn 2026)؛
ولی برنامه‌های ریاضی‌محور (Tübingen، UvA، KTH) بسیار رقابتی‌اند</t>
        </is>
      </c>
      <c r="Q126" s="69" t="inlineStr">
        <is>
          <t>تنها ارشد AI کانادا که در بودجهٔ $40k جا می‌شود (شهریه ≈ $21.1k + تمکن $16.5k = $37.6k ✅)؛
۱۶ ماه پیوسته؛
MASc Software Engineering همین دانشگاه هم همین قیمت است</t>
        </is>
      </c>
      <c r="R126" s="111" t="inlineStr">
        <is>
          <t>https://www.mun.ca/sgs/media/production/memorial/academic/school-of-graduate-studies/school-of-graduate-studies/media-library/MinimumExpense.pdf</t>
        </is>
      </c>
    </row>
    <row r="127">
      <c r="A127" s="112" t="n">
        <v>126</v>
      </c>
      <c r="B127" s="142" t="inlineStr">
        <is>
          <t>کانادا</t>
        </is>
      </c>
      <c r="C127" s="113" t="inlineStr">
        <is>
          <t>University of Manitoba</t>
        </is>
      </c>
      <c r="D127" s="113" t="inlineStr">
        <is>
          <t>Winnipeg (وینیپگ، منیتوبا) — سرد؛
ارزان‌ترین شهر بزرگ غرب</t>
        </is>
      </c>
      <c r="E127" s="114" t="inlineStr">
        <is>
          <t>ارزان — $985–1,200</t>
        </is>
      </c>
      <c r="F127" s="113" t="inlineStr">
        <is>
          <t>MSc Computer Science (thesis یا course-based)</t>
        </is>
      </c>
      <c r="G127" s="114" t="inlineStr">
        <is>
          <t>مهندسی نرم‌افزار / علوم کامپیوتر</t>
        </is>
      </c>
      <c r="H127" s="114" t="inlineStr">
        <is>
          <t>۲ سال</t>
        </is>
      </c>
      <c r="I127" s="113" t="inlineStr">
        <is>
          <t>$4,870 × ۲ ترم سال اول = $9,740 + هزینهٔ ادامه $475 × ۴ ترم = ≈ $11,600 برای کل دوره (رسمی 2025/26؛ 2026/27 ≈ +۳–۴٪)</t>
        </is>
      </c>
      <c r="J127" s="114" t="inlineStr">
        <is>
          <t>$11,600</t>
        </is>
      </c>
      <c r="K127" s="110" t="inlineStr">
        <is>
          <t>$35–40k</t>
        </is>
      </c>
      <c r="L127" s="114" t="inlineStr">
        <is>
          <t>کف رسمی ایران: ۱۵/۲۰ در دو سال آخر (شما ۱۶.۹۲ ✓) + کارشناسی ۴ ساله؛
پایان‌نامه‌ای: استاد راهنما</t>
        </is>
      </c>
      <c r="M127" s="114" t="inlineStr">
        <is>
          <t>6.5 (هر بخش ≥ 6.0)</t>
        </is>
      </c>
      <c r="N127" s="113" t="inlineStr">
        <is>
          <t>≈ 690 (QS 2026)</t>
        </is>
      </c>
      <c r="O127" s="40" t="inlineStr">
        <is>
          <t>Target</t>
        </is>
      </c>
      <c r="P127" s="114" t="inlineStr">
        <is>
          <t>4/5 — بیشترین حجم آگهی در هر ۸ کشور؛
ورود جونیور از ۲۰۲۳ سخت‌تر شده — سابقهٔ کار شما مزیت است</t>
        </is>
      </c>
      <c r="Q127" s="114" t="inlineStr">
        <is>
          <t>تنها دانشگاه بزرگ کانادا با کف ایرانی رسمیِ «دو سال آخر» — با ۱۶.۹۲ واجد شرایطید؛
MPNP مسیر «Graduate Internship» (ارشد + کارآموزی Mitacs → PR بدون پیشنهاد کار)؛
بیمهٔ استانی برای دانشجوی بین‌المللی نیست (بیمهٔ دانشگاه ≈ $495/سال)؛
مهلت ≈ ژانویه ۲۰۲۷ (چک شود)</t>
        </is>
      </c>
      <c r="R127" s="115" t="inlineStr">
        <is>
          <t>https://umanitoba.ca/registrar/tuition-fees/2025-2026-graduate-tuition-and-fees-archive</t>
        </is>
      </c>
    </row>
    <row r="128">
      <c r="A128" s="66" t="n">
        <v>127</v>
      </c>
      <c r="B128" s="142" t="inlineStr">
        <is>
          <t>کانادا</t>
        </is>
      </c>
      <c r="C128" s="63" t="inlineStr">
        <is>
          <t>University of Saskatchewan (USask)</t>
        </is>
      </c>
      <c r="D128" s="63" t="inlineStr">
        <is>
          <t>Saskatoon (ساسکاتون، ساسکاچوان) — شهر دانشگاهی کوچک</t>
        </is>
      </c>
      <c r="E128" s="69" t="inlineStr">
        <is>
          <t>ارزان — $985–1,200</t>
        </is>
      </c>
      <c r="F128" s="63" t="inlineStr">
        <is>
          <t>MSc Computer Science (thesis)</t>
        </is>
      </c>
      <c r="G128" s="69" t="inlineStr">
        <is>
          <t>مهندسی نرم‌افزار / علوم کامپیوتر</t>
        </is>
      </c>
      <c r="H128" s="69" t="inlineStr">
        <is>
          <t>۲ سال</t>
        </is>
      </c>
      <c r="I128" s="63" t="inlineStr">
        <is>
          <t>$3,020 × ۳ ترم = $9,050/سال (رسمی 2026/27، نرخ استاندارد پایان‌نامه‌ای) + ≈ $775 هزینه‌های اجباری/سال</t>
        </is>
      </c>
      <c r="J128" s="69" t="inlineStr">
        <is>
          <t>$18,100</t>
        </is>
      </c>
      <c r="K128" s="110" t="inlineStr">
        <is>
          <t>$42–47k</t>
        </is>
      </c>
      <c r="L128" s="69" t="inlineStr">
        <is>
          <t>کارشناسی ۴ ساله با ≥ ۷۰٪ (B) در دو سال آخر — معادل ایرانی رسمی نیافتم (≈ ۱۵/۲۰)؛
استاد راهنما لازم</t>
        </is>
      </c>
      <c r="M128" s="69" t="inlineStr">
        <is>
          <t>6.5 (هر بخش ≥ 6.0)</t>
        </is>
      </c>
      <c r="N128" s="63" t="inlineStr">
        <is>
          <t>≈ 350 (QS 2026)</t>
        </is>
      </c>
      <c r="O128" s="40" t="inlineStr">
        <is>
          <t>Target</t>
        </is>
      </c>
      <c r="P128" s="69" t="inlineStr">
        <is>
          <t>4/5 — بیشترین حجم آگهی در هر ۸ کشور؛
ورود جونیور از ۲۰۲۳ سخت‌تر شده — سابقهٔ کار شما مزیت است</t>
        </is>
      </c>
      <c r="Q128" s="69" t="inlineStr">
        <is>
          <t>بیمهٔ استانی رایگان؛
خوابگاه Graduate House $855–1,060؛
Seager Wheeler $475/ماه؛
حداقل دستمزد $11.1 (اکتبر ۲۰۲۶)؛
مهلت ≈ ژانویه–فوریه ۲۰۲۷ (چک شود)</t>
        </is>
      </c>
      <c r="R128" s="111" t="inlineStr">
        <is>
          <t>https://grad.usask.ca/funding/tuition.php</t>
        </is>
      </c>
    </row>
    <row r="129">
      <c r="A129" s="112" t="n">
        <v>128</v>
      </c>
      <c r="B129" s="142" t="inlineStr">
        <is>
          <t>کانادا</t>
        </is>
      </c>
      <c r="C129" s="113" t="inlineStr">
        <is>
          <t>University of Alberta (UAlberta)</t>
        </is>
      </c>
      <c r="D129" s="113" t="inlineStr">
        <is>
          <t>Edmonton (ادمونتون، آلبرتا) — پایتخت آلبرتا؛
بدون مالیات فروش استانی</t>
        </is>
      </c>
      <c r="E129" s="114" t="inlineStr">
        <is>
          <t>ارزان تا متوسط — $1,060–1,270</t>
        </is>
      </c>
      <c r="F129" s="113" t="inlineStr">
        <is>
          <t>MSc Computing Science — thesis-based</t>
        </is>
      </c>
      <c r="G129" s="114" t="inlineStr">
        <is>
          <t>مهندسی نرم‌افزار / علوم کامپیوتر</t>
        </is>
      </c>
      <c r="H129" s="114" t="inlineStr">
        <is>
          <t>۲ سال</t>
        </is>
      </c>
      <c r="I129" s="114" t="inlineStr">
        <is>
          <t>برنامه‌محور: $7,410/سال برای ورودی ۲۰۲۶ (رسمی، ثابت‌شده) و ۵.۵٪ کاهش برای ورودی پاییز ۲۰۲۷ ≈ $7,000/سال + ≈ $1,270 هزینه‌های اجباری/سال</t>
        </is>
      </c>
      <c r="J129" s="114" t="inlineStr">
        <is>
          <t>$14,000</t>
        </is>
      </c>
      <c r="K129" s="110" t="inlineStr">
        <is>
          <t>$39–44k</t>
        </is>
      </c>
      <c r="L129" s="113" t="inlineStr">
        <is>
          <t>GPA ≥ 3.0 روی ۶۰ واحد آخر (رسمی FGSR)؛
گروه CS عملاً ≈ 3.5 = ≈ ۱۷/۲۰ ایران (منبع ثانویه) → دو سال آخر شما ۱۶.۹۲ مرزی؛
استاد راهنما لازم</t>
        </is>
      </c>
      <c r="M129" s="114" t="inlineStr">
        <is>
          <t>6.5 (هر بخش ≥ 6.0؛ گروه CS ممکن است 7 بخواهد — چک شود)</t>
        </is>
      </c>
      <c r="N129" s="113" t="inlineStr">
        <is>
          <t>≈ 94 (QS 2026)</t>
        </is>
      </c>
      <c r="O129" s="68" t="inlineStr">
        <is>
          <t>Target/Reach</t>
        </is>
      </c>
      <c r="P129" s="114" t="inlineStr">
        <is>
          <t>4/5 — بیشترین حجم آگهی در هر ۸ کشور؛
ورود جونیور از ۲۰۲۳ سخت‌تر شده — سابقهٔ کار شما مزیت است</t>
        </is>
      </c>
      <c r="Q129" s="114" t="inlineStr">
        <is>
          <t>بهترین برند بین گزینه‌های داخل بودجه (Amii، RL/ML)؛
«بیشتر دانشجویان پایان‌نامه‌ای با TA/RA تضمینی ۵ ترم» (FAQ رسمی)؛
AHCIP (بیمهٔ استانی) رایگان؛
بدون مالیات فروش استانی؛
مهلت ۱۵ دسامبر ۲۰۲۶ (فاندینگ) / ۱۵ ژانویه ۲۰۲۷</t>
        </is>
      </c>
      <c r="R129" s="115" t="inlineStr">
        <is>
          <t>https://www.ualberta.ca/en/graduate-studies/fees-funding/tuition-fees/instructional-fees-international.html</t>
        </is>
      </c>
    </row>
    <row r="130">
      <c r="A130" s="66" t="n">
        <v>129</v>
      </c>
      <c r="B130" s="142" t="inlineStr">
        <is>
          <t>کانادا</t>
        </is>
      </c>
      <c r="C130" s="63" t="inlineStr">
        <is>
          <t>University of Alberta (UAlberta)</t>
        </is>
      </c>
      <c r="D130" s="63" t="inlineStr">
        <is>
          <t>Edmonton (ادمونتون، آلبرتا) — پایتخت آلبرتا؛
بدون مالیات فروش استانی</t>
        </is>
      </c>
      <c r="E130" s="69" t="inlineStr">
        <is>
          <t>ارزان تا متوسط — $1,060–1,270</t>
        </is>
      </c>
      <c r="F130" s="63" t="inlineStr">
        <is>
          <t>MSc Computing Science — course-based</t>
        </is>
      </c>
      <c r="G130" s="69" t="inlineStr">
        <is>
          <t>مهندسی نرم‌افزار / علوم کامپیوتر</t>
        </is>
      </c>
      <c r="H130" s="69" t="inlineStr">
        <is>
          <t>۲ سال</t>
        </is>
      </c>
      <c r="I130" s="69" t="inlineStr">
        <is>
          <t>$580 به ازای هر واحد (ورودی ۲۰۲۶) × ≈ ۳۰ واحد ≈ $17,500؛
ورودی ۲۰۲۷ +۵.۵٪ ≈ $18,400 برای کل دوره (≈ $9,230/سال) + ≈ $1,270 هزینه‌های اجباری/سال</t>
        </is>
      </c>
      <c r="J130" s="69" t="inlineStr">
        <is>
          <t>$18,400</t>
        </is>
      </c>
      <c r="K130" s="110" t="inlineStr">
        <is>
          <t>$44–49k</t>
        </is>
      </c>
      <c r="L130" s="69" t="inlineStr">
        <is>
          <t>همان کف 3.0 روی ۶۰ واحد آخر؛
بدون استاد راهنما → پذیرش آسان‌تر از پایان‌نامه‌ای؛
بدون TA/RA</t>
        </is>
      </c>
      <c r="M130" s="69" t="inlineStr">
        <is>
          <t>6.5 (هر بخش ≥ 6.0؛ چک شود)</t>
        </is>
      </c>
      <c r="N130" s="63" t="inlineStr">
        <is>
          <t>≈ 94 (QS 2026)</t>
        </is>
      </c>
      <c r="O130" s="40" t="inlineStr">
        <is>
          <t>Target</t>
        </is>
      </c>
      <c r="P130" s="69" t="inlineStr">
        <is>
          <t>4/5 — بیشترین حجم آگهی در هر ۸ کشور؛
ورود جونیور از ۲۰۲۳ سخت‌تر شده — سابقهٔ کار شما مزیت است</t>
        </is>
      </c>
      <c r="Q130" s="69" t="inlineStr">
        <is>
          <t>مسیر «درسی» یک دانشگاه Top-100 داخل بودجه (شهریه ≈ $18.4k + تمکن $16.5k = $35k ✅)؛
تعداد واحد دقیق را با گروه چک کنید؛
مهلت ۱۵ ژانویه ۲۰۲۷</t>
        </is>
      </c>
      <c r="R130" s="111" t="inlineStr">
        <is>
          <t>https://www.ualberta.ca/en/graduate-studies/fees-funding/tuition-fees/instructional-fees-international.html</t>
        </is>
      </c>
    </row>
    <row r="131">
      <c r="A131" s="112" t="n">
        <v>130</v>
      </c>
      <c r="B131" s="142" t="inlineStr">
        <is>
          <t>کانادا</t>
        </is>
      </c>
      <c r="C131" s="113" t="inlineStr">
        <is>
          <t>University of Calgary (UCalgary)</t>
        </is>
      </c>
      <c r="D131" s="113" t="inlineStr">
        <is>
          <t>Calgary (کلگری، آلبرتا) — قطب تک آلبرتا؛
بدون مالیات فروش استانی</t>
        </is>
      </c>
      <c r="E131" s="114" t="inlineStr">
        <is>
          <t>متوسط — $1,160–1,410</t>
        </is>
      </c>
      <c r="F131" s="113" t="inlineStr">
        <is>
          <t>MSc Computer Science — thesis-based</t>
        </is>
      </c>
      <c r="G131" s="114" t="inlineStr">
        <is>
          <t>مهندسی نرم‌افزار / علوم کامپیوتر</t>
        </is>
      </c>
      <c r="H131" s="114" t="inlineStr">
        <is>
          <t>۲ سال</t>
        </is>
      </c>
      <c r="I131" s="113" t="inlineStr">
        <is>
          <t>$2,010 × ۳ ترم = $6,040/سال (رسمی 2026/27) + ≈ $705 هزینه‌های عمومی/سال؛
فاندینگ تضمینی ارشد پایان‌نامه‌ای بین‌المللی $17,900/سال × ۲ سال (رسمی، ورودی‌های از ژانویه ۲۰۲۶)</t>
        </is>
      </c>
      <c r="J131" s="114" t="inlineStr">
        <is>
          <t>$12,100</t>
        </is>
      </c>
      <c r="K131" s="110" t="inlineStr">
        <is>
          <t>$40–46k</t>
        </is>
      </c>
      <c r="L131" s="113" t="inlineStr">
        <is>
          <t>GPA ≥ 3.0 روی نیمهٔ دوم کارشناسی (رسمی G.A.1) — معادل ایرانی رسمی ندارد (۱۶.۹۲ دو سال آخر ≈ B+)؛
استاد راهنما لازم</t>
        </is>
      </c>
      <c r="M131" s="114" t="inlineStr">
        <is>
          <t>6.5 (هر بخش ≥ 6.0)</t>
        </is>
      </c>
      <c r="N131" s="113" t="inlineStr">
        <is>
          <t>≈ 180 (QS 2026)</t>
        </is>
      </c>
      <c r="O131" s="68" t="inlineStr">
        <is>
          <t>Target/Reach</t>
        </is>
      </c>
      <c r="P131" s="114" t="inlineStr">
        <is>
          <t>4/5 — بیشترین حجم آگهی در هر ۸ کشور؛
ورود جونیور از ۲۰۲۳ سخت‌تر شده — سابقهٔ کار شما مزیت است</t>
        </is>
      </c>
      <c r="Q131" s="114" t="inlineStr">
        <is>
          <t>تنها گزینهٔ ۸ کشور با «حداقل فاندینگ تضمینی» بالاتر از شهریه + بخشی از زندگی ($17,900 − شهریه ≈ $11,900/سال ≈ $985/ماه)؛
AAIP Accelerated Tech Pathway برای PR؛
AHCIP رایگان؛
مهلت ≈ اول تا اواسط ژانویه ۲۰۲۷ (چک شود)</t>
        </is>
      </c>
      <c r="R131" s="115" t="inlineStr">
        <is>
          <t>https://calendar.ucalgary.ca/pages/bdf3d650a14247e4912def1671b7ba09</t>
        </is>
      </c>
    </row>
    <row r="132">
      <c r="A132" s="66" t="n">
        <v>131</v>
      </c>
      <c r="B132" s="142" t="inlineStr">
        <is>
          <t>کانادا</t>
        </is>
      </c>
      <c r="C132" s="63" t="inlineStr">
        <is>
          <t>University of Victoria (UVic)</t>
        </is>
      </c>
      <c r="D132" s="63" t="inlineStr">
        <is>
          <t>Victoria (ویکتوریا، بریتیش کلمبیا) — معتدل، گران؛
۹۰ دقیقه کشتی تا ونکوور</t>
        </is>
      </c>
      <c r="E132" s="69" t="inlineStr">
        <is>
          <t>گران — $1,340–1,620</t>
        </is>
      </c>
      <c r="F132" s="63" t="inlineStr">
        <is>
          <t>MSc Computer Science (thesis)</t>
        </is>
      </c>
      <c r="G132" s="69" t="inlineStr">
        <is>
          <t>مهندسی نرم‌افزار / علوم کامپیوتر</t>
        </is>
      </c>
      <c r="H132" s="69" t="inlineStr">
        <is>
          <t>۲ سال</t>
        </is>
      </c>
      <c r="I132" s="63" t="inlineStr">
        <is>
          <t>≈ $1,940 × ۳ قسط = ≈ $5,810/سال (رقم 2025/26 در FAQ رسمی دانشکده؛ جدول 2026/27 چک شود) + ≈ $845 هزینه‌های اجباری/سال + MSP $53/ماه</t>
        </is>
      </c>
      <c r="J132" s="69" t="inlineStr">
        <is>
          <t>$11,600</t>
        </is>
      </c>
      <c r="K132" s="110" t="inlineStr">
        <is>
          <t>$44–51k</t>
        </is>
      </c>
      <c r="L132" s="63" t="inlineStr">
        <is>
          <t>B+ (≈ ۷۷٪) در دو سال آخر — معادل ایرانی رسمی نیافتم (احتمالاً ۱۶/۲۰ روی دو سال آخر)؛
استاد راهنما لازم</t>
        </is>
      </c>
      <c r="M132" s="69" t="inlineStr">
        <is>
          <t>6.5 (هر بخش ≥ 6.0)</t>
        </is>
      </c>
      <c r="N132" s="63" t="inlineStr">
        <is>
          <t>≈ 350 (QS 2026)</t>
        </is>
      </c>
      <c r="O132" s="68" t="inlineStr">
        <is>
          <t>Target/Reach</t>
        </is>
      </c>
      <c r="P132" s="69" t="inlineStr">
        <is>
          <t>4/5 — بیشترین حجم آگهی در هر ۸ کشور؛
ورود جونیور از ۲۰۲۳ سخت‌تر شده — سابقهٔ کار شما مزیت است</t>
        </is>
      </c>
      <c r="Q132" s="63" t="inlineStr">
        <is>
          <t>BC PNP «International Post-Graduate» (ارشد STEM در BC → PR بدون پیشنهاد کار)؛
شهر گران و بازار کوچک (ونکوور ۹۰ دقیقه)؛
حداقل دستمزد BC $12.9؛
مهلت ≈ ۱۵ دسامبر ۲۰۲۶ برای بین‌المللی‌ها (چک شود)</t>
        </is>
      </c>
      <c r="R132" s="111" t="inlineStr">
        <is>
          <t>https://www.uvic.ca/graduate/programs/graduate-programs/assets/_common/tuition-fees-degree-intl-meng.php</t>
        </is>
      </c>
    </row>
    <row r="133">
      <c r="A133" s="112" t="n">
        <v>132</v>
      </c>
      <c r="B133" s="142" t="inlineStr">
        <is>
          <t>کانادا</t>
        </is>
      </c>
      <c r="C133" s="113" t="inlineStr">
        <is>
          <t>Carleton University</t>
        </is>
      </c>
      <c r="D133" s="113" t="inlineStr">
        <is>
          <t>Ottawa (اتاوا، انتاریو) — پایتخت؛
دولت + Shopify/تک</t>
        </is>
      </c>
      <c r="E133" s="114" t="inlineStr">
        <is>
          <t>متوسط تا گران — $1,270–1,550</t>
        </is>
      </c>
      <c r="F133" s="113" t="inlineStr">
        <is>
          <t>Master of Computer Science (MCS، thesis؛ گرایش Data Science, Analytics &amp; AI هم هست)</t>
        </is>
      </c>
      <c r="G133" s="114" t="inlineStr">
        <is>
          <t>مهندسی نرم‌افزار / علوم کامپیوتر</t>
        </is>
      </c>
      <c r="H133" s="114" t="inlineStr">
        <is>
          <t>۲ سال</t>
        </is>
      </c>
      <c r="I133" s="114" t="inlineStr">
        <is>
          <t>≈ $18,800/سال (2025/26، پایان‌نامه‌ای — منبع ثانویه)؛
رسمی پاییز ۲۰۲۶ برای مسیر غیرپایان‌نامه‌ای: $6,810/ترم × ۳ = $20,400/سال + ≈ $1,760 هزینه‌های اجباری (UHIP، U-Pass)</t>
        </is>
      </c>
      <c r="J133" s="114" t="inlineStr">
        <is>
          <t>$37,500–40,900</t>
        </is>
      </c>
      <c r="K133" s="110" t="inlineStr">
        <is>
          <t>$68–78k</t>
        </is>
      </c>
      <c r="L133" s="113" t="inlineStr">
        <is>
          <t>B+ (۷۷٪) در دو سال آخر؛
پایان‌نامه‌ای با استاد راهنما و معمولاً TA/RA ≈ $13–17k/سال</t>
        </is>
      </c>
      <c r="M133" s="114" t="inlineStr">
        <is>
          <t>6.5 (هر بخش ≥ 6.0)</t>
        </is>
      </c>
      <c r="N133" s="113" t="inlineStr">
        <is>
          <t>≈ 560 (QS 2026)</t>
        </is>
      </c>
      <c r="O133" s="40" t="inlineStr">
        <is>
          <t>Target</t>
        </is>
      </c>
      <c r="P133" s="114" t="inlineStr">
        <is>
          <t>4/5 — بیشترین حجم آگهی در هر ۸ کشور؛
ورود جونیور از ۲۰۲۳ سخت‌تر شده — سابقهٔ کار شما مزیت است</t>
        </is>
      </c>
      <c r="Q133" s="114" t="inlineStr">
        <is>
          <t>اتاوا: دولت فدرال + Shopify + دفاعی؛
OINP Masters Graduate برای PR؛
بدون فاندینگ خارج بودجه (شهریه ≈ $37.5k)؛
فقط با نامهٔ فاندینگ داخل بودجه؛
مهلت ≈ ۱ فوریه ۲۰۲۷ (چک شود)</t>
        </is>
      </c>
      <c r="R133" s="115" t="inlineStr">
        <is>
          <t>https://carleton.ca/studentaccounts/tuition-fees/grad-per-cred_f26w27_intl/</t>
        </is>
      </c>
    </row>
    <row r="134">
      <c r="A134" s="66" t="n">
        <v>133</v>
      </c>
      <c r="B134" s="142" t="inlineStr">
        <is>
          <t>کانادا</t>
        </is>
      </c>
      <c r="C134" s="63" t="inlineStr">
        <is>
          <t>University of Windsor</t>
        </is>
      </c>
      <c r="D134" s="63" t="inlineStr">
        <is>
          <t>Windsor (ویندزور، انتاریو) — مرز دیترویت؛
خودرو</t>
        </is>
      </c>
      <c r="E134" s="69" t="inlineStr">
        <is>
          <t>ارزان تا متوسط — $1,020–1,270</t>
        </is>
      </c>
      <c r="F134" s="63" t="inlineStr">
        <is>
          <t>Master of Applied Computing (MAC، درسی، با co-op اختیاری)</t>
        </is>
      </c>
      <c r="G134" s="69" t="inlineStr">
        <is>
          <t>مهندسی نرم‌افزار / علوم کامپیوتر</t>
        </is>
      </c>
      <c r="H134" s="69" t="inlineStr">
        <is>
          <t>۱۶ ماه (۱.۳۳ سال)</t>
        </is>
      </c>
      <c r="I134" s="69" t="inlineStr">
        <is>
          <t>≈ $21,400–21,800/سال ≈ $28–29k برای ۱۶ ماه (منابع ثانویه ۲۰۲۵–۲۶؛ صفحهٔ رسمی شهریه از دسترس خارج شده — با دانشگاه چک شود) + بیمه/کارگاه ≈ $2,110</t>
        </is>
      </c>
      <c r="J134" s="69" t="inlineStr">
        <is>
          <t>$28,800</t>
        </is>
      </c>
      <c r="K134" s="110" t="inlineStr">
        <is>
          <t>$45–49k</t>
        </is>
      </c>
      <c r="L134" s="69" t="inlineStr">
        <is>
          <t>کارشناسی ۴ ساله CS/مرتبط با ≥ ۷۰٪ (B) — مسیر کلاسیک ایرانی‌ها؛
درسی، بدون استاد راهنما</t>
        </is>
      </c>
      <c r="M134" s="69" t="inlineStr">
        <is>
          <t>7.0 (هر بخش ≥ 6.5) — چک شود</t>
        </is>
      </c>
      <c r="N134" s="63" t="inlineStr">
        <is>
          <t>≈ 650 (QS 2026)</t>
        </is>
      </c>
      <c r="O134" s="78" t="inlineStr">
        <is>
          <t>Safe</t>
        </is>
      </c>
      <c r="P134" s="69" t="inlineStr">
        <is>
          <t>4/5 — بیشترین حجم آگهی در هر ۸ کشور؛
ورود جونیور از ۲۰۲۳ سخت‌تر شده — سابقهٔ کار شما مزیت است</t>
        </is>
      </c>
      <c r="Q134" s="69" t="inlineStr">
        <is>
          <t>امن‌ترین پذیرش کانادا برای معدل ۱۵.۷۷، ولی گام ۱ ❌ (≈ $28.7k شهریه + $16.5k تمکن = $45k)؛
co-op ۴–۸ ماه با حقوق؛
۴۵ دقیقه تا دیترویت؛
OINP Masters Graduate</t>
        </is>
      </c>
      <c r="R134" s="111" t="inlineStr">
        <is>
          <t>https://www.uwindsor.ca/finance/fee-estimator</t>
        </is>
      </c>
    </row>
    <row r="135">
      <c r="A135" s="112" t="n">
        <v>134</v>
      </c>
      <c r="B135" s="142" t="inlineStr">
        <is>
          <t>کانادا</t>
        </is>
      </c>
      <c r="C135" s="113" t="inlineStr">
        <is>
          <t>University of Toronto</t>
        </is>
      </c>
      <c r="D135" s="113" t="inlineStr">
        <is>
          <t>Toronto (تورنتو، انتاریو) — بزرگ‌ترین بازار کار کانادا؛
گران</t>
        </is>
      </c>
      <c r="E135" s="114" t="inlineStr">
        <is>
          <t>خیلی گران — $1,480–1,830</t>
        </is>
      </c>
      <c r="F135" s="113" t="inlineStr">
        <is>
          <t>MScAC — Master of Science in Applied Computing (۱۶ ماه، ۸ ماه کارآموزی با حقوق)</t>
        </is>
      </c>
      <c r="G135" s="114" t="inlineStr">
        <is>
          <t>هوش مصنوعی / یادگیری ماشین</t>
        </is>
      </c>
      <c r="H135" s="114" t="inlineStr">
        <is>
          <t>۱۶ ماه (۱.۳۳ سال)</t>
        </is>
      </c>
      <c r="I135" s="114" t="inlineStr">
        <is>
          <t>کل شهریه و هزینه‌ها برای ۱۶ ماه: ≈ $63,500 برای بین‌المللی‌ها (رسمی، ورودی سپتامبر ۲۰۲۶؛ شامل $1,550 پیش‌برنامه)</t>
        </is>
      </c>
      <c r="J135" s="114" t="inlineStr">
        <is>
          <t>$63,500</t>
        </is>
      </c>
      <c r="K135" s="110" t="inlineStr">
        <is>
          <t>$87–93k</t>
        </is>
      </c>
      <c r="L135" s="114" t="inlineStr">
        <is>
          <t>کف SGS برای ایران ۱۵/۲۰ ولی MScAC عملاً A− = ۱۷/۲۰ روی سال‌های آخر (سال آخر شما ۱۷.۰۳، دو سال آخر ۱۶.۹۲ → مرزی)؛
مصاحبه؛
رقابت شدید</t>
        </is>
      </c>
      <c r="M135" s="113" t="inlineStr">
        <is>
          <t>7.0 (W/S ≥ 6.5)</t>
        </is>
      </c>
      <c r="N135" s="113" t="inlineStr">
        <is>
          <t>≈ 29 (QS 2026)</t>
        </is>
      </c>
      <c r="O135" s="116" t="inlineStr">
        <is>
          <t>Reach</t>
        </is>
      </c>
      <c r="P135" s="114" t="inlineStr">
        <is>
          <t>5/5 — داغ‌ترین بازار؛
«AI Engineer» سریع‌ترین‌رشد (LinkedIn 2026)؛
ولی برنامه‌های ریاضی‌محور (Tübingen، UvA، KTH) بسیار رقابتی‌اند</t>
        </is>
      </c>
      <c r="Q135" s="114" t="inlineStr">
        <is>
          <t>بهترین برند و بازار (تورنتو)؛
کارآموزی ۸ ماهه ≈ $28–39k حقوق دارد ولی بعد از پرداخت شهریه؛
گام ۱ ❌ با فاصلهٔ زیاد ($63.5k شهریه)؛
مهلت ≈ ۱ دسامبر ۲۰۲۶ (چک شود)</t>
        </is>
      </c>
      <c r="R135" s="115" t="inlineStr">
        <is>
          <t>https://mscac.utoronto.ca/apply/</t>
        </is>
      </c>
    </row>
    <row r="136">
      <c r="A136" s="66" t="n">
        <v>135</v>
      </c>
      <c r="B136" s="142" t="inlineStr">
        <is>
          <t>کانادا</t>
        </is>
      </c>
      <c r="C136" s="63" t="inlineStr">
        <is>
          <t>Memorial University of Newfoundland (MUN)</t>
        </is>
      </c>
      <c r="D136" s="63" t="inlineStr">
        <is>
          <t>St. John's (سنت جانز، نیوفاندلند) — پایتخت استان؛
کوچک، ارزان، دور</t>
        </is>
      </c>
      <c r="E136" s="69" t="inlineStr">
        <is>
          <t>ارزان — $1,020–1,230</t>
        </is>
      </c>
      <c r="F136" s="63" t="inlineStr">
        <is>
          <t>MASc Software Engineering (درسی، ۱۶ ماه)</t>
        </is>
      </c>
      <c r="G136" s="69" t="inlineStr">
        <is>
          <t>مهندسی نرم‌افزار / علوم کامپیوتر</t>
        </is>
      </c>
      <c r="H136" s="69" t="inlineStr">
        <is>
          <t>۱۶ ماه (۱.۳۳ سال)</t>
        </is>
      </c>
      <c r="I136" s="63" t="inlineStr">
        <is>
          <t>Payment Plan D: $1,700 × ۴ + هزینهٔ ویژهٔ $14,300 = $21,100 برای کل دوره (رسمی 2026/27)</t>
        </is>
      </c>
      <c r="J136" s="69" t="inlineStr">
        <is>
          <t>$21,100</t>
        </is>
      </c>
      <c r="K136" s="110" t="inlineStr">
        <is>
          <t>$37–41k</t>
        </is>
      </c>
      <c r="L136" s="69" t="inlineStr">
        <is>
          <t>کارشناسی مهندسی/CS با B؛ درسی</t>
        </is>
      </c>
      <c r="M136" s="69" t="inlineStr">
        <is>
          <t>6.5 (هر بخش ≥ 6.0)</t>
        </is>
      </c>
      <c r="N136" s="63" t="inlineStr">
        <is>
          <t>≈ 800+ (QS 2026)</t>
        </is>
      </c>
      <c r="O136" s="40" t="inlineStr">
        <is>
          <t>Target</t>
        </is>
      </c>
      <c r="P136" s="69" t="inlineStr">
        <is>
          <t>4/5 — بیشترین حجم آگهی در هر ۸ کشور؛
ورود جونیور از ۲۰۲۳ سخت‌تر شده — سابقهٔ کار شما مزیت است</t>
        </is>
      </c>
      <c r="Q136" s="69" t="inlineStr">
        <is>
          <t>همان ساختار و قیمت MAI؛
برای کسی که مهندسی نرم‌افزار می‌خواهد نه AI؛
داخل بودجه ($37.6k)</t>
        </is>
      </c>
      <c r="R136" s="111" t="inlineStr">
        <is>
          <t>https://www.mun.ca/sgs/media/production/memorial/academic/school-of-graduate-studies/school-of-graduate-studies/media-library/MinimumExpense.pdf</t>
        </is>
      </c>
    </row>
    <row r="137">
      <c r="A137" s="112" t="n">
        <v>136</v>
      </c>
      <c r="B137" s="142" t="inlineStr">
        <is>
          <t>کانادا</t>
        </is>
      </c>
      <c r="C137" s="113" t="inlineStr">
        <is>
          <t>University of Waterloo</t>
        </is>
      </c>
      <c r="D137" s="113" t="inlineStr">
        <is>
          <t>Waterloo (واترلو، انتاریو) — قطب تک کانادا (Google، Shopify، OpenText، صدها استارتاپ)؛
۱ ساعت تا تورنتو؛
شهر دانشجویی</t>
        </is>
      </c>
      <c r="E137" s="114" t="inlineStr">
        <is>
          <t>متوسط — $1,160–1,410</t>
        </is>
      </c>
      <c r="F137" s="113" t="inlineStr">
        <is>
          <t>MMath Computer Science — thesis (Cheriton School of CS)</t>
        </is>
      </c>
      <c r="G137" s="114" t="inlineStr">
        <is>
          <t>مهندسی نرم‌افزار / علوم کامپیوتر</t>
        </is>
      </c>
      <c r="H137" s="114" t="inlineStr">
        <is>
          <t>۲ سال</t>
        </is>
      </c>
      <c r="I137" s="113" t="inlineStr">
        <is>
          <t>$5,420 × ۶ ترم = $32,500 برای کل دوره (جدول رسمی پاییز ۲۰۲۶، Master's Research بین‌المللی) + هزینه‌های جانبی $715/ترم؛
پذیرش فقط در گزینهٔ پایان‌نامه‌ای</t>
        </is>
      </c>
      <c r="J137" s="114" t="inlineStr">
        <is>
          <t>$32,500</t>
        </is>
      </c>
      <c r="K137" s="110" t="inlineStr">
        <is>
          <t>$60–66k</t>
        </is>
      </c>
      <c r="L137" s="114" t="inlineStr">
        <is>
          <t>کف رسمی ۷۸٪ (شما ۱۵.۷۷/۲۰ = ۷۸.۹٪ روی کاغذ؛ Cheriton عملاً ۸۵٪+ و رقابت شدید)؛
استاد راهنما لازم؛
توصیه‌نامه‌های قوی</t>
        </is>
      </c>
      <c r="M137" s="113" t="inlineStr">
        <is>
          <t>7.0 (W/S ≥ 6.5)</t>
        </is>
      </c>
      <c r="N137" s="113" t="inlineStr">
        <is>
          <t>≈ 115 (QS 2026)</t>
        </is>
      </c>
      <c r="O137" s="116" t="inlineStr">
        <is>
          <t>Reach</t>
        </is>
      </c>
      <c r="P137" s="114" t="inlineStr">
        <is>
          <t>4/5 — بیشترین حجم آگهی در هر ۸ کشور؛
ورود جونیور از ۲۰۲۳ سخت‌تر شده — سابقهٔ کار شما مزیت است</t>
        </is>
      </c>
      <c r="Q137" s="114" t="inlineStr">
        <is>
          <t>بهترین CS کانادا (Maclean's #1) و قطب تک واترلو–تورنتو؛
پایان‌نامه‌ای‌ها معمولاً بستهٔ TA/RA دارند (مبلغ رسمی تأیید نشد → اینجا صفر) → بدون آن گام ۱ ❌ (شهریه $32.5k + تمکن $16.5k = $49.1k)؛
با نامهٔ فاندینگ ≈ $14k+/سال ✅؛
مهلت ≈ ۱ فوریه ۲۰۲۷ برای پاییز (چک شود)</t>
        </is>
      </c>
      <c r="R137" s="115" t="inlineStr">
        <is>
          <t>https://uwaterloo.ca/finance/masters-and-phd-program-tuition-fall-2026-international-0</t>
        </is>
      </c>
    </row>
    <row r="138">
      <c r="A138" s="66" t="n">
        <v>137</v>
      </c>
      <c r="B138" s="142" t="inlineStr">
        <is>
          <t>کانادا</t>
        </is>
      </c>
      <c r="C138" s="63" t="inlineStr">
        <is>
          <t>University of Waterloo</t>
        </is>
      </c>
      <c r="D138" s="63" t="inlineStr">
        <is>
          <t>Waterloo (واترلو، انتاریو) — قطب تک کانادا (Google، Shopify، OpenText، صدها استارتاپ)؛
۱ ساعت تا تورنتو؛
شهر دانشجویی</t>
        </is>
      </c>
      <c r="E138" s="69" t="inlineStr">
        <is>
          <t>متوسط — $1,160–1,410</t>
        </is>
      </c>
      <c r="F138" s="63" t="inlineStr">
        <is>
          <t>MDSAI — Master of Data Science &amp; Artificial Intelligence (درسی، co-op)</t>
        </is>
      </c>
      <c r="G138" s="69" t="inlineStr">
        <is>
          <t>هوش مصنوعی / یادگیری ماشین</t>
        </is>
      </c>
      <c r="H138" s="69" t="inlineStr">
        <is>
          <t>۱۶ ماه (۱.۳۳ سال)</t>
        </is>
      </c>
      <c r="I138" s="63" t="inlineStr">
        <is>
          <t>$4,420 × ۹ درس = $39,800 برای کل دوره (جدول رسمی پاییز ۲۰۲۶؛ ۳ ترم درسی + ۱ ترم co-op با حقوق) + هزینهٔ co-op $590/ترم + جانبی $715/ترم</t>
        </is>
      </c>
      <c r="J138" s="69" t="inlineStr">
        <is>
          <t>$39,800</t>
        </is>
      </c>
      <c r="K138" s="110" t="inlineStr">
        <is>
          <t>$58–62k</t>
        </is>
      </c>
      <c r="L138" s="69" t="inlineStr">
        <is>
          <t>کف رسمی ۷۸٪ + درس‌های سطح بالای CS یا آمار؛
درسی (بدون استاد راهنما)؛
پذیرش رقابتی</t>
        </is>
      </c>
      <c r="M138" s="63" t="inlineStr">
        <is>
          <t>7.0 (W/S ≥ 6.5)</t>
        </is>
      </c>
      <c r="N138" s="63" t="inlineStr">
        <is>
          <t>≈ 115 (QS 2026)</t>
        </is>
      </c>
      <c r="O138" s="68" t="inlineStr">
        <is>
          <t>Target/Reach</t>
        </is>
      </c>
      <c r="P138" s="69" t="inlineStr">
        <is>
          <t>5/5 — داغ‌ترین بازار؛
«AI Engineer» سریع‌ترین‌رشد (LinkedIn 2026)؛
ولی برنامه‌های ریاضی‌محور (Tübingen، UvA، KTH) بسیار رقابتی‌اند</t>
        </is>
      </c>
      <c r="Q138" s="69" t="inlineStr">
        <is>
          <t>گران‌ترین ارشد AI داخل فهرست بعد از MScAC؛
گام ۱ ❌ با فاصله (شهریه $39.8k ≈ کل بودجه)؛
co-op ۴–۸ ماه با حقوق فقط بعد از پرداخت شهریه؛
فقط اگر خانواده ≥ $20k اضافه دارد</t>
        </is>
      </c>
      <c r="R138" s="111" t="inlineStr">
        <is>
          <t>https://uwaterloo.ca/finance/masters-and-phd-program-tuition-fall-2026-international-0</t>
        </is>
      </c>
    </row>
    <row r="139">
      <c r="A139" s="112" t="n">
        <v>138</v>
      </c>
      <c r="B139" s="142" t="inlineStr">
        <is>
          <t>کانادا</t>
        </is>
      </c>
      <c r="C139" s="113" t="inlineStr">
        <is>
          <t>Dalhousie University</t>
        </is>
      </c>
      <c r="D139" s="113" t="inlineStr">
        <is>
          <t>Halifax (هلیفکس، نوا اسکوشیا) — بزرگ‌ترین شهر آتلانتیک؛
بندر، فناوری دریایی، IBM/RBC/Nasdaq Verafin</t>
        </is>
      </c>
      <c r="E139" s="114" t="inlineStr">
        <is>
          <t>متوسط — $1,160–1,410</t>
        </is>
      </c>
      <c r="F139" s="113" t="inlineStr">
        <is>
          <t>MCSc — Master of Computer Science (thesis)</t>
        </is>
      </c>
      <c r="G139" s="114" t="inlineStr">
        <is>
          <t>مهندسی نرم‌افزار / علوم کامپیوتر</t>
        </is>
      </c>
      <c r="H139" s="114" t="inlineStr">
        <is>
          <t>۲ سال</t>
        </is>
      </c>
      <c r="I139" s="114" t="inlineStr">
        <is>
          <t>برنامه‌محور $7,970/سال + شهریهٔ بین‌المللی پایان‌نامه‌ای $5,690/سال = $13,700/سال (جدول رسمی 2026/27، به‌روز ۱۰ ژوئیه ۲۰۲۶) + هزینه‌های اجباری ≈ $1,140 + بیمهٔ بین‌المللی $935/سال</t>
        </is>
      </c>
      <c r="J139" s="114" t="inlineStr">
        <is>
          <t>$27,300</t>
        </is>
      </c>
      <c r="K139" s="110" t="inlineStr">
        <is>
          <t>$55–61k</t>
        </is>
      </c>
      <c r="L139" s="114" t="inlineStr">
        <is>
          <t>کارشناسی ۴ ساله با معدل B (≈ ۷۳–۷۶٪) در دو سال آخر — معادل ایرانی رسمی ندارد (دو سال آخر شما ۱۶.۹۲ ≈ B+ ✓)؛
استاد راهنما لازم</t>
        </is>
      </c>
      <c r="M139" s="114" t="inlineStr">
        <is>
          <t>7.0 (هر بخش ≥ 6.5) — چک شود</t>
        </is>
      </c>
      <c r="N139" s="113" t="inlineStr">
        <is>
          <t>≈ 280 (QS 2026)</t>
        </is>
      </c>
      <c r="O139" s="40" t="inlineStr">
        <is>
          <t>Target</t>
        </is>
      </c>
      <c r="P139" s="114" t="inlineStr">
        <is>
          <t>4/5 — بیشترین حجم آگهی در هر ۸ کشور؛
ورود جونیور از ۲۰۲۳ سخت‌تر شده — سابقهٔ کار شما مزیت است</t>
        </is>
      </c>
      <c r="Q139" s="114" t="inlineStr">
        <is>
          <t>بزرگ‌ترین دانشگاه آتلانتیک؛
هلیفکس متوسط‌قیمت با بازار IT در حال رشد (Verafin، IBM، RBC)؛
Atlantic Immigration Program + NS PNP برای PR؛
بدون فاندینگ گام ۱ ❌ با کسری کوچک ($27.3k + $16.5k = $43.8k)؛
با TA/RA معمول (≈ $11–14k/سال) ✅؛
مهلت ≈ ۳۱ ژانویه ۲۰۲۷ برای بین‌المللی‌ها (چک شود)</t>
        </is>
      </c>
      <c r="R139" s="115" t="inlineStr">
        <is>
          <t>https://www.dal.ca/content/dam/www/admissions/cost-and-payment/tuition-and-fee-schedules/masters-tuition-fee-schedule.pdf</t>
        </is>
      </c>
    </row>
    <row r="140">
      <c r="A140" s="66" t="n">
        <v>139</v>
      </c>
      <c r="B140" s="142" t="inlineStr">
        <is>
          <t>کانادا</t>
        </is>
      </c>
      <c r="C140" s="63" t="inlineStr">
        <is>
          <t>Dalhousie University</t>
        </is>
      </c>
      <c r="D140" s="63" t="inlineStr">
        <is>
          <t>Halifax (هلیفکس، نوا اسکوشیا) — بزرگ‌ترین شهر آتلانتیک؛
بندر، فناوری دریایی، IBM/RBC/Nasdaq Verafin</t>
        </is>
      </c>
      <c r="E140" s="69" t="inlineStr">
        <is>
          <t>متوسط — $1,160–1,410</t>
        </is>
      </c>
      <c r="F140" s="63" t="inlineStr">
        <is>
          <t>MACS — Master of Applied Computer Science (درسی، ۱۶ ماه)</t>
        </is>
      </c>
      <c r="G140" s="69" t="inlineStr">
        <is>
          <t>مهندسی نرم‌افزار / علوم کامپیوتر</t>
        </is>
      </c>
      <c r="H140" s="69" t="inlineStr">
        <is>
          <t>۱۶ ماه (۱.۳۳ سال)</t>
        </is>
      </c>
      <c r="I140" s="69" t="inlineStr">
        <is>
          <t>برنامه‌محور $2,660/ترم + شهریهٔ بین‌المللی غیرپایان‌نامه‌ای $5,800/ترم = $8,450/ترم × ۴ ترم = $33,800 برای کل دوره (جدول رسمی 2026/27) + اجباری/بیمه ≈ $2,110</t>
        </is>
      </c>
      <c r="J140" s="69" t="inlineStr">
        <is>
          <t>$33,800</t>
        </is>
      </c>
      <c r="K140" s="110" t="inlineStr">
        <is>
          <t>$52–56k</t>
        </is>
      </c>
      <c r="L140" s="69" t="inlineStr">
        <is>
          <t>کارشناسی CS/مرتبط با B؛
درسی، بدون استاد راهنما → پذیرش آسان‌تر</t>
        </is>
      </c>
      <c r="M140" s="69" t="inlineStr">
        <is>
          <t>7.0 (هر بخش ≥ 6.5) — چک شود</t>
        </is>
      </c>
      <c r="N140" s="63" t="inlineStr">
        <is>
          <t>≈ 280 (QS 2026)</t>
        </is>
      </c>
      <c r="O140" s="74" t="inlineStr">
        <is>
          <t>Safe/Target</t>
        </is>
      </c>
      <c r="P140" s="69" t="inlineStr">
        <is>
          <t>4/5 — بیشترین حجم آگهی در هر ۸ کشور؛
ورود جونیور از ۲۰۲۳ سخت‌تر شده — سابقهٔ کار شما مزیت است</t>
        </is>
      </c>
      <c r="Q140" s="69" t="inlineStr">
        <is>
          <t>مسیر کلاسیک درسیِ ایرانی‌ها در هلیفکس، ولی شهریهٔ بین‌المللی غیرپایان‌نامه‌ای سه برابر پایان‌نامه‌ای است → گام ۱ ❌ ($33.8k + $16.5k = $50.3k)؛
co-op اختیاری</t>
        </is>
      </c>
      <c r="R140" s="111" t="inlineStr">
        <is>
          <t>https://www.dal.ca/content/dam/www/admissions/cost-and-payment/tuition-and-fee-schedules/masters-tuition-fee-schedule.pdf</t>
        </is>
      </c>
    </row>
    <row r="141">
      <c r="A141" s="112" t="n">
        <v>140</v>
      </c>
      <c r="B141" s="142" t="inlineStr">
        <is>
          <t>کانادا</t>
        </is>
      </c>
      <c r="C141" s="113" t="inlineStr">
        <is>
          <t>Ontario Tech University</t>
        </is>
      </c>
      <c r="D141" s="113" t="inlineStr">
        <is>
          <t>Oshawa (اوشاوا، انتاریو) — ۶۰ کیلومتری شرق تورنتو (GO Train ۱ ساعت)؛
خودرو/GM</t>
        </is>
      </c>
      <c r="E141" s="114" t="inlineStr">
        <is>
          <t>متوسط — $1,160–1,410</t>
        </is>
      </c>
      <c r="F141" s="113" t="inlineStr">
        <is>
          <t>MSc Computer Science (thesis)</t>
        </is>
      </c>
      <c r="G141" s="114" t="inlineStr">
        <is>
          <t>مهندسی نرم‌افزار / علوم کامپیوتر</t>
        </is>
      </c>
      <c r="H141" s="114" t="inlineStr">
        <is>
          <t>۲ سال</t>
        </is>
      </c>
      <c r="I141" s="114" t="inlineStr">
        <is>
          <t>نرخ ثابت بین‌المللی $14,200/سال = $4,730/ترم × ۳ ترم (جدول رسمی 2026/27؛ ثبت‌نام پیوسته در هر سه ترم) + هزینه‌های جانبی ≈ $1,060/سال</t>
        </is>
      </c>
      <c r="J141" s="114" t="inlineStr">
        <is>
          <t>$28,400</t>
        </is>
      </c>
      <c r="K141" s="110" t="inlineStr">
        <is>
          <t>$56–62k</t>
        </is>
      </c>
      <c r="L141" s="114" t="inlineStr">
        <is>
          <t>کارشناسی ۴ ساله CS/مرتبط با حداقل B (۳.۰/۴.۳) در دو سال آخر؛
استاد راهنما لازم؛
معادل ایرانی رسمی ندارد</t>
        </is>
      </c>
      <c r="M141" s="114" t="inlineStr">
        <is>
          <t>6.5 (هر بخش ≥ 6.0)</t>
        </is>
      </c>
      <c r="N141" s="113" t="inlineStr">
        <is>
          <t>≈ 1000+ (QS 2026)</t>
        </is>
      </c>
      <c r="O141" s="40" t="inlineStr">
        <is>
          <t>Target</t>
        </is>
      </c>
      <c r="P141" s="114" t="inlineStr">
        <is>
          <t>4/5 — بیشترین حجم آگهی در هر ۸ کشور؛
ورود جونیور از ۲۰۲۳ سخت‌تر شده — سابقهٔ کار شما مزیت است</t>
        </is>
      </c>
      <c r="Q141" s="114" t="inlineStr">
        <is>
          <t>دانشگاه جوان (۲۰۰۲) با گروه CS کوچک؛
اوشاوا ارزان‌تر از تورنتو و ۱ ساعت قطار تا آن؛
OINP Masters Graduate برای PR؛
بدون فاندینگ گام ۱ ❌ ($28.4k + $16.5k = $44.9k)؛
با TA/RA ≈ $7–10.6k/سال ✅؛
مهلت ≈ مارس–آوریل ۲۰۲۷ (چک شود)</t>
        </is>
      </c>
      <c r="R141" s="115" t="inlineStr">
        <is>
          <t>https://registrar.ontariotechu.ca/fees-and-payment/international-student-tuition/graduate-international-tuition-2026-2027.php</t>
        </is>
      </c>
    </row>
    <row r="142">
      <c r="A142" s="66" t="n">
        <v>141</v>
      </c>
      <c r="B142" s="142" t="inlineStr">
        <is>
          <t>کانادا</t>
        </is>
      </c>
      <c r="C142" s="63" t="inlineStr">
        <is>
          <t>Ontario Tech University</t>
        </is>
      </c>
      <c r="D142" s="63" t="inlineStr">
        <is>
          <t>Oshawa (اوشاوا، انتاریو) — ۶۰ کیلومتری شرق تورنتو (GO Train ۱ ساعت)؛
خودرو/GM</t>
        </is>
      </c>
      <c r="E142" s="69" t="inlineStr">
        <is>
          <t>متوسط — $1,160–1,410</t>
        </is>
      </c>
      <c r="F142" s="63" t="inlineStr">
        <is>
          <t>MITS — Master of Information Technology Security (درسی)</t>
        </is>
      </c>
      <c r="G142" s="69" t="inlineStr">
        <is>
          <t>امنیت سایبری</t>
        </is>
      </c>
      <c r="H142" s="69" t="inlineStr">
        <is>
          <t>۱۶ ماه (۱.۳۳ سال)</t>
        </is>
      </c>
      <c r="I142" s="69" t="inlineStr">
        <is>
          <t>$3,410 به ازای هر درس ۳ واحدی × ۱۰ درس (۳۰ واحد) = $34,100 برای کل دوره (جدول رسمی 2026/27، fee-per-credit) + جانبی؛
طول معمول ۴ ترم (چک شود)</t>
        </is>
      </c>
      <c r="J142" s="69" t="inlineStr">
        <is>
          <t>$34,100</t>
        </is>
      </c>
      <c r="K142" s="110" t="inlineStr">
        <is>
          <t>$53–57k</t>
        </is>
      </c>
      <c r="L142" s="69" t="inlineStr">
        <is>
          <t>کارشناسی ۴ ساله CS/IT/مهندسی با B؛
درسی، بدون استاد راهنما</t>
        </is>
      </c>
      <c r="M142" s="69" t="inlineStr">
        <is>
          <t>6.5 (هر بخش ≥ 6.0)</t>
        </is>
      </c>
      <c r="N142" s="63" t="inlineStr">
        <is>
          <t>≈ 1000+ (QS 2026)</t>
        </is>
      </c>
      <c r="O142" s="74" t="inlineStr">
        <is>
          <t>Safe/Target</t>
        </is>
      </c>
      <c r="P142" s="69" t="inlineStr">
        <is>
          <t>4/5 — کمبود ساختاری (Bitkom: جزو ۳ کمبود اصلی آلمان)؛
اما ۳۱٪ تیم‌ها هیچ نیروی جونیور ندارند → کارآموزی/گواهی لازم است</t>
        </is>
      </c>
      <c r="Q142" s="69" t="inlineStr">
        <is>
          <t>تنها ارشد تخصصی امنیت کانادا در این فهرست با رقم رسمی — ولی گام ۱ ❌ با فاصله ($34.1k + $16.5k = $50.6k)؛
امنیت را به‌جایش موضوع پایان‌نامهٔ MSc CS بگیرید</t>
        </is>
      </c>
      <c r="R142" s="111" t="inlineStr">
        <is>
          <t>https://registrar.ontariotechu.ca/fees-and-payment/international-student-tuition/graduate-international-tuition-2026-2027.php</t>
        </is>
      </c>
    </row>
    <row r="143">
      <c r="A143" s="112" t="n">
        <v>142</v>
      </c>
      <c r="B143" s="142" t="inlineStr">
        <is>
          <t>کانادا</t>
        </is>
      </c>
      <c r="C143" s="113" t="inlineStr">
        <is>
          <t>University of Regina</t>
        </is>
      </c>
      <c r="D143" s="113" t="inlineStr">
        <is>
          <t>Regina (رجاینا، ساسکاچوان) — پایتخت استان؛
ارزان، سرد، کوچک (SaskTel، ISC، دولت استانی)</t>
        </is>
      </c>
      <c r="E143" s="114" t="inlineStr">
        <is>
          <t>ارزان — $950–1,160</t>
        </is>
      </c>
      <c r="F143" s="113" t="inlineStr">
        <is>
          <t>MSc Computer Science — thesis route (۱۵ واحد درس + ۱۵ واحد پایان‌نامه)</t>
        </is>
      </c>
      <c r="G143" s="114" t="inlineStr">
        <is>
          <t>مهندسی نرم‌افزار / علوم کامپیوتر</t>
        </is>
      </c>
      <c r="H143" s="114" t="inlineStr">
        <is>
          <t>۲ سال</t>
        </is>
      </c>
      <c r="I143" s="113" t="inlineStr">
        <is>
          <t>$260 × ۳۰ واحد = $7,730 + سورشارژ بین‌المللی $1,050 × ۶ ترم = $6,290 → $14,000 برای کل دوره ≈ $7,010/سال (جدول رسمی پاییز ۲۰۲۶) + هزینه‌های اجباری ≈ $380/ترم (بیمه/UPass)</t>
        </is>
      </c>
      <c r="J143" s="114" t="inlineStr">
        <is>
          <t>$14,000</t>
        </is>
      </c>
      <c r="K143" s="110" t="inlineStr">
        <is>
          <t>$37–42k</t>
        </is>
      </c>
      <c r="L143" s="114" t="inlineStr">
        <is>
          <t>کارشناسی ۴ ساله CS با ≥ ۷۰٪ در دو سال آخر (FGSR) — معادل ایرانی رسمی ندارد (≈ ۱۴–۱۵/۲۰)؛
استاد راهنما لازم</t>
        </is>
      </c>
      <c r="M143" s="114" t="inlineStr">
        <is>
          <t>6.5 (هر بخش ≥ 6.0)</t>
        </is>
      </c>
      <c r="N143" s="113" t="inlineStr">
        <is>
          <t>≈ 1000+ (QS 2026)</t>
        </is>
      </c>
      <c r="O143" s="40" t="inlineStr">
        <is>
          <t>Target</t>
        </is>
      </c>
      <c r="P143" s="114" t="inlineStr">
        <is>
          <t>4/5 — بیشترین حجم آگهی در هر ۸ کشور؛
ورود جونیور از ۲۰۲۳ سخت‌تر شده — سابقهٔ کار شما مزیت است</t>
        </is>
      </c>
      <c r="Q143" s="114" t="inlineStr">
        <is>
          <t>ارزان‌ترین گزینهٔ جدید (کل شهریه ≈ $14k) و داخل هر دو گام حتی بدون کار؛
شهر کوچک و ارزان، بازار IT کوچک (SaskTel، ISC، دولت)؛
SINP برای PR؛
بیمهٔ استانی رایگان؛
حداقل دستمزد $11.1؛
مهلت ≈ فوریه–مارس ۲۰۲۷ (چک شود)</t>
        </is>
      </c>
      <c r="R143" s="115" t="inlineStr">
        <is>
          <t>https://www.uregina.ca/financial-services/assets/pdf/fee-schedules/202630-grad-studies-tuition-schedule-may-15.pdf</t>
        </is>
      </c>
    </row>
    <row r="144"/>
    <row r="145" ht="34" customHeight="1">
      <c r="B145" s="143"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46" ht="141" customHeight="1">
      <c r="B146" s="143" t="inlineStr">
        <is>
          <t>شهریه‌ها به دلار و گرد شده‌اند (همهٔ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Exeter/York/Sheffield/Nottingham/QMUL/Southampton/Bristol و Gothenburg همین حالا رسمی‌اند).
آلمان: عدد فقط سهم ترم (Semesterbeitrag) است که بلیت حمل‌ونقل را هم شامل می‌شود.</t>
        </is>
      </c>
    </row>
    <row r="147" ht="46" customHeight="1">
      <c r="B147" s="143"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48" ht="65" customHeight="1">
      <c r="B148" s="143"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49" ht="217" customHeight="1">
      <c r="B149" s="143"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انگلستان از نسخهٔ ۳.۱۱ فقط Russell Group (۲۹ برنامه؛ Newcastle/Birmingham ≈)؛
Newcastle Games 2:2؛
Sheffield AI ≈ $45.8k. رتبه‌بندی Safe/Target/Reach، امتیاز بازار و ردهٔ هزینهٔ شهر ارزیابی‌اند، نه دادهٔ رسمی.</t>
        </is>
      </c>
    </row>
    <row r="150" ht="103" customHeight="1">
      <c r="A150" s="144" t="n"/>
      <c r="B150" s="145" t="inlineStr">
        <is>
          <t>حذف‌شده‌ها: همهٔ برنامه‌های غیر-Russell Group انگلستان (Teesside، Northumbria، NTU، MMU، Essex، Leicester، Brunel، Kent، Royal Holloway، Goldsmiths، Surrey، Lancaster — نسخهٔ ۳.۱۱ به خواست شما)،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c r="C150" s="144" t="n"/>
      <c r="D150" s="144" t="n"/>
      <c r="E150" s="144" t="n"/>
      <c r="F150" s="144" t="n"/>
      <c r="G150" s="144" t="n"/>
      <c r="H150" s="144" t="n"/>
      <c r="I150" s="144" t="n"/>
      <c r="J150" s="144" t="n"/>
      <c r="K150" s="144" t="n"/>
      <c r="L150" s="144" t="n"/>
      <c r="M150" s="144" t="n"/>
      <c r="N150" s="144" t="n"/>
      <c r="O150" s="144" t="n"/>
      <c r="P150" s="144" t="n"/>
      <c r="Q150" s="144" t="n"/>
      <c r="R150" s="144" t="n"/>
    </row>
  </sheetData>
  <autoFilter ref="A1:R143"/>
  <mergeCells count="6">
    <mergeCell ref="B150:Q150"/>
    <mergeCell ref="B145:Q145"/>
    <mergeCell ref="B146:Q146"/>
    <mergeCell ref="B149:Q149"/>
    <mergeCell ref="B148:Q148"/>
    <mergeCell ref="B147:Q14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4" t="inlineStr">
        <is>
          <t>هوش مصنوعی / یادگیری ماشین</t>
        </is>
      </c>
      <c r="B2" s="66" t="inlineStr">
        <is>
          <t>۵ — قوی‌ترین رشد</t>
        </is>
      </c>
      <c r="C2" s="69" t="inlineStr">
        <is>
          <t>بالاتر (+۱۰ تا +۲۵٪؛ آلمان $59–68k، انگلستان $46–60k خارج لندن، سوئیس ≈ $115–145k در زوریخ)</t>
        </is>
      </c>
      <c r="D2" s="69" t="inlineStr">
        <is>
          <t>بسیار خوب — تیم‌های AI/ML در همهٔ ۸ کشور انگلیسی‌زبان‌اند؛
زوریخ (Google، ETH AI Center، آزمایشگاه‌های AI) یکی از قطب‌های اروپاست و کاملاً انگلیسی؛
فنلاند: FCAI (Aalto/Helsinki) و Silo AI/AMD در هلسینکی، انگلیسی‌محور ولی کوچک</t>
        </is>
      </c>
      <c r="E2" s="69" t="inlineStr">
        <is>
          <t>خوب: پیش‌زمینهٔ Computer Engineering + Python؛
ولی برای برنامه‌های Reach (Tübingen، UvA، KTH، Sheffield) معدل ۱۵.۷۷ کافی نیست — برنامه‌های کاربردی (Passau AI Eng، FAU، USI AI (Lugano)، Umeå) هدف بگیرید؛
در انگلستان (فقط Russell Group) Nottingham ACS(AI) و Sheffield AI با 2:1 = ۱۴–۱۵/۲۰ Target‌اند، Southampton AI مرزی؛
کانادا (بدون کبک): Memorial MAI (۱۶ ماه، داخل بودجه) Target، Waterloo MDSAI ($39,800) و Toronto MScAC ($63,500) Reach و خارج بودجه</t>
        </is>
      </c>
      <c r="F2" s="69" t="inlineStr">
        <is>
          <t>رقابت ورودی شدید؛
بخشی از آگهی‌ها «AI» در عنوان دارند ولی کار مهندسی نرم‌افزار معمولی است؛
مدرک به‌تنهایی بدون پورتفولیو/پروژه کافی نیست</t>
        </is>
      </c>
      <c r="G2" s="106" t="inlineStr">
        <is>
          <t>LinkedIn/WEF ژانویه ۲۰۲۶ (۱.۳ میلیون شغل جدید AI؛ AI Engineer سریع‌ترین‌رشد)؛
Bitkom 2025</t>
        </is>
      </c>
    </row>
    <row r="3">
      <c r="A3" s="24" t="inlineStr">
        <is>
          <t>مهندسی نرم‌افزار / علوم کامپیوتر</t>
        </is>
      </c>
      <c r="B3" s="112" t="inlineStr">
        <is>
          <t>۴ — بیشترین حجم</t>
        </is>
      </c>
      <c r="C3" s="114" t="inlineStr">
        <is>
          <t>مرجع (آلمان $55–63k · هلند $46–57k · سوئد $42–55k · دانمارک $76–82k · سوئیس $103–127k (بالاترین) · انگلستان $37–46k · فنلاند $35–49k)</t>
        </is>
      </c>
      <c r="D3" s="114" t="inlineStr">
        <is>
          <t>بسیار خوب</t>
        </is>
      </c>
      <c r="E3" s="114" t="inlineStr">
        <is>
          <t>بهترین تناسب با سابقهٔ شما (۲ سال IT + Unity/C#)؛
پذیرش ساده‌تر (2:2)؛
در همهٔ کشورها گزینهٔ Safe دارد؛
کانادا (بدون کبک): MSc پایان‌نامه‌ای Memorial / Manitoba / Saskatchewan / Regina / Alberta / Calgary / UVic با TA/RA (Target — استاد راهنما لازم)، Dalhousie / Ontario Tech / Waterloo فقط با نامهٔ فاندینگ، و Windsor MAC / Dal MACS (Safe ولی خارج بودجه)</t>
        </is>
      </c>
      <c r="F3" s="114" t="inlineStr">
        <is>
          <t>آگهی‌های جونیور از ۲۰۲۳ کم شده (اثر GenAI)؛
در بریتانیا ۶–۷٪ بیکاری فارغ‌التحصیلان CS — سابقهٔ کار واقعی شما را از این گروه جدا می‌کند</t>
        </is>
      </c>
      <c r="G3" s="146" t="inlineStr">
        <is>
          <t>Bitkom 2025 (۱۰۹ هزار جای خالی IT در آلمان، ۷.۷ ماه زمان پرکردن)؛
IW 2024 (آگهی‌ها ۲۶٪ کمتر از ۲۰۲۳)</t>
        </is>
      </c>
    </row>
    <row r="4">
      <c r="A4" s="24" t="inlineStr">
        <is>
          <t>امنیت سایبری</t>
        </is>
      </c>
      <c r="B4" s="66" t="inlineStr">
        <is>
          <t>۴ — کمبود ساختاری</t>
        </is>
      </c>
      <c r="C4" s="69" t="inlineStr">
        <is>
          <t>مساوی تا کمی بالاتر؛
در انگلستان (NCSC-certified) و سوئیس (بانک‌ها، بیمه‌ها، ETH/EPFL Cyber؛ حقوق بالا) خوب</t>
        </is>
      </c>
      <c r="D4" s="69" t="inlineStr">
        <is>
          <t>خوب — ولی مشاغل دولتی/دفاعی معمولاً به تابعیت یا اقامت بلندمدت نیاز دارند</t>
        </is>
      </c>
      <c r="E4" s="69" t="inlineStr">
        <is>
          <t>خوب: MSc Cyber در Russell Group انگلستان (Newcastle، York، Birmingham، Southampton با تأیید NCSC + Sheffield Cybersecurity &amp; AI؛ 2:1 — York 2:2)؛
Saarland (رایگان ولی IELTS 7)؛
AAU کپنهاگ؛
ZHAW MSE Information &amp; Cyber Security (سوئیس، نیاز به معدل A/B)؛
کانادا (بدون کبک): Ontario Tech MITS تنها ارشد تخصصی امنیت با رقم رسمی ($34,100 کل، خارج بودجه) — امنیت را به‌عنوان موضوع پایان‌نامه داخل MSc CS (Calgary / Carleton / UVic / Dalhousie، با استاد راهنمای امنیت) بردارید</t>
        </is>
      </c>
      <c r="F4" s="69"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106" t="inlineStr">
        <is>
          <t>ISC2 Workforce Study 2024/2025؛
فهرست مدارک تأییدشدهٔ NCSC (ncsc.gov.uk)</t>
        </is>
      </c>
    </row>
    <row r="5">
      <c r="A5" s="24" t="inlineStr">
        <is>
          <t>ابری / سیستم‌های توزیع‌شده / DevOps</t>
        </is>
      </c>
      <c r="B5" s="112" t="inlineStr">
        <is>
          <t>۴ — پایدار</t>
        </is>
      </c>
      <c r="C5" s="114" t="inlineStr">
        <is>
          <t>بالاتر از توسعه‌دهندهٔ عمومی (+۵ تا +۱۵٪)؛
DevOps/SRE در دانمارک و سوئد پرتقاضا؛
سوئیس: بانک‌ها/بیمه‌ها و Google زوریخ (≈ $109–133k)</t>
        </is>
      </c>
      <c r="D5" s="114" t="inlineStr">
        <is>
          <t>بسیار خوب</t>
        </is>
      </c>
      <c r="E5" s="114" t="inlineStr">
        <is>
          <t>خوب: Newcastle Cloud Computing (Russell Group)، TU Darmstadt DSS، KTH SEDS، USI Software &amp; Data Engineering؛
کانادا: ارشد خالص Cloud نیست — گرایش داخل MSc CS / Alberta course-based / Windsor MAC؛
گواهی AWS/Azure کنار مدرک</t>
        </is>
      </c>
      <c r="F5" s="114" t="inlineStr">
        <is>
          <t>کمتر «مدرک‌محور» است؛
برنامه‌های خالص Cloud کم‌اند — معمولاً گرایشِ CS/SE است</t>
        </is>
      </c>
      <c r="G5" s="146" t="inlineStr">
        <is>
          <t>tribexyz 2026 (Data/Cloud Engineer پرجست‌وجوترین در UK/DE)؛
آگهی‌های شرکت‌ها</t>
        </is>
      </c>
    </row>
    <row r="6">
      <c r="A6" s="24" t="inlineStr">
        <is>
          <t>علم داده / تحلیل داده</t>
        </is>
      </c>
      <c r="B6" s="66" t="inlineStr">
        <is>
          <t>۳ — جونیور اشباع</t>
        </is>
      </c>
      <c r="C6" s="69" t="inlineStr">
        <is>
          <t>مساوی CS در سطح جونیور؛
بالاتر بعد از ۲–۳ سال</t>
        </is>
      </c>
      <c r="D6" s="69" t="inlineStr">
        <is>
          <t>بسیار خوب</t>
        </is>
      </c>
      <c r="E6" s="69" t="inlineStr">
        <is>
          <t>متوسط: مدرک‌های ارزان و Safe زیاد است (سوئیس: HSLU Lucerne ≈ $3,810/سال و USI Software &amp; Data Eng $9,680/سال، EPFL Data Science فقط Reach؛ سوئد: Skövde؛ انگلستان (Russell Group): Liverpool DS&amp;AI ≈ $45k، Bristol DS $50.2k؛ دانمارک: ITU $18.8k؛ کانادا: Carleton MCS گرایش Data Science &amp; AI (خارج بودجه بدون فاندینگ) و Memorial MAI داخل بودجه) ولی رقابت جونیور بالاست؛
اگر می‌روید، Data Engineering را انتخاب کنید</t>
        </is>
      </c>
      <c r="F6" s="69" t="inlineStr">
        <is>
          <t>تعداد فارغ‌التحصیل خیلی بیشتر از جای خالی جونیور؛
آگهی جونیور Data Engineering هم ↓۶۷٪؛
مسیر رایج: تحلیلگر/بک‌اند → مهندس داده</t>
        </is>
      </c>
      <c r="G6" s="106" t="inlineStr">
        <is>
          <t>research.com 2026؛
careery.pro 2026؛
datadriven.io 2026</t>
        </is>
      </c>
    </row>
    <row r="7">
      <c r="A7" s="24" t="inlineStr">
        <is>
          <t>سیستم‌های نهفته / رباتیک / خودران</t>
        </is>
      </c>
      <c r="B7" s="112" t="inlineStr">
        <is>
          <t>۴ در آلمان/سوئد؛ ۳ در بقیه</t>
        </is>
      </c>
      <c r="C7" s="114" t="inlineStr">
        <is>
          <t>مساوی تا کمی بالاتر در صنعت (Bosch، Continental، ABB، Volvo)؛
پایین‌تر در بریتانیا؛
در سوئیس (ABB، رباتیک ETH) بالا ولی آلمانی‌محور؛
فنلاند: Nokia (Oulu/Espoo، 5G/6G) و Wärtsilä/KONE — R&amp;D انگلیسی</t>
        </is>
      </c>
      <c r="D7" s="114" t="inlineStr">
        <is>
          <t>متوسط ⚠️ — تیم‌های R&amp;D انگلیسی‌اند ولی شرکت‌های صنعتی متوسط آلمان/سوئد در عمل زبان محلی می‌خواهند</t>
        </is>
      </c>
      <c r="E7" s="114"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
کانادا: برنامه‌های فهرست همه CS / AI / SE‌اند — رباتیک فقط به‌عنوان موضوع پایان‌نامه (Alberta / Calgary)</t>
        </is>
      </c>
      <c r="F7" s="114" t="inlineStr">
        <is>
          <t>با معیار «فقط انگلیسی» شما ضعیف‌تر از AI/SE/Cyber؛
وابسته به صنعت خودرو که در ۲۰۲۴–۲۵ آگهی‌هایش کم شد</t>
        </is>
      </c>
      <c r="G7" s="146" t="inlineStr">
        <is>
          <t>Bitkom/IW 2024–25؛
Twente/H-BRS/FAU program pages</t>
        </is>
      </c>
    </row>
    <row r="8">
      <c r="A8" s="147" t="inlineStr">
        <is>
          <t>HCI / طراحی تعامل / UX</t>
        </is>
      </c>
      <c r="B8" s="66" t="inlineStr">
        <is>
          <t>۲ — رو به کاهش</t>
        </is>
      </c>
      <c r="C8" s="69" t="inlineStr">
        <is>
          <t>پایین‌تر از توسعه‌دهنده (−۱۰ تا −۲۵٪)</t>
        </is>
      </c>
      <c r="D8" s="69" t="inlineStr">
        <is>
          <t>خوب</t>
        </is>
      </c>
      <c r="E8" s="69"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 کانادا: در فهرست نیست)</t>
        </is>
      </c>
      <c r="F8" s="69" t="inlineStr">
        <is>
          <t>آگهی UX ↓۷۱٪ و UXR ↓۷۳٪ نسبت به ۲۰۲۲ و از ۲۰۲۳ ثابت؛
متقاضی به ازای هر آگهی دو برابر شده</t>
        </is>
      </c>
      <c r="G8" s="106" t="inlineStr">
        <is>
          <t>Indeed Hiring Lab تا Q4 2025 (thevoiceofuser, 2026)؛
uxdesigninstitute 2024؛
academyux Q1 2025</t>
        </is>
      </c>
    </row>
    <row r="9">
      <c r="A9" s="24" t="inlineStr">
        <is>
          <t>توسعه بازی</t>
        </is>
      </c>
      <c r="B9" s="112" t="inlineStr">
        <is>
          <t>۲ — کوچک و پرنوسان</t>
        </is>
      </c>
      <c r="C9" s="114" t="inlineStr">
        <is>
          <t>پایین‌تر از نرم‌افزار عمومی (−۲۰ تا −۴۰٪)؛
استودیوهای بزرگ استثنا</t>
        </is>
      </c>
      <c r="D9" s="114" t="inlineStr">
        <is>
          <t>خوب (استودیوهای بزرگ انگلیسی‌زبان: لندن، Guildford، Stockholm، Malmö، Copenhagen، Cologne، هلسینکی (Supercell، Rovio، Remedy، Housemarque؛ Unity دفتر بزرگ در تامپره/هلسینکی)؛ سوئیس صنعت بازی کوچکی دارد — Zürich: Giants Software — و ارشد انگلیسی بازی ندارد)</t>
        </is>
      </c>
      <c r="E9" s="114"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Newcastle Game Engineering ($42.8k)، QMUL Computer Games ($49k)، Leeds HPG &amp; Games ($45.8k)، Cologne Game Lab یا Aalto Game Design &amp; Development ($19k، ۸ نفر، Reach) را با چشم باز انتخاب کنید؛
کانادا: استودیوهای بزرگ (Ubisoft Toronto، EA Vancouver) هستند ولی مونترال = کبک (حذف)؛
Unity/C# شما اینجا پورتفولیوی co-op (Windsor MAC) یا کارآموزی MScAC است، نه رشتهٔ تحصیل</t>
        </is>
      </c>
      <c r="F9" s="114" t="inlineStr">
        <is>
          <t>≈۴۵ هزار اخراج ۲۰۲۲–ژوئیهٔ ۲۰۲۵؛
بیش از ۳۰ استودیو کاملاً بسته شد؛
حقوق برنامه‌نویس Unity ≈۵۰٪ افت؛
Unity Technologies شش دور اخراج</t>
        </is>
      </c>
      <c r="G9" s="146" t="inlineStr">
        <is>
          <t>Wikipedia «2022–2026 video game industry layoffs» (GDC State of the Industry 2026؛ 80.lv)</t>
        </is>
      </c>
    </row>
    <row r="10"/>
    <row r="11" ht="84" customHeight="1">
      <c r="A11" s="148"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4" t="inlineStr">
        <is>
          <t>همین هفته (اکتبر ۲۰۲۶)</t>
        </is>
      </c>
      <c r="B2" s="69" t="inlineStr">
        <is>
          <t>تعیین تکلیف نظام‌وظیفه</t>
        </is>
      </c>
      <c r="C2" s="69" t="inlineStr">
        <is>
          <t>همه</t>
        </is>
      </c>
      <c r="D2" s="69"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106" t="inlineStr">
        <is>
          <t>sakha.epolice.ir؛ زومیت/فرارو تیر ۱۴۰۵</t>
        </is>
      </c>
    </row>
    <row r="3">
      <c r="A3" s="24" t="inlineStr">
        <is>
          <t>اکتبر ۲۰۲۶</t>
        </is>
      </c>
      <c r="B3" s="114" t="inlineStr">
        <is>
          <t>رزرو آزمون زبان — خارج از ایران</t>
        </is>
      </c>
      <c r="C3" s="69" t="inlineStr">
        <is>
          <t>همه</t>
        </is>
      </c>
      <c r="D3" s="113"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49" t="inlineStr">
        <is>
          <t>اعلام IDP (دسامبر ۲۰۲۵)؛
وضعیت ETS/سنجش شهریور ۱۴۰۵</t>
        </is>
      </c>
    </row>
    <row r="4">
      <c r="A4" s="24" t="inlineStr">
        <is>
          <t>اکتبر ۲۰۲۶</t>
        </is>
      </c>
      <c r="B4" s="69" t="inlineStr">
        <is>
          <t>مدارک پایه</t>
        </is>
      </c>
      <c r="C4" s="69" t="inlineStr">
        <is>
          <t>همه</t>
        </is>
      </c>
      <c r="D4" s="69"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105" t="inlineStr">
        <is>
          <t>—</t>
        </is>
      </c>
    </row>
    <row r="5">
      <c r="A5" s="24" t="inlineStr">
        <is>
          <t>⛔ ۶ اکتبر ۲۰۲۶ — ساعت ۱۱:۰۰ UTC (۱۴:۳۰ تهران)</t>
        </is>
      </c>
      <c r="B5" s="150" t="inlineStr">
        <is>
          <t>⛔ مهلت Chevening ۲۰۲۷/۲۸ — تنها بورس کاملی که همهٔ Russell Group را باز می‌کند</t>
        </is>
      </c>
      <c r="C5" s="151" t="inlineStr">
        <is>
          <t>انگلستان</t>
        </is>
      </c>
      <c r="D5" s="114" t="inlineStr">
        <is>
          <t>پنجره از ۴ اوت ۲۰۲۶ باز است و ۶ اکتبر بسته می‌شود؛
ایران در فهرست کشورهاست.
شرایط: ۲,۸۰۰ ساعت سابقهٔ کار (≈ ۲ سال؛ کار «کارشناس کامپیوتر» + Unity شما احتمالاً کافی است — ساعت‌ها را جمع بزنید)، کارشناسی تمام‌شده، ۳ برنامهٔ ارشد بریتانیا در فرم، پیشنهاد بدون شرط تا ۸ ژوئیه ۲۰۲۷، مصاحبه مارس–آوریل، نتیجه اواسط ژوئن ۲۰۲۷. ⚠️ تعهد بازگشت به ایران برای ۲ سال بعد از مدرک — با هدف مهاجرت نمی‌خواند؛
فقط اگر این شرط را می‌پذیرید همین هفته اقدام کنید.</t>
        </is>
      </c>
      <c r="E5" s="146" t="inlineStr">
        <is>
          <t>chevening.org/scholarships/application-timeline (رسمی)</t>
        </is>
      </c>
    </row>
    <row r="6">
      <c r="A6" s="24" t="inlineStr">
        <is>
          <t>۵ اکتبر ۲۰۲۶</t>
        </is>
      </c>
      <c r="B6" s="69" t="inlineStr">
        <is>
          <t>باز شدن درخواست Liverpool (Russell Group، پذیرش 2:2)</t>
        </is>
      </c>
      <c r="C6" s="151" t="inlineStr">
        <is>
          <t>انگلستان</t>
        </is>
      </c>
      <c r="D6" s="63" t="inlineStr">
        <is>
          <t>MSc Advanced Computer Science / Data Science &amp; AI؛
مهلت بین‌المللی ۲۳ اوت ۲۰۲۷ ولی برای خوابگاه و بورس زود بفرستید؛
متقاضیان ایران باید «فرم درخواست جایگزین» (تحریم) را از صفحهٔ دانشگاه بگیرند. Manchester (دورهای ≈ ۸ نوامبر / ژانویه / فوریه / می)، Newcastle/York/Sheffield/Exeter rolling — همه فقط اگر مسیر بورس را می‌روید (گام ۱ ❌ بدون بورس).</t>
        </is>
      </c>
      <c r="E6" s="106" t="inlineStr">
        <is>
          <t>liverpool.ac.uk/courses/advanced-computer-science-msc؛
manchester.ac.uk</t>
        </is>
      </c>
    </row>
    <row r="7">
      <c r="A7" s="24" t="inlineStr">
        <is>
          <t>۱۵–۱۶ اکتبر ۲۰۲۶</t>
        </is>
      </c>
      <c r="B7" s="114" t="inlineStr">
        <is>
          <t>باز شدن پورتال‌ها</t>
        </is>
      </c>
      <c r="C7" s="152" t="inlineStr">
        <is>
          <t>هلند، سوئد</t>
        </is>
      </c>
      <c r="D7" s="114"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7" s="146" t="inlineStr">
        <is>
          <t>utwente.nl؛
universityadmissions.se؛
سایت دانشگاه‌های سوئیس</t>
        </is>
      </c>
    </row>
    <row r="8">
      <c r="A8" s="24" t="inlineStr">
        <is>
          <t>۱ – ۳۰ نوامبر ۲۰۲۶</t>
        </is>
      </c>
      <c r="B8" s="150" t="inlineStr">
        <is>
          <t>⛔ پنجرهٔ ETH Zürich (تنها فرصت سال — Reach)</t>
        </is>
      </c>
      <c r="C8" s="153" t="inlineStr">
        <is>
          <t>سوئیس</t>
        </is>
      </c>
      <c r="D8" s="69"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8" s="106" t="inlineStr">
        <is>
          <t>ethz.ch/en/studies/master/application/dates.html</t>
        </is>
      </c>
    </row>
    <row r="9">
      <c r="A9" s="24" t="inlineStr">
        <is>
          <t>نوامبر ۲۰۲۶</t>
        </is>
      </c>
      <c r="B9" s="113" t="inlineStr">
        <is>
          <t>VPD از uni-assist</t>
        </is>
      </c>
      <c r="C9" s="154" t="inlineStr">
        <is>
          <t>آلمان</t>
        </is>
      </c>
      <c r="D9" s="114" t="inlineStr">
        <is>
          <t>برای TU Darmstadt، TU Dresden، Saarland، RPTU، Chemnitz، OVGU و Passau (uni-assist) ۴–۶ هفته زمان و $85 هزینه؛
Stuttgart مستقیم در C@MPUS اپلای می‌گیرد (۱۵ نوامبر – ۱۵ ژانویه).</t>
        </is>
      </c>
      <c r="E9" s="146" t="inlineStr">
        <is>
          <t>uni-assist.de؛ uni-stuttgart.de</t>
        </is>
      </c>
    </row>
    <row r="10">
      <c r="A10" s="24" t="inlineStr">
        <is>
          <t>نوامبر – اوایل دسامبر ۲۰۲۶</t>
        </is>
      </c>
      <c r="B10" s="69" t="inlineStr">
        <is>
          <t>آزمون IELTS</t>
        </is>
      </c>
      <c r="C10" s="69" t="inlineStr">
        <is>
          <t>همه</t>
        </is>
      </c>
      <c r="D10" s="69" t="inlineStr">
        <is>
          <t>نتیجه باید تا اوایل ژانویه ۲۰۲۷ در دست باشد (سوئد، دانمارک، Stuttgart).
یک تاریخ ذخیره در دسامبر رزرو کنید.</t>
        </is>
      </c>
      <c r="E10" s="105" t="inlineStr">
        <is>
          <t>—</t>
        </is>
      </c>
    </row>
    <row r="11">
      <c r="A11" s="24" t="inlineStr">
        <is>
          <t>نوامبر – دسامبر ۲۰۲۶</t>
        </is>
      </c>
      <c r="B11" s="114" t="inlineStr">
        <is>
          <t>ایمیل به استادان راهنما (MSc پایان‌نامه‌ای کانادا)</t>
        </is>
      </c>
      <c r="C11" s="155" t="inlineStr">
        <is>
          <t>کانادا</t>
        </is>
      </c>
      <c r="D11" s="114" t="inlineStr">
        <is>
          <t>برای Memorial / Manitoba / USask / Regina / Alberta / Calgary / UVic / Carleton / Dalhousie / Ontario Tech / Waterloo پذیرش پایان‌نامه‌ای عملاً به «بلهٔ» یک استاد وابسته است (برای Dalhousie / Ontario Tech / Waterloo باید «بله» با نامهٔ فاندینگ باشد وگرنه گام ۱ ❌): ۱۵–۲۵ ایمیل کوتاه با CV، ریزنمرات (معدل کل ۱۵.۷۷ + دو سال آخر ۱۶.۹۲ + سال آخر ۱۷.۰۳ — گواهی رسمی سمنان بگیرید)، GitHub و ۲–۳ جمله دربارهٔ مقاله/پروژهٔ همان استاد؛
نرخ پاسخ ۱۰–۲۰٪؛
WES برای دانشگاه لازم نیست (فقط بعداً برای Express Entry، ۱۸–۲۰ هفته)؛
کارمزد درخواست $70–95 هر دانشگاه</t>
        </is>
      </c>
      <c r="E11" s="149" t="inlineStr">
        <is>
          <t>صفحه‌های گروه‌های CS؛ FAQ رسمی Alberta</t>
        </is>
      </c>
    </row>
    <row r="12">
      <c r="A12" s="24" t="inlineStr">
        <is>
          <t>۱۵ دسامبر ۲۰۲۶</t>
        </is>
      </c>
      <c r="B12" s="150" t="inlineStr">
        <is>
          <t>⛔ مهلت Alberta Computing Science (فاندینگ)
≈ UVic بین‌المللی
≈ ۱ دسامبر Toronto MScAC</t>
        </is>
      </c>
      <c r="C12" s="155" t="inlineStr">
        <is>
          <t>کانادا</t>
        </is>
      </c>
      <c r="D12" s="63" t="inlineStr">
        <is>
          <t>Alberta: ارزیابی و فاندینگ از ۱۵ دسامبر شروع می‌شود، درخواست تا ۱۵ ژانویه پذیرفته می‌شود؛
UVic و MScAC را با صفحهٔ گروه چک کنید (تاریخ ≈)</t>
        </is>
      </c>
      <c r="E12" s="106" t="inlineStr">
        <is>
          <t>ualberta.ca FAQ؛ mscac.utoronto.ca/apply</t>
        </is>
      </c>
    </row>
    <row r="13">
      <c r="A13" s="24" t="inlineStr">
        <is>
          <t>۱۵ دسامبر ۲۰۲۶</t>
        </is>
      </c>
      <c r="B13" s="114" t="inlineStr">
        <is>
          <t>دور اول EPFL (توصیه برای ویزایی‌ها — Reach)</t>
        </is>
      </c>
      <c r="C13" s="153" t="inlineStr">
        <is>
          <t>سوئیس</t>
        </is>
      </c>
      <c r="D13" s="114"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13" s="146" t="inlineStr">
        <is>
          <t>epfl.ch (online application)</t>
        </is>
      </c>
    </row>
    <row r="14">
      <c r="A14" s="24" t="inlineStr">
        <is>
          <t>۷ دسامبر ۲۰۲۶ – ۵ ژانویه ۲۰۲۷</t>
        </is>
      </c>
      <c r="B14" s="69" t="inlineStr">
        <is>
          <t>پنجرهٔ Aalto (فنلاند — فقط اگر بورس Reach را می‌خواهید)</t>
        </is>
      </c>
      <c r="C14" s="156" t="inlineStr">
        <is>
          <t>فنلاند</t>
        </is>
      </c>
      <c r="D14" s="63" t="inlineStr">
        <is>
          <t>Aalto (CS / ML-DS-AI / SECCLO / Game Design &amp; Development؛ $19,400) درخواست جدا در studyinfo.fi؛
گام ۱ ❌ بدون بورس. University of Helsinki (CS / Data Science؛ $17,100) ۵–۱۹ ژانویه ۲۰۲۷ — همین‌طور خارج بودجه.</t>
        </is>
      </c>
      <c r="E14" s="106" t="inlineStr">
        <is>
          <t>aalto.fi/en/admissions؛
helsinki.fi (صفحهٔ برنامه)</t>
        </is>
      </c>
    </row>
    <row r="15">
      <c r="A15" s="24" t="inlineStr">
        <is>
          <t>اواسط دسامبر ۲۰۲۶</t>
        </is>
      </c>
      <c r="B15" s="114" t="inlineStr">
        <is>
          <t>پورتال AAU باز می‌شود</t>
        </is>
      </c>
      <c r="C15" s="157" t="inlineStr">
        <is>
          <t>دانمارک</t>
        </is>
      </c>
      <c r="D15" s="114" t="inlineStr">
        <is>
          <t>برای شهریه‌پردازها مهلت ۱۵ ژانویه است (۱ مارس فقط برای EU).</t>
        </is>
      </c>
      <c r="E15" s="146" t="inlineStr">
        <is>
          <t>en.aau.dk/how-and-when-to-apply</t>
        </is>
      </c>
    </row>
    <row r="16">
      <c r="A16" s="24" t="inlineStr">
        <is>
          <t>۱۵ ژانویه ۲۰۲۷</t>
        </is>
      </c>
      <c r="B16" s="150" t="inlineStr">
        <is>
          <t>⛔ مهلت اصلی ۱: سوئد + دانمارک + Stuttgart</t>
        </is>
      </c>
      <c r="C16" s="154" t="inlineStr">
        <is>
          <t>سوئد، دانمارک، آلمان</t>
        </is>
      </c>
      <c r="D16" s="69" t="inlineStr">
        <is>
          <t>سوئد (همهٔ دانشگاه‌ها: Linköping، Halmstad، BTH، Chalmers، KTH، Uppsala، Umeå، Skövde)؛
AAU (fee-paying)، Aarhus، DTU (الگوی ۱۵ ژانویه برای غیر-EU)؛
Stuttgart MSc Computer Science / INFOTECH.</t>
        </is>
      </c>
      <c r="E16" s="106" t="inlineStr">
        <is>
          <t>umu.se و uu.se key dates؛
en.aau.dk؛
uni-stuttgart.de</t>
        </is>
      </c>
    </row>
    <row r="17">
      <c r="A17" s="24" t="inlineStr">
        <is>
          <t>۷ – ۲۱ ژانویه ۲۰۲۷</t>
        </is>
      </c>
      <c r="B17" s="150" t="inlineStr">
        <is>
          <t>⛔ درخواست مشترک فنلاند (Tampere / Oulu / Turku / LUT)</t>
        </is>
      </c>
      <c r="C17" s="156" t="inlineStr">
        <is>
          <t>فنلاند</t>
        </is>
      </c>
      <c r="D17" s="114" t="inlineStr">
        <is>
          <t>یک فرم در studyinfo.fi برای تا ۶ برنامه به ترتیب اولویت (کارمزد $115)؛
مدارک (ریزنمرات، مدرک، IELTS 6.5) تا ≈ ۲۸ ژانویه؛
نتایج اواخر مارس – اوایل آوریل؛
پذیرش را باید تا ≈ ۱۵ ژوئیه قبول کنید، ولی Early-bird (Tampere/Turku −$2,280) فقط با پرداخت شهریه ظرف ≈ ۲۸ روز بعد از نتیجه → پول شهریهٔ سال اول باید آوریل–می ۲۰۲۷ قابل انتقال باشد.</t>
        </is>
      </c>
      <c r="E17" s="146" t="inlineStr">
        <is>
          <t>oulu.fi (۰۷.۰۱–۲۱.۰۱.۲۰۲۷)؛
utu.fi (ژانویه ۲۰۲۷)؛
studyinfo.fi</t>
        </is>
      </c>
    </row>
    <row r="18">
      <c r="A18" s="24" t="inlineStr">
        <is>
          <t>ژانویه – فوریه ۲۰۲۷</t>
        </is>
      </c>
      <c r="B18" s="69" t="inlineStr">
        <is>
          <t>مهلت‌های Calgary / Manitoba / USask / Memorial / Carleton / Dalhousie (≈ ۳۱ ژانویه) / Waterloo (≈ ۱ فوریه) / Regina و Ontario Tech (≈ فوریه–آوریل) (≈ — با صفحهٔ گروه چک شود)</t>
        </is>
      </c>
      <c r="C18" s="155" t="inlineStr">
        <is>
          <t>کانادا</t>
        </is>
      </c>
      <c r="D18" s="69" t="inlineStr">
        <is>
          <t>بیشتر گروه‌های CS کانادا برای پاییز بین ۱ ژانویه تا ۱ فوریه می‌بندند (Manitoba/USask/Memorial گاهی تا فوریه–مارس ولی فاندینگ زودتر تمام می‌شود)؛
Windsor MAC rolling تا ≈ مارس–آوریل ولی زود پر می‌شود؛
تا این‌جا باید دست‌کم یک استاد «بله» گفته باشد</t>
        </is>
      </c>
      <c r="E18" s="105" t="inlineStr">
        <is>
          <t>صفحه‌های گروه‌ها</t>
        </is>
      </c>
    </row>
    <row r="19">
      <c r="A19" s="24" t="inlineStr">
        <is>
          <t>۳۱ ژانویه ۲۰۲۷</t>
        </is>
      </c>
      <c r="B19" s="114" t="inlineStr">
        <is>
          <t>مهلت بورس Radboud</t>
        </is>
      </c>
      <c r="C19" s="158" t="inlineStr">
        <is>
          <t>هلند</t>
        </is>
      </c>
      <c r="D19" s="113" t="inlineStr">
        <is>
          <t>Radboud Scholarship Programme (≈۳۳ نفر؛ شهریه به $3,070 می‌رسد) — اپلای اصلی هم باید تا این تاریخ کامل باشد.</t>
        </is>
      </c>
      <c r="E19" s="146" t="inlineStr">
        <is>
          <t>ru.nl deadlines</t>
        </is>
      </c>
    </row>
    <row r="20">
      <c r="A20" s="24" t="inlineStr">
        <is>
          <t>۱ فوریه ۲۰۲۷</t>
        </is>
      </c>
      <c r="B20" s="150" t="inlineStr">
        <is>
          <t>⛔ مهلت اصلی ۲</t>
        </is>
      </c>
      <c r="C20" s="158" t="inlineStr">
        <is>
          <t>سوئد، دانمارک، هلند</t>
        </is>
      </c>
      <c r="D20" s="69" t="inlineStr">
        <is>
          <t>سوئد: مدارک + $91 روی universityadmissions.se؛
SDU (غیر-EU)؛
Twente: برای بورس UTS (۱ آوریل) اپلای را تا اوایل فوریه بفرستید.</t>
        </is>
      </c>
      <c r="E20" s="106" t="inlineStr">
        <is>
          <t>universityadmissions.se؛
sdu.dk/datalogi؛
utwente.nl</t>
        </is>
      </c>
    </row>
    <row r="21">
      <c r="A21" s="24" t="inlineStr">
        <is>
          <t>۲۸ فوریه ۲۰۲۷</t>
        </is>
      </c>
      <c r="B21" s="150" t="inlineStr">
        <is>
          <t>⛔ مهلت ویزایی‌ها: UZH و Fribourg</t>
        </is>
      </c>
      <c r="C21" s="153" t="inlineStr">
        <is>
          <t>سوئیس</t>
        </is>
      </c>
      <c r="D21" s="113" t="inlineStr">
        <is>
          <t>UZH (MSc Informatics — Reach) و Fribourg (Joint MSc CS — Target) برای متقاضیانی که ویزا لازم دارند ۲۸ فوریه می‌بندند (بدون ویزا ۳۰ آوریل). UZH: $180، فقط یک برنامه در هر ترم.</t>
        </is>
      </c>
      <c r="E21" s="146" t="inlineStr">
        <is>
          <t>oec.uzh.ch (FAQ Master's Admission)؛
mastersportal/unifr.ch</t>
        </is>
      </c>
    </row>
    <row r="22">
      <c r="A22" s="24" t="inlineStr">
        <is>
          <t>فوریه – مارس ۲۰۲۷</t>
        </is>
      </c>
      <c r="B22" s="69" t="inlineStr">
        <is>
          <t>اپلای انگلستان + پرونده‌های سوئیس</t>
        </is>
      </c>
      <c r="C22" s="153" t="inlineStr">
        <is>
          <t>انگلستان، سوئیس</t>
        </is>
      </c>
      <c r="D22" s="69" t="inlineStr">
        <is>
          <t>انگلستان (فقط Russell Group): Liverpool از ۵ اکتبر ۲۰۲۶ باز است (مهلت ۲۳ اوت ۲۰۲۷، فرم جایگزین ایران)، Manchester دورهای ≈ نوامبر/ژانویه/فوریه، Newcastle/York/Sheffield rolling — زود اپلای کنید: بورس‌های Newcastle (VC Excellence تا ۸ ژوئن) و ظرفیت‌ها زود پر می‌شوند؛
Exeter Excellence بعد از پیشنهاد.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22" s="105" t="inlineStr">
        <is>
          <t>سایت دانشگاه‌ها</t>
        </is>
      </c>
    </row>
    <row r="23">
      <c r="A23" s="24" t="inlineStr">
        <is>
          <t>۳۰ مارس – ۱ آوریل ۲۰۲۷</t>
        </is>
      </c>
      <c r="B23" s="114" t="inlineStr">
        <is>
          <t>نتایج سوئد</t>
        </is>
      </c>
      <c r="C23" s="152" t="inlineStr">
        <is>
          <t>سوئد</t>
        </is>
      </c>
      <c r="D23" s="114" t="inlineStr">
        <is>
          <t>پاسخ به پیشنهاد در مهلت؛
قسط اول شهریه قبل از درخواست اقامت تحصیلی.</t>
        </is>
      </c>
      <c r="E23" s="146" t="inlineStr">
        <is>
          <t>universityadmissions.se</t>
        </is>
      </c>
    </row>
    <row r="24">
      <c r="A24" s="24" t="inlineStr">
        <is>
          <t>۱ آوریل ۲۰۲۷</t>
        </is>
      </c>
      <c r="B24" s="150" t="inlineStr">
        <is>
          <t>⛔ مهلت اصلی ۳</t>
        </is>
      </c>
      <c r="C24" s="153" t="inlineStr">
        <is>
          <t>هلند، آلمان، سوئیس</t>
        </is>
      </c>
      <c r="D24" s="63"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24" s="106" t="inlineStr">
        <is>
          <t>ru.nl؛ utwente.nl؛ uni-passau.de</t>
        </is>
      </c>
    </row>
    <row r="25">
      <c r="A25" s="24" t="inlineStr">
        <is>
          <t>۱۵ آوریل ۲۰۲۷</t>
        </is>
      </c>
      <c r="B25" s="114" t="inlineStr">
        <is>
          <t>دور دوم سوئد (فقط پشتیبان)</t>
        </is>
      </c>
      <c r="C25" s="152" t="inlineStr">
        <is>
          <t>سوئد</t>
        </is>
      </c>
      <c r="D25" s="114" t="inlineStr">
        <is>
          <t>۱۵ مارس – ۱۵ آوریل؛
مدارک تا ۲۱ ژوئن؛
نتیجه ۹ ژوئیه — برای اقامت و خوابگاه دیر است.</t>
        </is>
      </c>
      <c r="E25" s="146" t="inlineStr">
        <is>
          <t>umu.se key dates</t>
        </is>
      </c>
    </row>
    <row r="26">
      <c r="A26" s="24" t="inlineStr">
        <is>
          <t>۱ می ۲۰۲۷</t>
        </is>
      </c>
      <c r="B26" s="150" t="inlineStr">
        <is>
          <t>⛔ مهلت Twente (غیر-EEA)</t>
        </is>
      </c>
      <c r="C26" s="158" t="inlineStr">
        <is>
          <t>هلند</t>
        </is>
      </c>
      <c r="D26" s="63" t="inlineStr">
        <is>
          <t>MSc Computer Science / Embedded Systems / Interaction Technology.</t>
        </is>
      </c>
      <c r="E26" s="106" t="inlineStr">
        <is>
          <t>utwente.nl (به نقل از collegedunia، اوت ۲۰۲۶)</t>
        </is>
      </c>
    </row>
    <row r="27">
      <c r="A27" s="24" t="inlineStr">
        <is>
          <t>۳۰ آوریل ۲۰۲۷</t>
        </is>
      </c>
      <c r="B27" s="150" t="inlineStr">
        <is>
          <t>⛔ مهلت اصلی سوئیس (غیر-EU)</t>
        </is>
      </c>
      <c r="C27" s="153" t="inlineStr">
        <is>
          <t>سوئیس</t>
        </is>
      </c>
      <c r="D27" s="113"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7" s="146" t="inlineStr">
        <is>
          <t>usi.ch؛
unibe.ch؛
zhaw.ch؛
eda.admin.ch/tehran</t>
        </is>
      </c>
    </row>
    <row r="28">
      <c r="A28" s="24" t="inlineStr">
        <is>
          <t>۱۵ – ۳۱ می ۲۰۲۷</t>
        </is>
      </c>
      <c r="B28" s="69" t="inlineStr">
        <is>
          <t>مهلت‌های آلمان</t>
        </is>
      </c>
      <c r="C28" s="154" t="inlineStr">
        <is>
          <t>آلمان</t>
        </is>
      </c>
      <c r="D28" s="63" t="inlineStr">
        <is>
          <t>Passau AI Eng ۳۱ می؛
بقیهٔ آلمان (TU Darmstadt، TU Dresden، Saarland، RPTU، Chemnitz، OVGU، FAU) بیشتر بین ۱۵ می تا ۱۵ ژوئیه — هر کدام را جدا چک کنید.</t>
        </is>
      </c>
      <c r="E28" s="106" t="inlineStr">
        <is>
          <t>uni-passau.de؛ سایت دانشگاه‌ها</t>
        </is>
      </c>
    </row>
    <row r="29">
      <c r="A29" s="24" t="inlineStr">
        <is>
          <t>مارس – می ۲۰۲۷</t>
        </is>
      </c>
      <c r="B29" s="114" t="inlineStr">
        <is>
          <t>پذیرش کانادا → مجوز تحصیل (ارشد بدون PAL)</t>
        </is>
      </c>
      <c r="C29" s="155" t="inlineStr">
        <is>
          <t>کانادا</t>
        </is>
      </c>
      <c r="D29" s="114" t="inlineStr">
        <is>
          <t>با نامهٔ پذیرش (LOA) فوراً آنلاین درخواست بدهید: کارمزد $105 + بیومتریک $60 (VAC آنکارا/استانبول/دبی/ایروان/تفلیس) + معاینهٔ پزشکی پزشک پنل خارج از ایران + تمکن $16,500 + شهریهٔ سال اول (حساب خارج از ایران به نام خودتان / نامهٔ فاندینگ Calgary–Alberta) + نامهٔ توضیح (SOP ویزا)؛
زمان واقعی برای ایرانی‌ها ۲۰–۳۰+ هفته → برای سپتامبر ۲۰۲۷ پرونده باید تا اواخر مارس رفته باشد؛
هم‌زمان از دانشگاه «deferral به ژانویه ۲۰۲۸» را کتباً بگیرید</t>
        </is>
      </c>
      <c r="E29" s="146" t="inlineStr">
        <is>
          <t>canada.ca (study permit، financial support، processing times)</t>
        </is>
      </c>
    </row>
    <row r="30">
      <c r="A30" s="24" t="inlineStr">
        <is>
          <t>می – ژوئن ۲۰۲۷</t>
        </is>
      </c>
      <c r="B30" s="69" t="inlineStr">
        <is>
          <t>💰 پول باید نقد و قابل انتقال باشد</t>
        </is>
      </c>
      <c r="C30" s="69" t="inlineStr">
        <is>
          <t>همه</t>
        </is>
      </c>
      <c r="D30" s="63"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30" s="105" t="inlineStr">
        <is>
          <t>ردیف ۲۵ جدول اصلی</t>
        </is>
      </c>
    </row>
    <row r="31">
      <c r="A31" s="24" t="inlineStr">
        <is>
          <t>آوریل – ژوئن ۲۰۲۷</t>
        </is>
      </c>
      <c r="B31" s="114" t="inlineStr">
        <is>
          <t>مجوز اقامت تحصیلی فنلاند (اگر پذیرش گرفتید)</t>
        </is>
      </c>
      <c r="C31" s="156" t="inlineStr">
        <is>
          <t>فنلاند</t>
        </is>
      </c>
      <c r="D31" s="114" t="inlineStr">
        <is>
          <t>بعد از پرداخت شهریهٔ سال اول: درخواست آنلاین در Enter Finland ($685) + بیمهٔ درمانی ≥ $45,600 + گردش ۶ ماههٔ حساب به نام خودتان با ≥ $10,900 → بیومتریک در VFS تهران (اولویت دانشجویان) یا سفارت (نوبت الکترونیکی) → معمولاً ۱–۲ ماه → ویزای D ($110) برای ورود؛
مجوز برای کل دوره. ⚠️ پول تمکن را از دی/بهمن ۱۴۰۵ در حساب خودتان نگه دارید تا گردش ۶ ماهه داشته باشد.</t>
        </is>
      </c>
      <c r="E31" s="146" t="inlineStr">
        <is>
          <t>migri.fi؛
finlandabroad.fi/web/irn (ژوئن ۲۰۲۶)</t>
        </is>
      </c>
    </row>
    <row r="32">
      <c r="A32" s="24" t="inlineStr">
        <is>
          <t>۸ ژوئن ۲۰۲۷</t>
        </is>
      </c>
      <c r="B32" s="69" t="inlineStr">
        <is>
          <t>مهلت بورس VC Excellence نیوکاسل (تا ۵۰٪ شهریه)</t>
        </is>
      </c>
      <c r="C32" s="151" t="inlineStr">
        <is>
          <t>انگلستان</t>
        </is>
      </c>
      <c r="D32" s="69" t="inlineStr">
        <is>
          <t>درخواست جدا در پورتال Newcastle بعد از پیشنهاد؛
فهرست کشوری ۲۰۲۵ ایران را نداشت — فهرست ۲۰۲۷ را چک کنید. VC International $10,600 خودکار است: پذیرش را قبول و ودیعه را تا ۲ اوت ۲۰۲۷ بپردازید. Exeter Excellence ($4k/$6.6k/$13k): درخواست بعد از پیشنهاد، معمولاً بهار ۲۰۲۷. Southampton Spärck AI: مهلت جدا (بهار؛ چک شود).</t>
        </is>
      </c>
      <c r="E32" s="106" t="inlineStr">
        <is>
          <t>ncl.ac.uk/study/global-scholarships (رسمی)؛
exeter.ac.uk؛
southampton.ac.uk</t>
        </is>
      </c>
    </row>
    <row r="33">
      <c r="A33" s="24" t="inlineStr">
        <is>
          <t>۳۰ ژوئیه / ۲۳ اوت ۲۰۲۷</t>
        </is>
      </c>
      <c r="B33" s="114" t="inlineStr">
        <is>
          <t>آخرین مهلت‌های Russell Group برای بین‌المللی‌ها</t>
        </is>
      </c>
      <c r="C33" s="151" t="inlineStr">
        <is>
          <t>انگلستان</t>
        </is>
      </c>
      <c r="D33" s="113" t="inlineStr">
        <is>
          <t>Leeds ۳۰ ژوئیه ۲۰۲۷
Liverpool ۲۳ اوت ۲۰۲۷
بقیه rolling ولی CAS + ویزا + VFS تهران دست‌کم ۸ هفته می‌خواهد → عملاً تا خرداد/ژوئن باید پذیرش و پول (شهریهٔ سال + ۹ × $1,590 به مدت ۲۸ روز) آماده باشد.</t>
        </is>
      </c>
      <c r="E33" s="146" t="inlineStr">
        <is>
          <t>courses.leeds.ac.uk؛ liverpool.ac.uk؛ gov.uk</t>
        </is>
      </c>
    </row>
    <row r="34">
      <c r="A34" s="24" t="inlineStr">
        <is>
          <t>۱ ژوئن ۲۰۲۷</t>
        </is>
      </c>
      <c r="B34" s="69" t="inlineStr">
        <is>
          <t>مهلت ثبت‌نام/ویزای Radboud</t>
        </is>
      </c>
      <c r="C34" s="158" t="inlineStr">
        <is>
          <t>هلند</t>
        </is>
      </c>
      <c r="D34" s="69" t="inlineStr">
        <is>
          <t>برای شروع سپتامبر (غیر-EU)؛
درخواست MVV را دانشگاه از طرف شما به IND می‌دهد.</t>
        </is>
      </c>
      <c r="E34" s="106" t="inlineStr">
        <is>
          <t>ru.nl deadlines</t>
        </is>
      </c>
    </row>
    <row r="35">
      <c r="A35" s="24" t="inlineStr">
        <is>
          <t>ژوئن – ژوئیه ۲۰۲۷</t>
        </is>
      </c>
      <c r="B35" s="114" t="inlineStr">
        <is>
          <t>🛂 ویزا / برنامهٔ B</t>
        </is>
      </c>
      <c r="C35" s="69" t="inlineStr">
        <is>
          <t>همه</t>
        </is>
      </c>
      <c r="D35" s="114"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35" s="149" t="inlineStr">
        <is>
          <t>ردیف ۲۳ جدول اصلی</t>
        </is>
      </c>
    </row>
    <row r="36">
      <c r="A36" s="24" t="inlineStr">
        <is>
          <t>ژوئیه ۲۰۲۷</t>
        </is>
      </c>
      <c r="B36" s="69" t="inlineStr">
        <is>
          <t>خوابگاه</t>
        </is>
      </c>
      <c r="C36" s="69" t="inlineStr">
        <is>
          <t>همه</t>
        </is>
      </c>
      <c r="D36" s="63" t="inlineStr">
        <is>
          <t>Twente/Radboud اتاق رزروشده برای بین‌المللی‌ها (مهلت‌دار)؛
Linköping یک پیشنهاد اتاق برای شهریه‌پردازها؛
آلمان لیست Studierendenwerk بلافاصله بعد از پذیرش؛
انگلستان: York تا ۳۱ ژوئیه و Manchester تا ۳۱ اوت تضمین، بقیهٔ RG معمولاً با درخواست به‌موقع، Durham/لندن بدون تضمین؛
سوئیس: WOKO/Juwo زوریخ و FMEL لوزان لیست انتظار طولانی — روز پذیرش ثبت‌نام کنید؛
Lugano/Fribourg/Neuchâtel/Bern/Lucerne آسان‌تر.</t>
        </is>
      </c>
      <c r="E36" s="105" t="inlineStr">
        <is>
          <t>ردیف‌های ۹–۱۰ جدول اصلی</t>
        </is>
      </c>
    </row>
    <row r="37">
      <c r="A37" s="24" t="inlineStr">
        <is>
          <t>اوت – اکتبر ۲۰۲۷</t>
        </is>
      </c>
      <c r="B37" s="114" t="inlineStr">
        <is>
          <t>شروع</t>
        </is>
      </c>
      <c r="C37" s="69" t="inlineStr">
        <is>
          <t>همه</t>
        </is>
      </c>
      <c r="D37" s="114" t="inlineStr">
        <is>
          <t>فنلاند اواخر اوت (هفتهٔ آشنایی ≈ ۲۵ اوت)؛
کانادا اوایل سپتامبر (ترم پاییز؛ ورود تا ۲ هفته زودتر برای خوابگاه/بانک/SIN)؛
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37" s="149" t="inlineStr">
        <is>
          <t>—</t>
        </is>
      </c>
    </row>
    <row r="38"/>
    <row r="39" ht="122" customHeight="1">
      <c r="A39" s="148"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39:E39"/>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4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59" t="inlineStr">
        <is>
          <t>آلمان</t>
        </is>
      </c>
      <c r="B2" s="63" t="inlineStr">
        <is>
          <t>Studierendenwerk (نهاد عمومی هر شهر)؛
خودِ دانشگاه خوابگاه ندارد.
۱,۷۰۰ خوابگاه / ≈ ۱۹۶ هزار جا در کل کشور</t>
        </is>
      </c>
      <c r="C2" s="47"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7" t="inlineStr">
        <is>
          <t>❌ جدا (شهریه‌ای هم نیست)</t>
        </is>
      </c>
      <c r="E2" s="69" t="inlineStr">
        <is>
          <t>میانگین ملی ≈ $350–375 با همهٔ قبوض (DSW)
Stuttgart میانگین $395 (بازهٔ $260–570)
شرق آلمان $250–375</t>
        </is>
      </c>
      <c r="F2" s="47" t="inlineStr">
        <is>
          <t>❌ بدون غذا؛ Mensa ناهار $3–6</t>
        </is>
      </c>
      <c r="G2" s="69" t="inlineStr">
        <is>
          <t>اتاق در WG: Stuttgart/Darmstadt/Aachen/Erlangen $515–800
Dresden/Chemnitz/Magdeburg/Passau/Saarbrücken $320–515
آپارتمان یک‌خوابه $685–1,140</t>
        </is>
      </c>
      <c r="H2" s="69"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106" t="inlineStr">
        <is>
          <t>studierendenwerke.de؛
studierendenwerk-stuttgart.de؛
hdm-stuttgart.de</t>
        </is>
      </c>
    </row>
    <row r="3">
      <c r="A3" s="160" t="inlineStr">
        <is>
          <t>هلند</t>
        </is>
      </c>
      <c r="B3" s="69" t="inlineStr">
        <is>
          <t>دانشگاه‌ها خوابگاه ندارند؛
با شرکت‌های مسکن دانشجویی (SSH، Roomspot/De Veste، Vestide، Plaza) تعدادی اتاق «رزرو» می‌کنند</t>
        </is>
      </c>
      <c r="C3" s="47"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7" t="inlineStr">
        <is>
          <t>❌ جدا</t>
        </is>
      </c>
      <c r="E3" s="113" t="inlineStr">
        <is>
          <t>Enschede/Nijmegen $420–740
Eindhoven/Utrecht $570–990 (Utrecht Plaza: $990 با قبوض)
Amsterdam/Delft/Leiden $800–1,250</t>
        </is>
      </c>
      <c r="F3" s="47" t="inlineStr">
        <is>
          <t>❌</t>
        </is>
      </c>
      <c r="G3" s="114" t="inlineStr">
        <is>
          <t>اتاق $570–1,030
استودیو $1,030–1,600
بحران ملی مسکن؛
بدون اتاق ثبت‌نام BSN و بانک هم گیر می‌کند</t>
        </is>
      </c>
      <c r="H3" s="114" t="inlineStr">
        <is>
          <t>بعضی ارائه‌دهنده‌ها ۳ ماه اجاره پیش می‌گیرند
ودیعه ۱–۲ ماه (Utrecht: $1,490)
قرارداد ۱۲ ماههٔ غیرقابل فسخ
کلاهبرداری آنلاین زیاد: فقط از کانال دانشگاه/SSH</t>
        </is>
      </c>
      <c r="I3" s="146" t="inlineStr">
        <is>
          <t>ru.nl؛ sshn.nl؛ uu.nl؛ utwente.nl (issuu)</t>
        </is>
      </c>
    </row>
    <row r="4">
      <c r="A4" s="161" t="inlineStr">
        <is>
          <t>سوئد</t>
        </is>
      </c>
      <c r="B4" s="69" t="inlineStr">
        <is>
          <t>شرکت‌های مسکن دانشجویی/شهرداری (SGS گوتنبرگ، SSSB استکهلم، Studentbostäder لینشوپینگ…)؛
بعضی دانشگاه‌ها برای «شهریه‌پردازها» سهمیه دارند</t>
        </is>
      </c>
      <c r="C4" s="59"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7" t="inlineStr">
        <is>
          <t>❌ جدا</t>
        </is>
      </c>
      <c r="E4" s="69" t="inlineStr">
        <is>
          <t>اتاق کریدوری $355–655 (Stockholm $455–810؛ Linköping/Halmstad/Västerås/Karlskrona/Skövde ارزان‌تر)</t>
        </is>
      </c>
      <c r="F4" s="47" t="inlineStr">
        <is>
          <t>❌</t>
        </is>
      </c>
      <c r="G4" s="69" t="inlineStr">
        <is>
          <t>اتاق $505–810
آپارتمان کوچک $810–1,310
در استکهلم/گوتنبرگ بدون صف چندساله تقریباً غیرممکن</t>
        </is>
      </c>
      <c r="H4" s="69" t="inlineStr">
        <is>
          <t>بدون شمارهٔ ملی (personnummer) اجارهٔ خصوصی سخت است؛
اجارهٔ دست‌دوم (andrahand) رایج و پرکلاهبرداری
ودیعه معمولاً ۱ ماه</t>
        </is>
      </c>
      <c r="I4" s="106" t="inlineStr">
        <is>
          <t>uu.se؛ liu.se؛ hh.se؛ su.se</t>
        </is>
      </c>
    </row>
    <row r="5">
      <c r="A5" s="162" t="inlineStr">
        <is>
          <t>دانمارک</t>
        </is>
      </c>
      <c r="B5" s="69" t="inlineStr">
        <is>
          <t>دفتر مسکن بین‌الملل دانشگاه (AAU، SDU، AU) + خوابگاه‌های kollegium و شرکت‌های عمومی (KKIK/CIU در کپنهاگ)</t>
        </is>
      </c>
      <c r="C5" s="113" t="inlineStr">
        <is>
          <t>AAU Aalborg: «تقریباً ۱۰۰٪» (دفتر مسکن بین‌الملل، ۲۲۰+ واحد مبله)
AAU Copenhagen: ❌ صریحاً «بدون تضمین»
SDU Odense: کمک، بدون تضمین
ITU/DTU/KU کپنهاگ: ❌</t>
        </is>
      </c>
      <c r="D5" s="47" t="inlineStr">
        <is>
          <t>❌ جدا</t>
        </is>
      </c>
      <c r="E5" s="113" t="inlineStr">
        <is>
          <t>Aalborg $490–720 (میانگین $605؛ اینترنت/آب/گرمایش/برق داخل)
Odense $535–840
Copenhagen $535–915 (KKIK/CIU) تا $765–1,370 (خوابگاه خصوصی/co-living)</t>
        </is>
      </c>
      <c r="F5" s="47" t="inlineStr">
        <is>
          <t>❌</t>
        </is>
      </c>
      <c r="G5" s="113" t="inlineStr">
        <is>
          <t>Aalborg/Odense اتاق $535–765
Copenhagen آپارتمان از $1,070+</t>
        </is>
      </c>
      <c r="H5" s="113" t="inlineStr">
        <is>
          <t>AAU اجاره را سه‌ماهه می‌گیرد
ودیعه تا ۳ ماه
کمک‌هزینهٔ مسکن دولتی برای دانشجوی بین‌المللی ممنوع (گرفتنش = لغو اقامت)</t>
        </is>
      </c>
      <c r="I5" s="146" t="inlineStr">
        <is>
          <t>en.aau.dk؛ sdu.dk</t>
        </is>
      </c>
    </row>
    <row r="6">
      <c r="A6" s="163" t="inlineStr">
        <is>
          <t>سوئیس</t>
        </is>
      </c>
      <c r="B6" s="69" t="inlineStr">
        <is>
          <t>تعاونی‌های خوابگاه (WOKO/Juwo زوریخ، FMEL لوزان، خوابگاه‌های USI لوگانو، WoVe بازل، StuWo برن…)؛
دانشگاه فقط معرفی می‌کند</t>
        </is>
      </c>
      <c r="C6" s="47" t="inlineStr">
        <is>
          <t>❌ هیچ‌جا.
زوریخ لیست انتظار ۳–۱۲ ماه — روز پذیرش ثبت‌نام کنید
لوزان FMEL زود پر می‌شود
لوگانو/فریبورگ/نوشاتل/برن/لوسرن آسان‌تر</t>
        </is>
      </c>
      <c r="D6" s="47" t="inlineStr">
        <is>
          <t>❌ جدا</t>
        </is>
      </c>
      <c r="E6" s="63" t="inlineStr">
        <is>
          <t>WOKO زوریخ $580–1,090
FMEL ≈ $605–1,090
USI/Bern/Fribourg/Neuchâtel/Luzern ≈ $545–970</t>
        </is>
      </c>
      <c r="F6" s="164" t="inlineStr">
        <is>
          <t>❌ (Mensa ناهار $8–15)</t>
        </is>
      </c>
      <c r="G6" s="69" t="inlineStr">
        <is>
          <t>اتاق در WG: زوریخ $845–1,450، بقیه $725–1,090
استودیو $1,450–2,180</t>
        </is>
      </c>
      <c r="H6" s="69" t="inlineStr">
        <is>
          <t>ودیعهٔ ۲–۳ ماه
اجارهٔ خصوصی زوریخ اغلب گواهی عدم بدهی (Betreibungsauszug) + ضامن یا بیمهٔ ودیعه می‌خواهد
اجازهٔ اقامت به آدرس ثبت‌شده وابسته است</t>
        </is>
      </c>
      <c r="I6" s="106" t="inlineStr">
        <is>
          <t>woko.ch؛
fmel.ch؛
برآوردهای ردیف ۱۰ جدول اصلی</t>
        </is>
      </c>
    </row>
    <row r="7">
      <c r="A7" s="165" t="inlineStr">
        <is>
          <t>انگلستان</t>
        </is>
      </c>
      <c r="B7" s="69" t="inlineStr">
        <is>
          <t>خودِ دانشگاه (halls) + خوابگاه‌های خصوصی PBSA (Unite، iQ، Student Roost…)</t>
        </is>
      </c>
      <c r="C7" s="65" t="inlineStr">
        <is>
          <t>✅ (فقط Russell Group) York — ارشد، تا ۳۱ ژوئیه
Manchester — هر PG بین‌المللی، کل دوره، تا ۳۱ اوت
Liverpool/Sheffield/Leeds/Newcastle/Birmingham/Nottingham/Southampton/Exeter: برای ارشد بین‌المللیِ به‌موقع معمولاً بله (مهلت‌ها ژوئن–اوت؛ تأیید کنید)
❌ Imperial، UCL، KCL، QMUL (PG بدون تضمین)، Durham (کالج‌ها برای PG بدون تضمین)، Warwick محدود</t>
        </is>
      </c>
      <c r="D7" s="47" t="inlineStr">
        <is>
          <t>❌ همیشه جدا؛
قرارداد ۴۰–۵۱ هفته؛
قبوض و اینترنت داخل</t>
        </is>
      </c>
      <c r="E7" s="114" t="inlineStr">
        <is>
          <t>رسمی 2026/27: Newcastle $155–320
Sheffield PG $240–275
York $245–295 (۵۱ هفته = $12.6–15.1k/سال)
Durham PG $240–265 self-catered
Imperial $280–545
UCL/KCL ≈ $250–465
برآورد (چک شود): Liverpool $200–285
Manchester $185–290
Leeds/Birmingham $185–305
Nottingham $200–305
Southampton $185–290
Exeter $200–320
QMUL Mile End $290–400. یعنی ماهانه ≈ $675–1,330 خارج لندن، $1,190–2,390 لندن</t>
        </is>
      </c>
      <c r="F7" s="59" t="inlineStr">
        <is>
          <t>✅ «catered halls» وجود دارد ولی عمدتاً برای سال اول کارشناسی.
برای ارشد: Durham (کالج‌های catered: صبحانه+ناهار+شام فقط در هفته‌های ترم ≈ ۳۰ هفته؛ ≈ $345/هفته = $13.5k/سال؛ سهم غذا ≈ $4,090)
بقیهٔ Russell Group (York، Newcastle، Sheffield، Liverpool، Manchester…) برای PG عملاً فقط self-catered</t>
        </is>
      </c>
      <c r="G7" s="114" t="inlineStr">
        <is>
          <t>اتاق در خانهٔ مشترک: Liverpool/Newcastle/Sheffield/Durham $595–860/ماه
Leeds/Birmingham/Nottingham/York/Coventry $665–995
Exeter/Southampton/Bristol $795–1,130
لندن $1,190–1,860
PBSA خصوصی $185–385/هفته خارج لندن، $360–595 لندن</t>
        </is>
      </c>
      <c r="H7" s="114" t="inlineStr">
        <is>
          <t>مزیت بزرگ برای ایرانی: خوابگاه دانشگاه ضامن بریتانیایی نمی‌خواهد (اجارهٔ خصوصی معمولاً ضامن UK یا ۶–۱۲ ماه پیش‌پرداخت؛ خدمات ضامن ≈ $185/ماه)
پیش‌پرداخت $330–665
UCL طرح ضامن دانشگاهی $66 دارد؛
Imperial فقط برای UG/PhD</t>
        </is>
      </c>
      <c r="I7" s="146" t="inlineStr">
        <is>
          <t>york.ac.uk؛
ncl.ac.uk؛
sheffield.ac.uk؛
manchester.ac.uk؛
durham.ac.uk؛
imperial.ac.uk؛
palatinate.org.uk (بقیه برآورد)</t>
        </is>
      </c>
    </row>
    <row r="8">
      <c r="A8" s="166" t="inlineStr">
        <is>
          <t>فنلاند</t>
        </is>
      </c>
      <c r="B8" s="69" t="inlineStr">
        <is>
          <t>بنیادهای خوابگاهی غیرانتفاعی هر شهر (TOAS تامپره، PSOAS اولو، TYS تورکو، LOAS لاپین‌رانتا، HOAS منطقهٔ هلسینکی، AYY برای دانشجویان Aalto)؛
دانشگاه فقط معرفی می‌کند</t>
        </is>
      </c>
      <c r="C8" s="47" t="inlineStr">
        <is>
          <t>❌ تضمین رسمی نیست، ولی در Tampere/Oulu/Turku/Lappeenranta برای دانشجوی بین‌المللی که آوریل–می درخواست بدهد معمولاً تا سپتامبر جا هست (اتاق در آپارتمان مشترک زودتر از استودیو)
Helsinki/Espoo (HOAS/AYY) صف چند ماهه؛
تابستان شلوغ‌ترین زمان</t>
        </is>
      </c>
      <c r="D8" s="47" t="inlineStr">
        <is>
          <t>❌ جدا</t>
        </is>
      </c>
      <c r="E8" s="69" t="inlineStr">
        <is>
          <t>اتاق در آپارتمان مشترک: TOAS $240–465
PSOAS $285–435
TYS $285–455
HOAS $340–515
استودیو: TOAS $275–675
PSOAS $490–570
TYS $450–685
HOAS $515–685 — آب/برق/اینترنت معمولاً داخل اجاره</t>
        </is>
      </c>
      <c r="F8" s="47" t="inlineStr">
        <is>
          <t>❌ (ناهار دانشجویی با یارانهٔ Kela ≈ $3.6 در رستوران‌های دانشگاه — عملاً ارزان‌ترین غذای گرم اروپا)</t>
        </is>
      </c>
      <c r="G8" s="69" t="inlineStr">
        <is>
          <t>بازار آزاد: اتاق در خانهٔ مشترک Tampere/Turku/Oulu $400–625، Helsinki $570–855
استودیو Tampere/Turku $570–800، Oulu $515–685، Helsinki $800–1,030</t>
        </is>
      </c>
      <c r="H8" s="69" t="inlineStr">
        <is>
          <t>ودیعه معمولاً ۰ تا ۱ ماه (بنیادها) یا ۱–۲ ماه (خصوصی)
ضامن نمی‌خواهند
قرارداد معمولاً نامحدود با فسخ یک‌ماهه
درخواست بنیادها آنلاین از خارج فنلاند ممکن است؛
همان روز پذیرش (مارس–آوریل) ثبت‌نام کنید</t>
        </is>
      </c>
      <c r="I8" s="106" t="inlineStr">
        <is>
          <t>toas.fi؛
psoas.fi؛
tys.fi؛
hoas.fi؛
edunation.co (2026) — اجاره‌ها ≈</t>
        </is>
      </c>
    </row>
    <row r="9">
      <c r="A9" s="167" t="inlineStr">
        <is>
          <t>کانادا (بدون کبک)</t>
        </is>
      </c>
      <c r="B9" s="69" t="inlineStr">
        <is>
          <t>خودِ دانشگاه (Residence Services): در بیشتر دانشگاه‌ها ساختمان ویژهٔ ارشد (Calgary Crowsnest Hall، USask Graduate House، Toronto Graduate House، MUN Burton's Pond/Paton College، Alberta Graduate Residence) + آپارتمان خانوادگی؛
ولی راه اصلی بازار خصوصی است</t>
        </is>
      </c>
      <c r="C9" s="47" t="inlineStr">
        <is>
          <t>❌ تضمین فقط برای سال اول کارشناسی؛
ارشد بین‌المللی: همان روز پذیرش (مارس–می) درخواست بدهید؛
در Saskatoon / Winnipeg / St. John's / Edmonton معمولاً جا هست، در Victoria / Toronto / Ottawa صف و قرعه</t>
        </is>
      </c>
      <c r="D9" s="47" t="inlineStr">
        <is>
          <t>❌ جدا (قرارداد ۸ ماهه سپتامبر–آوریل یا ۱۲ ماهه؛ ودیعه = ۱ ماه)</t>
        </is>
      </c>
      <c r="E9" s="114" t="inlineStr">
        <is>
          <t>رسمی 2026/27: Calgary Crowsnest استودیو $7,880 / ۸ ماه = $985، یک‌خوابه $1,050، دوخوابهٔ مشترک $815
USask Graduate House دوخوابهٔ مشترک $855، استودیو $1,060 (۱۲ ماهه)؛
Seager Wheeler اتاق در واحد ۶ نفره $3,790 / ۸ ماه = $475؛
Assiniboine یک‌خوابه $790
MUN Paton College تک‌نفره با غذا $3,700/ترم ≈ $925؛
Burton's Pond ≈ $810
بقیه ≈ $635–1,060 (≈) — قبوض و اینترنت داخل</t>
        </is>
      </c>
      <c r="F9" s="114" t="inlineStr">
        <is>
          <t>معمولاً اختیاری برای ارشد (اجباری فقط در خوابگاه‌های سال اولی)؛
MUN Paton با غذا</t>
        </is>
      </c>
      <c r="G9" s="114" t="inlineStr">
        <is>
          <t>اتاق در خانهٔ مشترک: Regina / Winnipeg / Saskatoon / St. John's / Edmonton $425–705
Calgary / Ottawa / Windsor / Halifax / Waterloo / Oshawa $530–845
Victoria $635–915
Toronto $705–1,060؛
یک‌خوابهٔ CMHC اکتبر ۲۰۲۵: Saskatoon $800
Winnipeg $835
Regina ≈ $880
Edmonton $930
Calgary $1,070
Halifax $1,080
Ottawa $1,150
Waterloo / Oshawa ≈ $1,130
Toronto $1,240
Victoria $1,300</t>
        </is>
      </c>
      <c r="H9" s="114" t="inlineStr">
        <is>
          <t>ودیعه ۱ ماه (انتاریو: اجارهٔ ماه آخر پیش‌پرداخت)؛
ضامن نمی‌خواهند ولی رسید بانکی/نامهٔ پذیرش می‌خواهند؛
قرارداد ۱۲ ماهه با فسخ ۱–۲ ماهه؛
از ایران: Kijiji / Facebook Marketplace / rentfaster.ca / places4students — کلاهبرداری زیاد → بدون بازدید یا واسطهٔ دانشگاه پول ندهید؛
ماه اول Airbnb یا خوابگاه موقت</t>
        </is>
      </c>
      <c r="I9" s="146" t="inlineStr">
        <is>
          <t>ucalgary.ca residence rates 2026-27؛
livewithus.usask.ca 2026/27؛
mun.ca MinimumExpense 2026-27؛
CMHC/StatCan اکتبر ۲۰۲۵ — بقیه ≈</t>
        </is>
      </c>
    </row>
    <row r="10"/>
    <row r="11" ht="44" customHeight="1">
      <c r="A11" s="15" t="inlineStr">
        <is>
          <t>شهر</t>
        </is>
      </c>
      <c r="B11" s="15" t="inlineStr">
        <is>
          <t>کشور</t>
        </is>
      </c>
      <c r="C11" s="15" t="inlineStr">
        <is>
          <t>دانشگاه(های) شیت برنامه‌ها</t>
        </is>
      </c>
      <c r="D11" s="15" t="inlineStr">
        <is>
          <t>چه کسی خوابگاه می‌دهد</t>
        </is>
      </c>
      <c r="E11" s="15" t="inlineStr">
        <is>
          <t>شانس گرفتن خوابگاه برای ارشد بین‌المللی (⭐ تا ⭐⭐⭐⭐⭐) و زمان</t>
        </is>
      </c>
      <c r="F11" s="15" t="inlineStr">
        <is>
          <t>اجارهٔ خوابگاه / ماه</t>
        </is>
      </c>
      <c r="G11" s="15" t="inlineStr">
        <is>
          <t>اتاق خصوصی / ماه</t>
        </is>
      </c>
      <c r="H11" s="15" t="inlineStr">
        <is>
          <t>اعتبار عدد و منبع</t>
        </is>
      </c>
      <c r="I11" s="168" t="n"/>
    </row>
    <row r="12">
      <c r="A12" s="147" t="inlineStr">
        <is>
          <t>Stuttgart</t>
        </is>
      </c>
      <c r="B12" s="169" t="inlineStr">
        <is>
          <t>آلمان</t>
        </is>
      </c>
      <c r="C12" s="63" t="inlineStr">
        <is>
          <t>Universität Stuttgart</t>
        </is>
      </c>
      <c r="D12" s="63" t="inlineStr">
        <is>
          <t>Studierendenwerk Stuttgart</t>
        </is>
      </c>
      <c r="E12" s="170" t="inlineStr">
        <is>
          <t>⭐⭐ کم — لیست انتظار معمول ۶–۸ ماه برای ترم زمستان؛
Esslingen/Göppingen/Ludwigsburg زودتر</t>
        </is>
      </c>
      <c r="F12" s="69" t="inlineStr">
        <is>
          <t>$260–570 با قبوض؛
میانگین DSW 2023: $395 (۲۰۲۶ ≈ +۵–۱۰٪)</t>
        </is>
      </c>
      <c r="G12" s="63" t="inlineStr">
        <is>
          <t>WG $675 (MLP 2025)</t>
        </is>
      </c>
      <c r="H12" s="69" t="inlineStr">
        <is>
          <t>رسمی (Studierendenwerk، MLP)</t>
        </is>
      </c>
      <c r="I12" s="171" t="n"/>
    </row>
    <row r="13">
      <c r="A13" s="147" t="inlineStr">
        <is>
          <t>Erlangen</t>
        </is>
      </c>
      <c r="B13" s="169" t="inlineStr">
        <is>
          <t>آلمان</t>
        </is>
      </c>
      <c r="C13" s="113" t="inlineStr">
        <is>
          <t>FAU</t>
        </is>
      </c>
      <c r="D13" s="113" t="inlineStr">
        <is>
          <t>Studierendenwerk Erlangen-Nürnberg</t>
        </is>
      </c>
      <c r="E13" s="125" t="inlineStr">
        <is>
          <t>⭐⭐⭐ متوسط — ۱–۲ ترم انتظار ممکن؛
Nürnberg هم گزینه</t>
        </is>
      </c>
      <c r="F13" s="114" t="inlineStr">
        <is>
          <t>میانگین DSW 2023: $320 (بازهٔ ≈ $275–435)</t>
        </is>
      </c>
      <c r="G13" s="114" t="inlineStr">
        <is>
          <t>≈ $515–595</t>
        </is>
      </c>
      <c r="H13" s="113" t="inlineStr">
        <is>
          <t>DSW/Statista 2023 رسمی؛ WG برآورد</t>
        </is>
      </c>
      <c r="I13" s="172" t="n"/>
    </row>
    <row r="14">
      <c r="A14" s="147" t="inlineStr">
        <is>
          <t>Darmstadt</t>
        </is>
      </c>
      <c r="B14" s="169" t="inlineStr">
        <is>
          <t>آلمان</t>
        </is>
      </c>
      <c r="C14" s="63" t="inlineStr">
        <is>
          <t>TU Darmstadt</t>
        </is>
      </c>
      <c r="D14" s="63" t="inlineStr">
        <is>
          <t>Studierendenwerk Darmstadt</t>
        </is>
      </c>
      <c r="E14" s="170" t="inlineStr">
        <is>
          <t>⭐⭐ کم — تقاضای بالا (فرانکفورت نزدیک)</t>
        </is>
      </c>
      <c r="F14" s="69" t="inlineStr">
        <is>
          <t>میانگین DSW 2023: $455 — گران‌ترین Studierendenwerk آلمان (بازهٔ ≈ $365–545)</t>
        </is>
      </c>
      <c r="G14" s="63" t="inlineStr">
        <is>
          <t>WG $550 (MLP 2025)</t>
        </is>
      </c>
      <c r="H14" s="63" t="inlineStr">
        <is>
          <t>MLP 2025 + DSW 2023 رسمی</t>
        </is>
      </c>
      <c r="I14" s="171" t="n"/>
    </row>
    <row r="15">
      <c r="A15" s="147" t="inlineStr">
        <is>
          <t>Dresden</t>
        </is>
      </c>
      <c r="B15" s="169" t="inlineStr">
        <is>
          <t>آلمان</t>
        </is>
      </c>
      <c r="C15" s="113" t="inlineStr">
        <is>
          <t>TU Dresden</t>
        </is>
      </c>
      <c r="D15" s="113" t="inlineStr">
        <is>
          <t>Studentenwerk Dresden (ذخیرهٔ بزرگ)</t>
        </is>
      </c>
      <c r="E15" s="65" t="inlineStr">
        <is>
          <t>⭐⭐⭐⭐ بالا — معمولاً ظرف چند هفته تا یک ترم</t>
        </is>
      </c>
      <c r="F15" s="114" t="inlineStr">
        <is>
          <t>میانگین DSW 2023: $315 (بازهٔ ≈ $260–435)</t>
        </is>
      </c>
      <c r="G15" s="113" t="inlineStr">
        <is>
          <t>WG $495 (MLP 2025)</t>
        </is>
      </c>
      <c r="H15" s="113" t="inlineStr">
        <is>
          <t>MLP 2025 + DSW 2023 رسمی</t>
        </is>
      </c>
      <c r="I15" s="172" t="n"/>
    </row>
    <row r="16">
      <c r="A16" s="147" t="inlineStr">
        <is>
          <t>Saarbrücken</t>
        </is>
      </c>
      <c r="B16" s="169" t="inlineStr">
        <is>
          <t>آلمان</t>
        </is>
      </c>
      <c r="C16" s="63" t="inlineStr">
        <is>
          <t>Saarland University</t>
        </is>
      </c>
      <c r="D16" s="63" t="inlineStr">
        <is>
          <t>Studentenwerk Saarland</t>
        </is>
      </c>
      <c r="E16" s="65" t="inlineStr">
        <is>
          <t>⭐⭐⭐⭐ بالا</t>
        </is>
      </c>
      <c r="F16" s="69" t="inlineStr">
        <is>
          <t>میانگین DSW 2023: $375 (بازهٔ ≈ $295–480)</t>
        </is>
      </c>
      <c r="G16" s="63" t="inlineStr">
        <is>
          <t>WG $545 (MLP 2025)</t>
        </is>
      </c>
      <c r="H16" s="63" t="inlineStr">
        <is>
          <t>MLP 2025 + DSW 2023 رسمی</t>
        </is>
      </c>
      <c r="I16" s="171" t="n"/>
    </row>
    <row r="17">
      <c r="A17" s="147" t="inlineStr">
        <is>
          <t>Chemnitz</t>
        </is>
      </c>
      <c r="B17" s="169" t="inlineStr">
        <is>
          <t>آلمان</t>
        </is>
      </c>
      <c r="C17" s="113" t="inlineStr">
        <is>
          <t>TU Chemnitz</t>
        </is>
      </c>
      <c r="D17" s="113" t="inlineStr">
        <is>
          <t>Studentenwerk Chemnitz-Zwickau</t>
        </is>
      </c>
      <c r="E17" s="65" t="inlineStr">
        <is>
          <t>⭐⭐⭐⭐⭐ تقریباً همیشه جا هست</t>
        </is>
      </c>
      <c r="F17" s="114" t="inlineStr">
        <is>
          <t>میانگین DSW 2023: $285 (بازهٔ ≈ $230–375)</t>
        </is>
      </c>
      <c r="G17" s="113" t="inlineStr">
        <is>
          <t>WG $310 (MLP 2025) — ارزان‌ترین آلمان</t>
        </is>
      </c>
      <c r="H17" s="113" t="inlineStr">
        <is>
          <t>MLP 2025 + DSW 2023 رسمی</t>
        </is>
      </c>
      <c r="I17" s="172" t="n"/>
    </row>
    <row r="18">
      <c r="A18" s="147" t="inlineStr">
        <is>
          <t>Passau</t>
        </is>
      </c>
      <c r="B18" s="169" t="inlineStr">
        <is>
          <t>آلمان</t>
        </is>
      </c>
      <c r="C18" s="63" t="inlineStr">
        <is>
          <t>Universität Passau</t>
        </is>
      </c>
      <c r="D18" s="63" t="inlineStr">
        <is>
          <t>Studierendenwerk Niederbayern/Oberpfalz</t>
        </is>
      </c>
      <c r="E18" s="65" t="inlineStr">
        <is>
          <t>⭐⭐⭐⭐ بالا — شهر کوچک، ظرفیت نسبتاً خوب</t>
        </is>
      </c>
      <c r="F18" s="69" t="inlineStr">
        <is>
          <t>میانگین DSW 2023 (Niederbayern/Oberpfalz): $325 (بازهٔ ≈ $275–435)</t>
        </is>
      </c>
      <c r="G18" s="69" t="inlineStr">
        <is>
          <t>≈ $435–515</t>
        </is>
      </c>
      <c r="H18" s="63" t="inlineStr">
        <is>
          <t>DSW/Statista 2023 رسمی؛ WG برآورد</t>
        </is>
      </c>
      <c r="I18" s="171" t="n"/>
    </row>
    <row r="19">
      <c r="A19" s="147" t="inlineStr">
        <is>
          <t>Magdeburg</t>
        </is>
      </c>
      <c r="B19" s="169" t="inlineStr">
        <is>
          <t>آلمان</t>
        </is>
      </c>
      <c r="C19" s="113" t="inlineStr">
        <is>
          <t>OVGU</t>
        </is>
      </c>
      <c r="D19" s="113" t="inlineStr">
        <is>
          <t>Studentenwerk Magdeburg</t>
        </is>
      </c>
      <c r="E19" s="65" t="inlineStr">
        <is>
          <t>⭐⭐⭐⭐⭐ تقریباً همیشه جا هست</t>
        </is>
      </c>
      <c r="F19" s="114" t="inlineStr">
        <is>
          <t>میانگین DSW 2023: $370 — خوابگاه‌های نوساز؛
WG ($385) تقریباً هم‌قیمت خوابگاه است (بازهٔ ≈ $295–455)</t>
        </is>
      </c>
      <c r="G19" s="113" t="inlineStr">
        <is>
          <t>WG $385 (MLP 2025)</t>
        </is>
      </c>
      <c r="H19" s="113" t="inlineStr">
        <is>
          <t>MLP 2025 + DSW 2023 رسمی</t>
        </is>
      </c>
      <c r="I19" s="172" t="n"/>
    </row>
    <row r="20">
      <c r="A20" s="147" t="inlineStr">
        <is>
          <t>Köln</t>
        </is>
      </c>
      <c r="B20" s="169" t="inlineStr">
        <is>
          <t>آلمان</t>
        </is>
      </c>
      <c r="C20" s="63" t="inlineStr">
        <is>
          <t>TH Köln</t>
        </is>
      </c>
      <c r="D20" s="63" t="inlineStr">
        <is>
          <t>Kölner Studierendenwerk</t>
        </is>
      </c>
      <c r="E20" s="170" t="inlineStr">
        <is>
          <t>⭐⭐ کم — شهر بزرگ، صف طولانی</t>
        </is>
      </c>
      <c r="F20" s="69" t="inlineStr">
        <is>
          <t>میانگین DSW 2023: $345 (بازهٔ ≈ $285–480)</t>
        </is>
      </c>
      <c r="G20" s="63" t="inlineStr">
        <is>
          <t>WG $730 (MLP 2025)</t>
        </is>
      </c>
      <c r="H20" s="63" t="inlineStr">
        <is>
          <t>MLP 2025 + DSW 2023 رسمی</t>
        </is>
      </c>
      <c r="I20" s="171" t="n"/>
    </row>
    <row r="21">
      <c r="A21" s="147" t="inlineStr">
        <is>
          <t>Siegen</t>
        </is>
      </c>
      <c r="B21" s="169" t="inlineStr">
        <is>
          <t>آلمان</t>
        </is>
      </c>
      <c r="C21" s="113" t="inlineStr">
        <is>
          <t>Universität Siegen</t>
        </is>
      </c>
      <c r="D21" s="113" t="inlineStr">
        <is>
          <t>Studierendenwerk Siegen</t>
        </is>
      </c>
      <c r="E21" s="65" t="inlineStr">
        <is>
          <t>⭐⭐⭐⭐ بالا</t>
        </is>
      </c>
      <c r="F21" s="114" t="inlineStr">
        <is>
          <t>میانگین DSW 2023: $280 — ارزان‌ترین Studierendenwerk آلمان (بازهٔ ≈ $230–365)</t>
        </is>
      </c>
      <c r="G21" s="114" t="inlineStr">
        <is>
          <t>≈ $375–455</t>
        </is>
      </c>
      <c r="H21" s="113" t="inlineStr">
        <is>
          <t>DSW/Statista 2023 رسمی؛ WG برآورد</t>
        </is>
      </c>
      <c r="I21" s="172" t="n"/>
    </row>
    <row r="22">
      <c r="A22" s="147" t="inlineStr">
        <is>
          <t>Sankt Augustin</t>
        </is>
      </c>
      <c r="B22" s="169" t="inlineStr">
        <is>
          <t>آلمان</t>
        </is>
      </c>
      <c r="C22" s="63" t="inlineStr">
        <is>
          <t>H-BRS</t>
        </is>
      </c>
      <c r="D22" s="63" t="inlineStr">
        <is>
          <t>Studierendenwerk Bonn</t>
        </is>
      </c>
      <c r="E22" s="125" t="inlineStr">
        <is>
          <t>⭐⭐⭐ متوسط (منطقهٔ بن)</t>
        </is>
      </c>
      <c r="F22" s="69" t="inlineStr">
        <is>
          <t>میانگین DSW 2023 (Bonn): $380 (بازهٔ ≈ $310–480)</t>
        </is>
      </c>
      <c r="G22" s="69" t="inlineStr">
        <is>
          <t>≈ $515–595</t>
        </is>
      </c>
      <c r="H22" s="63" t="inlineStr">
        <is>
          <t>DSW/Statista 2023 رسمی؛ WG برآورد</t>
        </is>
      </c>
      <c r="I22" s="171" t="n"/>
    </row>
    <row r="23">
      <c r="A23" s="147" t="inlineStr">
        <is>
          <t>Aachen</t>
        </is>
      </c>
      <c r="B23" s="169" t="inlineStr">
        <is>
          <t>آلمان</t>
        </is>
      </c>
      <c r="C23" s="113" t="inlineStr">
        <is>
          <t>RWTH</t>
        </is>
      </c>
      <c r="D23" s="113" t="inlineStr">
        <is>
          <t>Studierendenwerk Aachen</t>
        </is>
      </c>
      <c r="E23" s="125" t="inlineStr">
        <is>
          <t>⭐⭐⭐ متوسط — ۱–۲ ترم انتظار رایج</t>
        </is>
      </c>
      <c r="F23" s="114" t="inlineStr">
        <is>
          <t>میانگین DSW 2023: $290 (بازهٔ ≈ $250–410)</t>
        </is>
      </c>
      <c r="G23" s="113" t="inlineStr">
        <is>
          <t>WG $550 (MLP 2025)</t>
        </is>
      </c>
      <c r="H23" s="113" t="inlineStr">
        <is>
          <t>MLP 2025 + DSW 2023 رسمی</t>
        </is>
      </c>
      <c r="I23" s="172" t="n"/>
    </row>
    <row r="24">
      <c r="A24" s="147" t="inlineStr">
        <is>
          <t>Tübingen</t>
        </is>
      </c>
      <c r="B24" s="169" t="inlineStr">
        <is>
          <t>آلمان</t>
        </is>
      </c>
      <c r="C24" s="63" t="inlineStr">
        <is>
          <t>Universität Tübingen</t>
        </is>
      </c>
      <c r="D24" s="63" t="inlineStr">
        <is>
          <t>Studierendenwerk Tübingen-Hohenheim</t>
        </is>
      </c>
      <c r="E24" s="125" t="inlineStr">
        <is>
          <t>⭐⭐⭐ متوسط — شهر کوچک و پرتقاضا</t>
        </is>
      </c>
      <c r="F24" s="69" t="inlineStr">
        <is>
          <t>میانگین DSW 2023: $310 (بازهٔ ≈ $260–435)</t>
        </is>
      </c>
      <c r="G24" s="63" t="inlineStr">
        <is>
          <t>WG $530 (MLP 2025)</t>
        </is>
      </c>
      <c r="H24" s="63" t="inlineStr">
        <is>
          <t>MLP 2025 + DSW 2023 رسمی</t>
        </is>
      </c>
      <c r="I24" s="171" t="n"/>
    </row>
    <row r="25">
      <c r="A25" s="147" t="inlineStr">
        <is>
          <t>München</t>
        </is>
      </c>
      <c r="B25" s="169" t="inlineStr">
        <is>
          <t>آلمان</t>
        </is>
      </c>
      <c r="C25" s="113" t="inlineStr">
        <is>
          <t>TUM / LMU</t>
        </is>
      </c>
      <c r="D25" s="113" t="inlineStr">
        <is>
          <t>Studierendenwerk München</t>
        </is>
      </c>
      <c r="E25" s="170" t="inlineStr">
        <is>
          <t>⭐ خیلی کم — انتظار ۲–۴ ترم</t>
        </is>
      </c>
      <c r="F25" s="114" t="inlineStr">
        <is>
          <t>میانگین DSW 2023: $395 (بازهٔ ≈ $340–570)</t>
        </is>
      </c>
      <c r="G25" s="113" t="inlineStr">
        <is>
          <t>WG $900 (MLP 2025) — گران‌ترین آلمان</t>
        </is>
      </c>
      <c r="H25" s="113" t="inlineStr">
        <is>
          <t>MLP 2025 + DSW 2023 رسمی</t>
        </is>
      </c>
      <c r="I25" s="172" t="n"/>
    </row>
    <row r="26">
      <c r="A26" s="173" t="inlineStr">
        <is>
          <t>Enschede</t>
        </is>
      </c>
      <c r="B26" s="174" t="inlineStr">
        <is>
          <t>هلند</t>
        </is>
      </c>
      <c r="C26" s="131" t="inlineStr">
        <is>
          <t>University of Twente</t>
        </is>
      </c>
      <c r="D26" s="131" t="inlineStr">
        <is>
          <t>Roomspot / کمپوس UT</t>
        </is>
      </c>
      <c r="E26" s="175" t="inlineStr">
        <is>
          <t>⭐⭐⭐⭐ بالا — پیشنهاد برای دانشجویان ویزایی (اول‌آمده)؛
خارج از فهرست شهرهای پرفشار Kences</t>
        </is>
      </c>
      <c r="F26" s="131" t="inlineStr">
        <is>
          <t>$340–910 (UT)</t>
        </is>
      </c>
      <c r="G26" s="132" t="inlineStr">
        <is>
          <t>≈ $455 میانگین (Kamernet Q1 2025) — ارزان‌ترین هلند</t>
        </is>
      </c>
      <c r="H26" s="132" t="inlineStr">
        <is>
          <t>رسمی/ثانویه</t>
        </is>
      </c>
      <c r="I26" s="176" t="n"/>
    </row>
    <row r="27">
      <c r="A27" s="147" t="inlineStr">
        <is>
          <t>Nijmegen</t>
        </is>
      </c>
      <c r="B27" s="177" t="inlineStr">
        <is>
          <t>هلند</t>
        </is>
      </c>
      <c r="C27" s="113" t="inlineStr">
        <is>
          <t>Radboud</t>
        </is>
      </c>
      <c r="D27" s="114" t="inlineStr">
        <is>
          <t>میانجی‌گری Radboud + SSH&amp;</t>
        </is>
      </c>
      <c r="E27" s="125" t="inlineStr">
        <is>
          <t>⭐⭐⭐ متوسط — فرم PAS تا ۱ ژوئن، پیشنهاد می–ژوئیه، بدون تضمین؛
Kences: فشار بالا</t>
        </is>
      </c>
      <c r="F27" s="114" t="inlineStr">
        <is>
          <t>$420–740 مبله</t>
        </is>
      </c>
      <c r="G27" s="114" t="inlineStr">
        <is>
          <t>≈ $570–740</t>
        </is>
      </c>
      <c r="H27" s="114" t="inlineStr">
        <is>
          <t>رسمی (ru.nl)</t>
        </is>
      </c>
      <c r="I27" s="172" t="n"/>
    </row>
    <row r="28">
      <c r="A28" s="147" t="inlineStr">
        <is>
          <t>Leiden</t>
        </is>
      </c>
      <c r="B28" s="177" t="inlineStr">
        <is>
          <t>هلند</t>
        </is>
      </c>
      <c r="C28" s="63" t="inlineStr">
        <is>
          <t>Leiden University</t>
        </is>
      </c>
      <c r="D28" s="63" t="inlineStr">
        <is>
          <t>DUWO (اتاق‌های رزروشده، قرعه)</t>
        </is>
      </c>
      <c r="E28" s="170" t="inlineStr">
        <is>
          <t>⭐⭐ کم — فشار بالا (Kences)؛
اجاره ۱۸٪ در یک سال بالا رفت</t>
        </is>
      </c>
      <c r="F28" s="69" t="inlineStr">
        <is>
          <t>≈ $570–910</t>
        </is>
      </c>
      <c r="G28" s="69" t="inlineStr">
        <is>
          <t>≈ $685–1,030</t>
        </is>
      </c>
      <c r="H28" s="69" t="inlineStr">
        <is>
          <t>برآورد + Kences/Kamernet</t>
        </is>
      </c>
      <c r="I28" s="171" t="n"/>
    </row>
    <row r="29">
      <c r="A29" s="147" t="inlineStr">
        <is>
          <t>Groningen</t>
        </is>
      </c>
      <c r="B29" s="177" t="inlineStr">
        <is>
          <t>هلند</t>
        </is>
      </c>
      <c r="C29" s="113" t="inlineStr">
        <is>
          <t>University of Groningen</t>
        </is>
      </c>
      <c r="D29" s="113" t="inlineStr">
        <is>
          <t>SSH Short Stay (رزرو)</t>
        </is>
      </c>
      <c r="E29" s="125" t="inlineStr">
        <is>
          <t>⭐⭐⭐ متوسط — «میانهٔ جدول» Kences</t>
        </is>
      </c>
      <c r="F29" s="114" t="inlineStr">
        <is>
          <t>≈ $515–800</t>
        </is>
      </c>
      <c r="G29" s="114" t="inlineStr">
        <is>
          <t>$585 میانگین (Kences)</t>
        </is>
      </c>
      <c r="H29" s="113" t="inlineStr">
        <is>
          <t>Kences رسمی</t>
        </is>
      </c>
      <c r="I29" s="172" t="n"/>
    </row>
    <row r="30">
      <c r="A30" s="147" t="inlineStr">
        <is>
          <t>Utrecht</t>
        </is>
      </c>
      <c r="B30" s="177" t="inlineStr">
        <is>
          <t>هلند</t>
        </is>
      </c>
      <c r="C30" s="63" t="inlineStr">
        <is>
          <t>Utrecht University</t>
        </is>
      </c>
      <c r="D30" s="69" t="inlineStr">
        <is>
          <t>استودیوهای رزروشده (Plaza/SSH)</t>
        </is>
      </c>
      <c r="E30" s="170" t="inlineStr">
        <is>
          <t>⭐ خیلی کم — بیشترین فشار هلند (Kences نوامبر ۲۰۲۵)؛
رزروها ۲۸ می ۲۰۲۶ تمام شد</t>
        </is>
      </c>
      <c r="F30" s="69" t="inlineStr">
        <is>
          <t>$990 با قبوض (رزروشده)</t>
        </is>
      </c>
      <c r="G30" s="69" t="inlineStr">
        <is>
          <t>≈ $685–1,030</t>
        </is>
      </c>
      <c r="H30" s="69" t="inlineStr">
        <is>
          <t>رسمی (uu.nl)</t>
        </is>
      </c>
      <c r="I30" s="171" t="n"/>
    </row>
    <row r="31">
      <c r="A31" s="147" t="inlineStr">
        <is>
          <t>Amsterdam</t>
        </is>
      </c>
      <c r="B31" s="177" t="inlineStr">
        <is>
          <t>هلند</t>
        </is>
      </c>
      <c r="C31" s="113" t="inlineStr">
        <is>
          <t>UvA / VU</t>
        </is>
      </c>
      <c r="D31" s="114" t="inlineStr">
        <is>
          <t>اتاق‌های رزروشده (قرعه؛ فقط سال اول)</t>
        </is>
      </c>
      <c r="E31" s="170" t="inlineStr">
        <is>
          <t>⭐ خیلی کم — بدترین بازار هلند</t>
        </is>
      </c>
      <c r="F31" s="114" t="inlineStr">
        <is>
          <t>≈ $740–1,140</t>
        </is>
      </c>
      <c r="G31" s="113" t="inlineStr">
        <is>
          <t>≈ $740 (Kences) تا $1,120 (Kamernet)</t>
        </is>
      </c>
      <c r="H31" s="113" t="inlineStr">
        <is>
          <t>Kences/Kamernet</t>
        </is>
      </c>
      <c r="I31" s="172" t="n"/>
    </row>
    <row r="32">
      <c r="A32" s="147" t="inlineStr">
        <is>
          <t>Eindhoven</t>
        </is>
      </c>
      <c r="B32" s="177" t="inlineStr">
        <is>
          <t>هلند</t>
        </is>
      </c>
      <c r="C32" s="63" t="inlineStr">
        <is>
          <t>TU/e</t>
        </is>
      </c>
      <c r="D32" s="63" t="inlineStr">
        <is>
          <t>Vestide / Holland2Stay (محدود)</t>
        </is>
      </c>
      <c r="E32" s="170" t="inlineStr">
        <is>
          <t>⭐⭐ کم — فشار بالا (Kences)</t>
        </is>
      </c>
      <c r="F32" s="69" t="inlineStr">
        <is>
          <t>≈ $570–910</t>
        </is>
      </c>
      <c r="G32" s="69" t="inlineStr">
        <is>
          <t>≈ $625–910</t>
        </is>
      </c>
      <c r="H32" s="69" t="inlineStr">
        <is>
          <t>برآورد + Kences</t>
        </is>
      </c>
      <c r="I32" s="171" t="n"/>
    </row>
    <row r="33">
      <c r="A33" s="147" t="inlineStr">
        <is>
          <t>Delft</t>
        </is>
      </c>
      <c r="B33" s="177" t="inlineStr">
        <is>
          <t>هلند</t>
        </is>
      </c>
      <c r="C33" s="113" t="inlineStr">
        <is>
          <t>TU Delft</t>
        </is>
      </c>
      <c r="D33" s="113" t="inlineStr">
        <is>
          <t>DUWO (رزرو، قرعه)</t>
        </is>
      </c>
      <c r="E33" s="170" t="inlineStr">
        <is>
          <t>⭐⭐ کم — فشار بالا؛
برنامهٔ ۳,۵۰۰ اتاق شهر شکست خورد (۲۷۹ ساخته شد)</t>
        </is>
      </c>
      <c r="F33" s="114" t="inlineStr">
        <is>
          <t>≈ $570–910</t>
        </is>
      </c>
      <c r="G33" s="114" t="inlineStr">
        <is>
          <t>≈ $685–1,030</t>
        </is>
      </c>
      <c r="H33" s="113" t="inlineStr">
        <is>
          <t>Kences/Delta</t>
        </is>
      </c>
      <c r="I33" s="172" t="n"/>
    </row>
    <row r="34">
      <c r="A34" s="147" t="inlineStr">
        <is>
          <t>Breda</t>
        </is>
      </c>
      <c r="B34" s="177" t="inlineStr">
        <is>
          <t>هلند</t>
        </is>
      </c>
      <c r="C34" s="63" t="inlineStr">
        <is>
          <t>BUas</t>
        </is>
      </c>
      <c r="D34" s="69" t="inlineStr">
        <is>
          <t>معرفی BUas + بازار</t>
        </is>
      </c>
      <c r="E34" s="125" t="inlineStr">
        <is>
          <t>⭐⭐⭐ متوسط</t>
        </is>
      </c>
      <c r="F34" s="69" t="inlineStr">
        <is>
          <t>≈ $515–740</t>
        </is>
      </c>
      <c r="G34" s="69" t="inlineStr">
        <is>
          <t>≈ $570–740</t>
        </is>
      </c>
      <c r="H34" s="69" t="inlineStr">
        <is>
          <t>برآورد</t>
        </is>
      </c>
      <c r="I34" s="171" t="n"/>
    </row>
    <row r="35">
      <c r="A35" s="173" t="inlineStr">
        <is>
          <t>Linköping</t>
        </is>
      </c>
      <c r="B35" s="178" t="inlineStr">
        <is>
          <t>سوئد</t>
        </is>
      </c>
      <c r="C35" s="119" t="inlineStr">
        <is>
          <t>LiU</t>
        </is>
      </c>
      <c r="D35" s="119" t="inlineStr">
        <is>
          <t>Studentbostäder + یک پیشنهاد LiU برای شهریه‌پردازها</t>
        </is>
      </c>
      <c r="E35" s="179" t="inlineStr">
        <is>
          <t>⭐⭐⭐⭐⭐ — SFS «سبز» ۲۰۲۴ و ۲۰۲۵ + پیشنهاد دانشگاه</t>
        </is>
      </c>
      <c r="F35" s="120" t="inlineStr">
        <is>
          <t>$355–555</t>
        </is>
      </c>
      <c r="G35" s="120" t="inlineStr">
        <is>
          <t>$505–705</t>
        </is>
      </c>
      <c r="H35" s="119" t="inlineStr">
        <is>
          <t>SFS رسمی؛ liu.se</t>
        </is>
      </c>
      <c r="I35" s="180" t="n"/>
    </row>
    <row r="36">
      <c r="A36" s="147" t="inlineStr">
        <is>
          <t>Halmstad</t>
        </is>
      </c>
      <c r="B36" s="181" t="inlineStr">
        <is>
          <t>سوئد</t>
        </is>
      </c>
      <c r="C36" s="63" t="inlineStr">
        <is>
          <t>Halmstad University</t>
        </is>
      </c>
      <c r="D36" s="69" t="inlineStr">
        <is>
          <t>شرکت‌های شهری؛ دانشگاه «تضمین نمی‌کند»</t>
        </is>
      </c>
      <c r="E36" s="170" t="inlineStr">
        <is>
          <t>⭐⭐ کم — SFS «قرمز» ۲۰۲۳ و ۲۰۲۴</t>
        </is>
      </c>
      <c r="F36" s="69" t="inlineStr">
        <is>
          <t>$355–555</t>
        </is>
      </c>
      <c r="G36" s="69" t="inlineStr">
        <is>
          <t>$505–705</t>
        </is>
      </c>
      <c r="H36" s="63" t="inlineStr">
        <is>
          <t>SFS رسمی؛ hh.se</t>
        </is>
      </c>
      <c r="I36" s="171" t="n"/>
    </row>
    <row r="37">
      <c r="A37" s="147" t="inlineStr">
        <is>
          <t>Karlskrona</t>
        </is>
      </c>
      <c r="B37" s="181" t="inlineStr">
        <is>
          <t>سوئد</t>
        </is>
      </c>
      <c r="C37" s="113" t="inlineStr">
        <is>
          <t>BTH</t>
        </is>
      </c>
      <c r="D37" s="113" t="inlineStr">
        <is>
          <t>Karlskronahem + معرفی BTH</t>
        </is>
      </c>
      <c r="E37" s="65" t="inlineStr">
        <is>
          <t>⭐⭐⭐⭐ بالا — SFS «سبز» ۲۰۲۴ (زرد ۲۰۲۳)</t>
        </is>
      </c>
      <c r="F37" s="114" t="inlineStr">
        <is>
          <t>$355–505</t>
        </is>
      </c>
      <c r="G37" s="114" t="inlineStr">
        <is>
          <t>$455–655</t>
        </is>
      </c>
      <c r="H37" s="113" t="inlineStr">
        <is>
          <t>SFS رسمی</t>
        </is>
      </c>
      <c r="I37" s="172" t="n"/>
    </row>
    <row r="38">
      <c r="A38" s="147" t="inlineStr">
        <is>
          <t>Stockholm / Kista</t>
        </is>
      </c>
      <c r="B38" s="181" t="inlineStr">
        <is>
          <t>سوئد</t>
        </is>
      </c>
      <c r="C38" s="63" t="inlineStr">
        <is>
          <t>KTH</t>
        </is>
      </c>
      <c r="D38" s="63" t="inlineStr">
        <is>
          <t>SSSB (صف) + KTH Accommodation (محدود، بدون تضمین)</t>
        </is>
      </c>
      <c r="E38" s="170" t="inlineStr">
        <is>
          <t>⭐ خیلی کم — SFS «قرمز» هر سال؛
صف SSSB ۶–۱۸ ماه</t>
        </is>
      </c>
      <c r="F38" s="69" t="inlineStr">
        <is>
          <t>$455–810</t>
        </is>
      </c>
      <c r="G38" s="69" t="inlineStr">
        <is>
          <t>$705–1,110</t>
        </is>
      </c>
      <c r="H38" s="63" t="inlineStr">
        <is>
          <t>SFS رسمی؛ su.se</t>
        </is>
      </c>
      <c r="I38" s="171" t="n"/>
    </row>
    <row r="39">
      <c r="A39" s="147" t="inlineStr">
        <is>
          <t>Gothenburg</t>
        </is>
      </c>
      <c r="B39" s="181" t="inlineStr">
        <is>
          <t>سوئد</t>
        </is>
      </c>
      <c r="C39" s="113" t="inlineStr">
        <is>
          <t>Chalmers / GU</t>
        </is>
      </c>
      <c r="D39" s="113" t="inlineStr">
        <is>
          <t>SGS (اولویت شهریه‌پردازهای Chalmers — چک شود)</t>
        </is>
      </c>
      <c r="E39" s="170" t="inlineStr">
        <is>
          <t>⭐⭐ کم — SFS «قرمز» هر سال</t>
        </is>
      </c>
      <c r="F39" s="114" t="inlineStr">
        <is>
          <t>$405–655</t>
        </is>
      </c>
      <c r="G39" s="114" t="inlineStr">
        <is>
          <t>$605–910</t>
        </is>
      </c>
      <c r="H39" s="113" t="inlineStr">
        <is>
          <t>SFS رسمی</t>
        </is>
      </c>
      <c r="I39" s="172" t="n"/>
    </row>
    <row r="40">
      <c r="A40" s="147" t="inlineStr">
        <is>
          <t>Uppsala</t>
        </is>
      </c>
      <c r="B40" s="181" t="inlineStr">
        <is>
          <t>سوئد</t>
        </is>
      </c>
      <c r="C40" s="63" t="inlineStr">
        <is>
          <t>Uppsala University</t>
        </is>
      </c>
      <c r="D40" s="63" t="inlineStr">
        <is>
          <t>Housing Office دانشگاه</t>
        </is>
      </c>
      <c r="E40" s="65" t="inlineStr">
        <is>
          <t>⭐⭐⭐⭐⭐ برای شهریه‌پردازها (تضمین رسمی) — با اینکه SFS شهر را «قرمز» می‌داند</t>
        </is>
      </c>
      <c r="F40" s="69" t="inlineStr">
        <is>
          <t>$355–615</t>
        </is>
      </c>
      <c r="G40" s="69" t="inlineStr">
        <is>
          <t>$605–860</t>
        </is>
      </c>
      <c r="H40" s="63" t="inlineStr">
        <is>
          <t>uu.se رسمی؛ SFS</t>
        </is>
      </c>
      <c r="I40" s="171" t="n"/>
    </row>
    <row r="41">
      <c r="A41" s="147" t="inlineStr">
        <is>
          <t>Umeå</t>
        </is>
      </c>
      <c r="B41" s="181" t="inlineStr">
        <is>
          <t>سوئد</t>
        </is>
      </c>
      <c r="C41" s="113" t="inlineStr">
        <is>
          <t>Umeå University</t>
        </is>
      </c>
      <c r="D41" s="113" t="inlineStr">
        <is>
          <t>Bostaden (صف) + پیشنهاد دانشگاه به شهریه‌پردازها (چک شود)</t>
        </is>
      </c>
      <c r="E41" s="125" t="inlineStr">
        <is>
          <t>⭐⭐⭐ متوسط — SFS «قرمز» ۲۰۲۴، «زرد» ۲۰۲۳</t>
        </is>
      </c>
      <c r="F41" s="114" t="inlineStr">
        <is>
          <t>$355–555</t>
        </is>
      </c>
      <c r="G41" s="114" t="inlineStr">
        <is>
          <t>$505–705</t>
        </is>
      </c>
      <c r="H41" s="113" t="inlineStr">
        <is>
          <t>SFS رسمی</t>
        </is>
      </c>
      <c r="I41" s="172" t="n"/>
    </row>
    <row r="42">
      <c r="A42" s="147" t="inlineStr">
        <is>
          <t>Skövde</t>
        </is>
      </c>
      <c r="B42" s="181" t="inlineStr">
        <is>
          <t>سوئد</t>
        </is>
      </c>
      <c r="C42" s="63" t="inlineStr">
        <is>
          <t>University of Skövde</t>
        </is>
      </c>
      <c r="D42" s="63" t="inlineStr">
        <is>
          <t>Skövdebostäder</t>
        </is>
      </c>
      <c r="E42" s="65" t="inlineStr">
        <is>
          <t>⭐⭐⭐⭐ بالا — SFS «سبز» ۲۰۲۴ (قرمز ۲۰۲۳؛ ولی اتاق موقت همیشه آسان)</t>
        </is>
      </c>
      <c r="F42" s="69" t="inlineStr">
        <is>
          <t>$335–485</t>
        </is>
      </c>
      <c r="G42" s="69" t="inlineStr">
        <is>
          <t>$455–605</t>
        </is>
      </c>
      <c r="H42" s="63" t="inlineStr">
        <is>
          <t>SFS رسمی</t>
        </is>
      </c>
      <c r="I42" s="171" t="n"/>
    </row>
    <row r="43">
      <c r="A43" s="147" t="inlineStr">
        <is>
          <t>Västerås</t>
        </is>
      </c>
      <c r="B43" s="181" t="inlineStr">
        <is>
          <t>سوئد</t>
        </is>
      </c>
      <c r="C43" s="113" t="inlineStr">
        <is>
          <t>MDU</t>
        </is>
      </c>
      <c r="D43" s="113" t="inlineStr">
        <is>
          <t>Bostad Västerås + تضمین شهرداری برای دانشجویان جدید</t>
        </is>
      </c>
      <c r="E43" s="59" t="inlineStr">
        <is>
          <t>⭐⭐⭐⭐⭐ — SFS «سبز» هر سال؛ تضمین شهری</t>
        </is>
      </c>
      <c r="F43" s="114" t="inlineStr">
        <is>
          <t>$355–555</t>
        </is>
      </c>
      <c r="G43" s="114" t="inlineStr">
        <is>
          <t>$505–705</t>
        </is>
      </c>
      <c r="H43" s="113" t="inlineStr">
        <is>
          <t>SFS رسمی</t>
        </is>
      </c>
      <c r="I43" s="172" t="n"/>
    </row>
    <row r="44">
      <c r="A44" s="173" t="inlineStr">
        <is>
          <t>Aalborg</t>
        </is>
      </c>
      <c r="B44" s="182" t="inlineStr">
        <is>
          <t>دانمارک</t>
        </is>
      </c>
      <c r="C44" s="131" t="inlineStr">
        <is>
          <t>AAU</t>
        </is>
      </c>
      <c r="D44" s="131" t="inlineStr">
        <is>
          <t>International Accommodation Office (۲۲۰+ واحد مبله)</t>
        </is>
      </c>
      <c r="E44" s="175" t="inlineStr">
        <is>
          <t>⭐⭐⭐⭐⭐ «تقریباً ۱۰۰٪»</t>
        </is>
      </c>
      <c r="F44" s="132" t="inlineStr">
        <is>
          <t>$490–720 با اینترنت/آب/گرمایش/برق</t>
        </is>
      </c>
      <c r="G44" s="132" t="inlineStr">
        <is>
          <t>$535–765</t>
        </is>
      </c>
      <c r="H44" s="131" t="inlineStr">
        <is>
          <t>AAU رسمی/ثانویه</t>
        </is>
      </c>
      <c r="I44" s="176" t="n"/>
    </row>
    <row r="45">
      <c r="A45" s="147" t="inlineStr">
        <is>
          <t>Copenhagen (AAU CPH، ITU، KU)</t>
        </is>
      </c>
      <c r="B45" s="183" t="inlineStr">
        <is>
          <t>دانمارک</t>
        </is>
      </c>
      <c r="C45" s="113" t="inlineStr">
        <is>
          <t>AAU Copenhagen / ITU</t>
        </is>
      </c>
      <c r="D45" s="114" t="inlineStr">
        <is>
          <t>راهنمایی؛ KKIK/CIU؛ خوابگاه خصوصی</t>
        </is>
      </c>
      <c r="E45" s="170" t="inlineStr">
        <is>
          <t>⭐ خیلی کم — خود AAU: «سخت‌ترین بازار اروپا»، بدون تضمین</t>
        </is>
      </c>
      <c r="F45" s="113" t="inlineStr">
        <is>
          <t>$535–915 (KKIK/CIU)
$765–1,370 خوابگاه خصوصی</t>
        </is>
      </c>
      <c r="G45" s="114" t="inlineStr">
        <is>
          <t>$915–1,370 (آپارتمان از $1,070)</t>
        </is>
      </c>
      <c r="H45" s="113" t="inlineStr">
        <is>
          <t>en.aau.dk رسمی</t>
        </is>
      </c>
      <c r="I45" s="172" t="n"/>
    </row>
    <row r="46">
      <c r="A46" s="147" t="inlineStr">
        <is>
          <t>Lyngby</t>
        </is>
      </c>
      <c r="B46" s="183" t="inlineStr">
        <is>
          <t>دانمارک</t>
        </is>
      </c>
      <c r="C46" s="63" t="inlineStr">
        <is>
          <t>DTU</t>
        </is>
      </c>
      <c r="D46" s="63" t="inlineStr">
        <is>
          <t>DTU Housing (Campus Village محدود)</t>
        </is>
      </c>
      <c r="E46" s="170" t="inlineStr">
        <is>
          <t>⭐⭐ کم</t>
        </is>
      </c>
      <c r="F46" s="69" t="inlineStr">
        <is>
          <t>≈ $610–990</t>
        </is>
      </c>
      <c r="G46" s="69" t="inlineStr">
        <is>
          <t>≈ $915–1,300</t>
        </is>
      </c>
      <c r="H46" s="69" t="inlineStr">
        <is>
          <t>برآورد</t>
        </is>
      </c>
      <c r="I46" s="171" t="n"/>
    </row>
    <row r="47">
      <c r="A47" s="147" t="inlineStr">
        <is>
          <t>Odense</t>
        </is>
      </c>
      <c r="B47" s="183" t="inlineStr">
        <is>
          <t>دانمارک</t>
        </is>
      </c>
      <c r="C47" s="113" t="inlineStr">
        <is>
          <t>SDU</t>
        </is>
      </c>
      <c r="D47" s="113" t="inlineStr">
        <is>
          <t>SDU Housing + kollegium</t>
        </is>
      </c>
      <c r="E47" s="65" t="inlineStr">
        <is>
          <t>⭐⭐⭐⭐ بالا — کمک فعال، ظرفیت خوب</t>
        </is>
      </c>
      <c r="F47" s="114" t="inlineStr">
        <is>
          <t>≈ $535–840</t>
        </is>
      </c>
      <c r="G47" s="114" t="inlineStr">
        <is>
          <t>≈ $610–915</t>
        </is>
      </c>
      <c r="H47" s="114" t="inlineStr">
        <is>
          <t>برآورد</t>
        </is>
      </c>
      <c r="I47" s="172" t="n"/>
    </row>
    <row r="48">
      <c r="A48" s="147" t="inlineStr">
        <is>
          <t>Kolding</t>
        </is>
      </c>
      <c r="B48" s="183" t="inlineStr">
        <is>
          <t>دانمارک</t>
        </is>
      </c>
      <c r="C48" s="63" t="inlineStr">
        <is>
          <t>SDU Kolding</t>
        </is>
      </c>
      <c r="D48" s="63" t="inlineStr">
        <is>
          <t>SDU Housing</t>
        </is>
      </c>
      <c r="E48" s="65" t="inlineStr">
        <is>
          <t>⭐⭐⭐⭐ بالا</t>
        </is>
      </c>
      <c r="F48" s="69" t="inlineStr">
        <is>
          <t>≈ $460–685</t>
        </is>
      </c>
      <c r="G48" s="69" t="inlineStr">
        <is>
          <t>≈ $535–840</t>
        </is>
      </c>
      <c r="H48" s="69" t="inlineStr">
        <is>
          <t>برآورد</t>
        </is>
      </c>
      <c r="I48" s="171" t="n"/>
    </row>
    <row r="49">
      <c r="A49" s="147" t="inlineStr">
        <is>
          <t>Aarhus</t>
        </is>
      </c>
      <c r="B49" s="183" t="inlineStr">
        <is>
          <t>دانمارک</t>
        </is>
      </c>
      <c r="C49" s="113" t="inlineStr">
        <is>
          <t>Aarhus University</t>
        </is>
      </c>
      <c r="D49" s="113" t="inlineStr">
        <is>
          <t>AU Housing (پیشنهاد به بین‌المللی‌ها)</t>
        </is>
      </c>
      <c r="E49" s="125" t="inlineStr">
        <is>
          <t>⭐⭐⭐ متوسط — بازار تنگ ولی دانشگاه پیشنهاد می‌دهد</t>
        </is>
      </c>
      <c r="F49" s="114" t="inlineStr">
        <is>
          <t>≈ $535–915</t>
        </is>
      </c>
      <c r="G49" s="114" t="inlineStr">
        <is>
          <t>≈ $765–1,150</t>
        </is>
      </c>
      <c r="H49" s="114" t="inlineStr">
        <is>
          <t>برآورد</t>
        </is>
      </c>
      <c r="I49" s="172" t="n"/>
    </row>
    <row r="50">
      <c r="A50" s="173" t="inlineStr">
        <is>
          <t>Zürich</t>
        </is>
      </c>
      <c r="B50" s="184" t="inlineStr">
        <is>
          <t>سوئیس</t>
        </is>
      </c>
      <c r="C50" s="131" t="inlineStr">
        <is>
          <t>ETH، UZH</t>
        </is>
      </c>
      <c r="D50" s="131" t="inlineStr">
        <is>
          <t>WOKO، Juwo (تعاونی)</t>
        </is>
      </c>
      <c r="E50" s="185" t="inlineStr">
        <is>
          <t>⭐ خیلی کم — لیست انتظار ۳–۱۲ ماه؛
روز پذیرش ثبت‌نام کنید</t>
        </is>
      </c>
      <c r="F50" s="131" t="inlineStr">
        <is>
          <t>WOKO $355–1,430 بسته به ساختمان (اکثر $545–1,030؛ میانگین آگهی‌ها ≈ $910)</t>
        </is>
      </c>
      <c r="G50" s="132" t="inlineStr">
        <is>
          <t>$845–1,450</t>
        </is>
      </c>
      <c r="H50" s="131" t="inlineStr">
        <is>
          <t>woko.ch رسمی (فهرست ساختمان‌ها)</t>
        </is>
      </c>
      <c r="I50" s="176" t="n"/>
    </row>
    <row r="51">
      <c r="A51" s="147" t="inlineStr">
        <is>
          <t>Winterthur</t>
        </is>
      </c>
      <c r="B51" s="186" t="inlineStr">
        <is>
          <t>سوئیس</t>
        </is>
      </c>
      <c r="C51" s="113" t="inlineStr">
        <is>
          <t>ZHAW</t>
        </is>
      </c>
      <c r="D51" s="113" t="inlineStr">
        <is>
          <t>WOKO Winterthur / بازار</t>
        </is>
      </c>
      <c r="E51" s="170" t="inlineStr">
        <is>
          <t>⭐⭐ کم — کمی بهتر از زوریخ</t>
        </is>
      </c>
      <c r="F51" s="114" t="inlineStr">
        <is>
          <t>≈ $605–970</t>
        </is>
      </c>
      <c r="G51" s="114" t="inlineStr">
        <is>
          <t>$785–1,210</t>
        </is>
      </c>
      <c r="H51" s="114" t="inlineStr">
        <is>
          <t>برآورد</t>
        </is>
      </c>
      <c r="I51" s="172" t="n"/>
    </row>
    <row r="52">
      <c r="A52" s="147" t="inlineStr">
        <is>
          <t>Lausanne</t>
        </is>
      </c>
      <c r="B52" s="186" t="inlineStr">
        <is>
          <t>سوئیس</t>
        </is>
      </c>
      <c r="C52" s="63" t="inlineStr">
        <is>
          <t>EPFL</t>
        </is>
      </c>
      <c r="D52" s="63" t="inlineStr">
        <is>
          <t>FMEL</t>
        </is>
      </c>
      <c r="E52" s="170" t="inlineStr">
        <is>
          <t>⭐⭐ کم — زود پر می‌شود؛
بلافاصله بعد از پذیرش دور اول</t>
        </is>
      </c>
      <c r="F52" s="69" t="inlineStr">
        <is>
          <t>≈ $605–1,090</t>
        </is>
      </c>
      <c r="G52" s="69" t="inlineStr">
        <is>
          <t>$845–1,210</t>
        </is>
      </c>
      <c r="H52" s="69" t="inlineStr">
        <is>
          <t>برآورد</t>
        </is>
      </c>
      <c r="I52" s="171" t="n"/>
    </row>
    <row r="53">
      <c r="A53" s="147" t="inlineStr">
        <is>
          <t>Bern</t>
        </is>
      </c>
      <c r="B53" s="186" t="inlineStr">
        <is>
          <t>سوئیس</t>
        </is>
      </c>
      <c r="C53" s="113" t="inlineStr">
        <is>
          <t>University of Bern</t>
        </is>
      </c>
      <c r="D53" s="113" t="inlineStr">
        <is>
          <t>StuWo Bern / بازار</t>
        </is>
      </c>
      <c r="E53" s="125" t="inlineStr">
        <is>
          <t>⭐⭐⭐ متوسط</t>
        </is>
      </c>
      <c r="F53" s="114" t="inlineStr">
        <is>
          <t>≈ $605–910</t>
        </is>
      </c>
      <c r="G53" s="114" t="inlineStr">
        <is>
          <t>$785–1,090</t>
        </is>
      </c>
      <c r="H53" s="114" t="inlineStr">
        <is>
          <t>برآورد</t>
        </is>
      </c>
      <c r="I53" s="172" t="n"/>
    </row>
    <row r="54">
      <c r="A54" s="147" t="inlineStr">
        <is>
          <t>Basel</t>
        </is>
      </c>
      <c r="B54" s="186" t="inlineStr">
        <is>
          <t>سوئیس</t>
        </is>
      </c>
      <c r="C54" s="63" t="inlineStr">
        <is>
          <t>University of Basel</t>
        </is>
      </c>
      <c r="D54" s="63" t="inlineStr">
        <is>
          <t>WoVe Basel / بازار</t>
        </is>
      </c>
      <c r="E54" s="125" t="inlineStr">
        <is>
          <t>⭐⭐⭐ متوسط</t>
        </is>
      </c>
      <c r="F54" s="69" t="inlineStr">
        <is>
          <t>≈ $605–970</t>
        </is>
      </c>
      <c r="G54" s="69" t="inlineStr">
        <is>
          <t>$785–1,150</t>
        </is>
      </c>
      <c r="H54" s="69" t="inlineStr">
        <is>
          <t>برآورد</t>
        </is>
      </c>
      <c r="I54" s="171" t="n"/>
    </row>
    <row r="55">
      <c r="A55" s="147" t="inlineStr">
        <is>
          <t>Fribourg</t>
        </is>
      </c>
      <c r="B55" s="186" t="inlineStr">
        <is>
          <t>سوئیس</t>
        </is>
      </c>
      <c r="C55" s="113" t="inlineStr">
        <is>
          <t>University of Fribourg</t>
        </is>
      </c>
      <c r="D55" s="113" t="inlineStr">
        <is>
          <t>Apartis / معرفی دانشگاه</t>
        </is>
      </c>
      <c r="E55" s="65" t="inlineStr">
        <is>
          <t>⭐⭐⭐⭐ بالا</t>
        </is>
      </c>
      <c r="F55" s="114" t="inlineStr">
        <is>
          <t>≈ $545–845</t>
        </is>
      </c>
      <c r="G55" s="114" t="inlineStr">
        <is>
          <t>$725–970</t>
        </is>
      </c>
      <c r="H55" s="114" t="inlineStr">
        <is>
          <t>برآورد</t>
        </is>
      </c>
      <c r="I55" s="172" t="n"/>
    </row>
    <row r="56">
      <c r="A56" s="147" t="inlineStr">
        <is>
          <t>Neuchâtel</t>
        </is>
      </c>
      <c r="B56" s="186" t="inlineStr">
        <is>
          <t>سوئیس</t>
        </is>
      </c>
      <c r="C56" s="63" t="inlineStr">
        <is>
          <t>University of Neuchâtel</t>
        </is>
      </c>
      <c r="D56" s="63" t="inlineStr">
        <is>
          <t>Alfen / معرفی دانشگاه</t>
        </is>
      </c>
      <c r="E56" s="65" t="inlineStr">
        <is>
          <t>⭐⭐⭐⭐ بالا</t>
        </is>
      </c>
      <c r="F56" s="69" t="inlineStr">
        <is>
          <t>≈ $545–845</t>
        </is>
      </c>
      <c r="G56" s="69" t="inlineStr">
        <is>
          <t>$665–970</t>
        </is>
      </c>
      <c r="H56" s="69" t="inlineStr">
        <is>
          <t>برآورد</t>
        </is>
      </c>
      <c r="I56" s="171" t="n"/>
    </row>
    <row r="57">
      <c r="A57" s="147" t="inlineStr">
        <is>
          <t>Lugano</t>
        </is>
      </c>
      <c r="B57" s="186" t="inlineStr">
        <is>
          <t>سوئیس</t>
        </is>
      </c>
      <c r="C57" s="113" t="inlineStr">
        <is>
          <t>USI</t>
        </is>
      </c>
      <c r="D57" s="114" t="inlineStr">
        <is>
          <t>خوابگاه‌های USI + سرویس مسکن دانشگاه</t>
        </is>
      </c>
      <c r="E57" s="65" t="inlineStr">
        <is>
          <t>⭐⭐⭐⭐ بالا</t>
        </is>
      </c>
      <c r="F57" s="114" t="inlineStr">
        <is>
          <t>≈ $605–970</t>
        </is>
      </c>
      <c r="G57" s="114" t="inlineStr">
        <is>
          <t>$725–1,090</t>
        </is>
      </c>
      <c r="H57" s="114" t="inlineStr">
        <is>
          <t>برآورد</t>
        </is>
      </c>
      <c r="I57" s="172" t="n"/>
    </row>
    <row r="58">
      <c r="A58" s="147" t="inlineStr">
        <is>
          <t>Luzern</t>
        </is>
      </c>
      <c r="B58" s="186" t="inlineStr">
        <is>
          <t>سوئیس</t>
        </is>
      </c>
      <c r="C58" s="63" t="inlineStr">
        <is>
          <t>HSLU</t>
        </is>
      </c>
      <c r="D58" s="69" t="inlineStr">
        <is>
          <t>معرفی HSLU / بازار</t>
        </is>
      </c>
      <c r="E58" s="125" t="inlineStr">
        <is>
          <t>⭐⭐⭐ متوسط</t>
        </is>
      </c>
      <c r="F58" s="69" t="inlineStr">
        <is>
          <t>≈ $605–970</t>
        </is>
      </c>
      <c r="G58" s="69" t="inlineStr">
        <is>
          <t>$785–1,090</t>
        </is>
      </c>
      <c r="H58" s="69" t="inlineStr">
        <is>
          <t>برآورد</t>
        </is>
      </c>
      <c r="I58" s="171" t="n"/>
    </row>
    <row r="59">
      <c r="A59" s="173" t="inlineStr">
        <is>
          <t>Newcastle</t>
        </is>
      </c>
      <c r="B59" s="187" t="inlineStr">
        <is>
          <t>انگلستان</t>
        </is>
      </c>
      <c r="C59" s="119" t="inlineStr">
        <is>
          <t>Newcastle University</t>
        </is>
      </c>
      <c r="D59" s="120" t="inlineStr">
        <is>
          <t>خوابگاه دانشگاه (ذخیرهٔ بزرگ) + PBSA</t>
        </is>
      </c>
      <c r="E59" s="175" t="inlineStr">
        <is>
          <t>⭐⭐⭐⭐ بالا — ارشد بین‌المللی با درخواست به‌موقع معمولاً بله (تأیید تضمین PG)</t>
        </is>
      </c>
      <c r="F59" s="119" t="inlineStr">
        <is>
          <t>Newcastle $155–320/هفته (رسمی 2026/27) = $675–1,380/ماه</t>
        </is>
      </c>
      <c r="G59" s="120" t="inlineStr">
        <is>
          <t>$665–860</t>
        </is>
      </c>
      <c r="H59" s="119" t="inlineStr">
        <is>
          <t>ncl.ac.uk رسمی</t>
        </is>
      </c>
      <c r="I59" s="180" t="n"/>
    </row>
    <row r="60">
      <c r="A60" s="147" t="inlineStr">
        <is>
          <t>Nottingham</t>
        </is>
      </c>
      <c r="B60" s="188" t="inlineStr">
        <is>
          <t>انگلستان</t>
        </is>
      </c>
      <c r="C60" s="63" t="inlineStr">
        <is>
          <t>University of Nottingham</t>
        </is>
      </c>
      <c r="D60" s="69" t="inlineStr">
        <is>
          <t>خوابگاه دانشگاه (کمپوس‌های University Park / Jubilee)</t>
        </is>
      </c>
      <c r="E60" s="65" t="inlineStr">
        <is>
          <t>⭐⭐⭐⭐ بالا (تأیید تضمین PG)</t>
        </is>
      </c>
      <c r="F60" s="69" t="inlineStr">
        <is>
          <t>≈ $200–305/هفته</t>
        </is>
      </c>
      <c r="G60" s="69" t="inlineStr">
        <is>
          <t>$665–860</t>
        </is>
      </c>
      <c r="H60" s="69" t="inlineStr">
        <is>
          <t>برآورد</t>
        </is>
      </c>
      <c r="I60" s="171" t="n"/>
    </row>
    <row r="61">
      <c r="A61" s="147" t="inlineStr">
        <is>
          <t>Manchester</t>
        </is>
      </c>
      <c r="B61" s="188" t="inlineStr">
        <is>
          <t>انگلستان</t>
        </is>
      </c>
      <c r="C61" s="113" t="inlineStr">
        <is>
          <t>University of Manchester</t>
        </is>
      </c>
      <c r="D61" s="114" t="inlineStr">
        <is>
          <t>خوابگاه دانشگاه</t>
        </is>
      </c>
      <c r="E61" s="59" t="inlineStr">
        <is>
          <t>⭐⭐⭐⭐⭐ University of Manchester رسماً به هر PG بین‌المللی برای کل دوره تضمین می‌دهد (اقدام تا ۳۱ اوت)</t>
        </is>
      </c>
      <c r="F61" s="114" t="inlineStr">
        <is>
          <t>≈ $185–290/هفته</t>
        </is>
      </c>
      <c r="G61" s="114" t="inlineStr">
        <is>
          <t>$730–995</t>
        </is>
      </c>
      <c r="H61" s="113" t="inlineStr">
        <is>
          <t>manchester.ac.uk رسمی (تضمین)؛ اجاره برآورد</t>
        </is>
      </c>
      <c r="I61" s="172" t="n"/>
    </row>
    <row r="62">
      <c r="A62" s="147" t="inlineStr">
        <is>
          <t>Liverpool</t>
        </is>
      </c>
      <c r="B62" s="188" t="inlineStr">
        <is>
          <t>انگلستان</t>
        </is>
      </c>
      <c r="C62" s="63" t="inlineStr">
        <is>
          <t>University of Liverpool</t>
        </is>
      </c>
      <c r="D62" s="69" t="inlineStr">
        <is>
          <t>خوابگاه دانشگاه (Crown Place، Vine Court) + PBSA فراوان</t>
        </is>
      </c>
      <c r="E62" s="65" t="inlineStr">
        <is>
          <t>⭐⭐⭐⭐ بالا — ارشد بین‌المللی با درخواست به‌موقع معمولاً بله (تأیید کنید)</t>
        </is>
      </c>
      <c r="F62" s="69" t="inlineStr">
        <is>
          <t>≈ $200–285/هفته (برآورد؛ چک شود)</t>
        </is>
      </c>
      <c r="G62" s="69" t="inlineStr">
        <is>
          <t>$595–795</t>
        </is>
      </c>
      <c r="H62" s="69" t="inlineStr">
        <is>
          <t>برآورد؛ liverpool.ac.uk/accommodation</t>
        </is>
      </c>
      <c r="I62" s="171" t="n"/>
    </row>
    <row r="63">
      <c r="A63" s="147" t="inlineStr">
        <is>
          <t>Leeds</t>
        </is>
      </c>
      <c r="B63" s="188" t="inlineStr">
        <is>
          <t>انگلستان</t>
        </is>
      </c>
      <c r="C63" s="113" t="inlineStr">
        <is>
          <t>University of Leeds</t>
        </is>
      </c>
      <c r="D63" s="114" t="inlineStr">
        <is>
          <t>خوابگاه دانشگاه (PG در Central Village / Lupton و…) + PBSA</t>
        </is>
      </c>
      <c r="E63" s="65" t="inlineStr">
        <is>
          <t>⭐⭐⭐⭐ بالا (تأیید تضمین PG)</t>
        </is>
      </c>
      <c r="F63" s="114" t="inlineStr">
        <is>
          <t>≈ $185–305/هفته (برآورد)</t>
        </is>
      </c>
      <c r="G63" s="114" t="inlineStr">
        <is>
          <t>$665–930</t>
        </is>
      </c>
      <c r="H63" s="114" t="inlineStr">
        <is>
          <t>برآورد؛ accommodation.leeds.ac.uk</t>
        </is>
      </c>
      <c r="I63" s="172" t="n"/>
    </row>
    <row r="64">
      <c r="A64" s="147" t="inlineStr">
        <is>
          <t>Birmingham</t>
        </is>
      </c>
      <c r="B64" s="188" t="inlineStr">
        <is>
          <t>انگلستان</t>
        </is>
      </c>
      <c r="C64" s="63" t="inlineStr">
        <is>
          <t>University of Birmingham</t>
        </is>
      </c>
      <c r="D64" s="69" t="inlineStr">
        <is>
          <t>خوابگاه دانشگاه (Vale Village) + PBSA</t>
        </is>
      </c>
      <c r="E64" s="65" t="inlineStr">
        <is>
          <t>⭐⭐⭐⭐ بالا (تأیید تضمین PG)</t>
        </is>
      </c>
      <c r="F64" s="69" t="inlineStr">
        <is>
          <t>≈ $185–305/هفته (برآورد)</t>
        </is>
      </c>
      <c r="G64" s="69" t="inlineStr">
        <is>
          <t>$665–930</t>
        </is>
      </c>
      <c r="H64" s="69" t="inlineStr">
        <is>
          <t>برآورد</t>
        </is>
      </c>
      <c r="I64" s="171" t="n"/>
    </row>
    <row r="65">
      <c r="A65" s="147" t="inlineStr">
        <is>
          <t>Exeter</t>
        </is>
      </c>
      <c r="B65" s="188" t="inlineStr">
        <is>
          <t>انگلستان</t>
        </is>
      </c>
      <c r="C65" s="113" t="inlineStr">
        <is>
          <t>University of Exeter</t>
        </is>
      </c>
      <c r="D65" s="114" t="inlineStr">
        <is>
          <t>خوابگاه دانشگاه (PG محدودتر) + PBSA</t>
        </is>
      </c>
      <c r="E65" s="125" t="inlineStr">
        <is>
          <t>⭐⭐⭐ متوسط تا بالا (تأیید کنید؛ شهر کوچک، بازار خصوصی تنگ)</t>
        </is>
      </c>
      <c r="F65" s="114" t="inlineStr">
        <is>
          <t>≈ $200–320/هفته (برآورد)</t>
        </is>
      </c>
      <c r="G65" s="114" t="inlineStr">
        <is>
          <t>$795–1,060</t>
        </is>
      </c>
      <c r="H65" s="114" t="inlineStr">
        <is>
          <t>برآورد</t>
        </is>
      </c>
      <c r="I65" s="172" t="n"/>
    </row>
    <row r="66">
      <c r="A66" s="147" t="inlineStr">
        <is>
          <t>Southampton</t>
        </is>
      </c>
      <c r="B66" s="188" t="inlineStr">
        <is>
          <t>انگلستان</t>
        </is>
      </c>
      <c r="C66" s="63" t="inlineStr">
        <is>
          <t>University of Southampton</t>
        </is>
      </c>
      <c r="D66" s="69" t="inlineStr">
        <is>
          <t>خوابگاه دانشگاه (Mayflower، Glen Eyre…)</t>
        </is>
      </c>
      <c r="E66" s="65" t="inlineStr">
        <is>
          <t>⭐⭐⭐⭐ بالا (تأیید تضمین PG)</t>
        </is>
      </c>
      <c r="F66" s="69" t="inlineStr">
        <is>
          <t>≈ $185–290/هفته (برآورد)</t>
        </is>
      </c>
      <c r="G66" s="69" t="inlineStr">
        <is>
          <t>$795–1,060</t>
        </is>
      </c>
      <c r="H66" s="69" t="inlineStr">
        <is>
          <t>برآورد</t>
        </is>
      </c>
      <c r="I66" s="171" t="n"/>
    </row>
    <row r="67">
      <c r="A67" s="147" t="inlineStr">
        <is>
          <t>London – Mile End</t>
        </is>
      </c>
      <c r="B67" s="188" t="inlineStr">
        <is>
          <t>انگلستان</t>
        </is>
      </c>
      <c r="C67" s="113" t="inlineStr">
        <is>
          <t>Queen Mary (QMUL)</t>
        </is>
      </c>
      <c r="D67" s="114" t="inlineStr">
        <is>
          <t>خوابگاه کمپوس Mile End (تنها کمپوس مسکونی مرکز لندن) + بین‌دانشگاهی</t>
        </is>
      </c>
      <c r="E67" s="125" t="inlineStr">
        <is>
          <t>⭐⭐⭐ متوسط (PG بدون تضمین؛ روز پذیرش اقدام کنید)</t>
        </is>
      </c>
      <c r="F67" s="114" t="inlineStr">
        <is>
          <t>≈ $290–400/هفته (برآورد) = $1,260–1,720/ماه</t>
        </is>
      </c>
      <c r="G67" s="114" t="inlineStr">
        <is>
          <t>$1,190–1,720 (+ ضامن)</t>
        </is>
      </c>
      <c r="H67" s="114" t="inlineStr">
        <is>
          <t>برآورد؛ qmul.ac.uk/residences</t>
        </is>
      </c>
      <c r="I67" s="172" t="n"/>
    </row>
    <row r="68">
      <c r="A68" s="147" t="inlineStr">
        <is>
          <t>York</t>
        </is>
      </c>
      <c r="B68" s="188" t="inlineStr">
        <is>
          <t>انگلستان</t>
        </is>
      </c>
      <c r="C68" s="63" t="inlineStr">
        <is>
          <t>University of York</t>
        </is>
      </c>
      <c r="D68" s="69" t="inlineStr">
        <is>
          <t>خوابگاه کمپوس (Wentworth، Halifax)</t>
        </is>
      </c>
      <c r="E68" s="65" t="inlineStr">
        <is>
          <t>⭐⭐⭐⭐⭐ تضمین PG — اقدام تا ۳۱ ژوئیه</t>
        </is>
      </c>
      <c r="F68" s="69" t="inlineStr">
        <is>
          <t>$245–295/هفته × ۵۱ هفته (رسمی 2026/27)</t>
        </is>
      </c>
      <c r="G68" s="69" t="inlineStr">
        <is>
          <t>$730–995</t>
        </is>
      </c>
      <c r="H68" s="63" t="inlineStr">
        <is>
          <t>york.ac.uk رسمی</t>
        </is>
      </c>
      <c r="I68" s="171" t="n"/>
    </row>
    <row r="69">
      <c r="A69" s="147" t="inlineStr">
        <is>
          <t>Sheffield</t>
        </is>
      </c>
      <c r="B69" s="188" t="inlineStr">
        <is>
          <t>انگلستان</t>
        </is>
      </c>
      <c r="C69" s="113" t="inlineStr">
        <is>
          <t>University of Sheffield</t>
        </is>
      </c>
      <c r="D69" s="114" t="inlineStr">
        <is>
          <t>خوابگاه دانشگاه (ذخیرهٔ بزرگ)</t>
        </is>
      </c>
      <c r="E69" s="65" t="inlineStr">
        <is>
          <t>⭐⭐⭐⭐ بالا — ارشد بین‌المللی با درخواست به‌موقع معمولاً بله (تأیید کنید)</t>
        </is>
      </c>
      <c r="F69" s="113" t="inlineStr">
        <is>
          <t>PG: St Vincent's en-suite $240
Allen Court en-suite+ $255
Deluxe+ $275 در هفته (۴۲ یا ۵۱ هفته؛ رسمی 2026/27) = $1,030–1,200/ماه</t>
        </is>
      </c>
      <c r="G69" s="114" t="inlineStr">
        <is>
          <t>$665–860</t>
        </is>
      </c>
      <c r="H69" s="113" t="inlineStr">
        <is>
          <t>sheffield.ac.uk رسمی (اجاره)؛
تضمین PG تأیید کنید</t>
        </is>
      </c>
      <c r="I69" s="172" t="n"/>
    </row>
    <row r="70">
      <c r="A70" s="147" t="inlineStr">
        <is>
          <t>London – مرکز</t>
        </is>
      </c>
      <c r="B70" s="188" t="inlineStr">
        <is>
          <t>انگلستان</t>
        </is>
      </c>
      <c r="C70" s="63" t="inlineStr">
        <is>
          <t>Imperial، UCL، KCL</t>
        </is>
      </c>
      <c r="D70" s="69" t="inlineStr">
        <is>
          <t>خوابگاه‌های دانشگاه و بین‌دانشگاهی + GradPad</t>
        </is>
      </c>
      <c r="E70" s="170" t="inlineStr">
        <is>
          <t>⭐⭐ کم — PG بدون تضمین؛
روز پذیرش اقدام کنید و هم‌زمان بازار خصوصی</t>
        </is>
      </c>
      <c r="F70" s="69" t="inlineStr">
        <is>
          <t>$280–545/هفته (Imperial 2026) = $1,190–2,390/ماه</t>
        </is>
      </c>
      <c r="G70" s="69" t="inlineStr">
        <is>
          <t>$1,330–1,860 (+ ضامن)</t>
        </is>
      </c>
      <c r="H70" s="69" t="inlineStr">
        <is>
          <t>ثانویه</t>
        </is>
      </c>
      <c r="I70" s="171" t="n"/>
    </row>
    <row r="71">
      <c r="A71" s="147" t="inlineStr">
        <is>
          <t>Coventry</t>
        </is>
      </c>
      <c r="B71" s="188" t="inlineStr">
        <is>
          <t>انگلستان</t>
        </is>
      </c>
      <c r="C71" s="113" t="inlineStr">
        <is>
          <t>Warwick</t>
        </is>
      </c>
      <c r="D71" s="114" t="inlineStr">
        <is>
          <t>خوابگاه کمپوس (PG محدود)</t>
        </is>
      </c>
      <c r="E71" s="125" t="inlineStr">
        <is>
          <t>⭐⭐⭐ متوسط (تأیید کنید)</t>
        </is>
      </c>
      <c r="F71" s="114" t="inlineStr">
        <is>
          <t>≈ $170–280/هفته</t>
        </is>
      </c>
      <c r="G71" s="114" t="inlineStr">
        <is>
          <t>$730–930</t>
        </is>
      </c>
      <c r="H71" s="114" t="inlineStr">
        <is>
          <t>برآورد</t>
        </is>
      </c>
      <c r="I71" s="172" t="n"/>
    </row>
    <row r="72">
      <c r="A72" s="147" t="inlineStr">
        <is>
          <t>Bristol</t>
        </is>
      </c>
      <c r="B72" s="188" t="inlineStr">
        <is>
          <t>انگلستان</t>
        </is>
      </c>
      <c r="C72" s="63" t="inlineStr">
        <is>
          <t>University of Bristol</t>
        </is>
      </c>
      <c r="D72" s="69" t="inlineStr">
        <is>
          <t>خوابگاه دانشگاه</t>
        </is>
      </c>
      <c r="E72" s="125" t="inlineStr">
        <is>
          <t>⭐⭐⭐ متوسط (تأیید کنید)</t>
        </is>
      </c>
      <c r="F72" s="69" t="inlineStr">
        <is>
          <t>≈ $200–345/هفته</t>
        </is>
      </c>
      <c r="G72" s="69" t="inlineStr">
        <is>
          <t>$860–1,130</t>
        </is>
      </c>
      <c r="H72" s="69" t="inlineStr">
        <is>
          <t>برآورد</t>
        </is>
      </c>
      <c r="I72" s="171" t="n"/>
    </row>
    <row r="73">
      <c r="A73" s="147" t="inlineStr">
        <is>
          <t>Durham</t>
        </is>
      </c>
      <c r="B73" s="188" t="inlineStr">
        <is>
          <t>انگلستان</t>
        </is>
      </c>
      <c r="C73" s="113" t="inlineStr">
        <is>
          <t>Durham University</t>
        </is>
      </c>
      <c r="D73" s="114" t="inlineStr">
        <is>
          <t>کالج‌ها</t>
        </is>
      </c>
      <c r="E73" s="125" t="inlineStr">
        <is>
          <t>⭐⭐⭐ متوسط — PG بدون تضمین؛
کالج بعد از پذیرش تماس می‌گیرد</t>
        </is>
      </c>
      <c r="F73" s="114" t="inlineStr">
        <is>
          <t>$240–265/هفته self-catered (۳۹ هفته)
catered $345</t>
        </is>
      </c>
      <c r="G73" s="114" t="inlineStr">
        <is>
          <t>$730–930</t>
        </is>
      </c>
      <c r="H73" s="113" t="inlineStr">
        <is>
          <t>durham.ac.uk / Palatinate رسمی</t>
        </is>
      </c>
      <c r="I73" s="172" t="n"/>
    </row>
    <row r="74">
      <c r="A74" s="173" t="inlineStr">
        <is>
          <t>Tampere</t>
        </is>
      </c>
      <c r="B74" s="189" t="inlineStr">
        <is>
          <t>فنلاند</t>
        </is>
      </c>
      <c r="C74" s="131" t="inlineStr">
        <is>
          <t>Tampere University</t>
        </is>
      </c>
      <c r="D74" s="131" t="inlineStr">
        <is>
          <t>TOAS (بنیاد خوابگاهی تامپره)</t>
        </is>
      </c>
      <c r="E74" s="175" t="inlineStr">
        <is>
          <t>⭐⭐⭐⭐ خوب — با درخواست در آوریل–می معمولاً تا اوت اتاق مشترک؛
استودیو صف ۲–۶ ماه</t>
        </is>
      </c>
      <c r="F74" s="132" t="inlineStr">
        <is>
          <t>اتاق مشترک $240–465
استودیو $275–675 (با قبوض)</t>
        </is>
      </c>
      <c r="G74" s="132" t="inlineStr">
        <is>
          <t>$400–625 اتاق · استودیو $570–800</t>
        </is>
      </c>
      <c r="H74" s="131" t="inlineStr">
        <is>
          <t>toas.fi؛ edunation 2026 (≈)</t>
        </is>
      </c>
      <c r="I74" s="176" t="n"/>
    </row>
    <row r="75">
      <c r="A75" s="147" t="inlineStr">
        <is>
          <t>Oulu</t>
        </is>
      </c>
      <c r="B75" s="190" t="inlineStr">
        <is>
          <t>فنلاند</t>
        </is>
      </c>
      <c r="C75" s="113" t="inlineStr">
        <is>
          <t>University of Oulu</t>
        </is>
      </c>
      <c r="D75" s="113" t="inlineStr">
        <is>
          <t>PSOAS</t>
        </is>
      </c>
      <c r="E75" s="65" t="inlineStr">
        <is>
          <t>⭐⭐⭐⭐⭐ زیاد — عرضهٔ خوب، معمولاً بدون صف برای اتاق مشترک</t>
        </is>
      </c>
      <c r="F75" s="114" t="inlineStr">
        <is>
          <t>اتاق مشترک $285–435 · استودیو $490–570</t>
        </is>
      </c>
      <c r="G75" s="114" t="inlineStr">
        <is>
          <t>$340–570 اتاق · استودیو $515–685</t>
        </is>
      </c>
      <c r="H75" s="113" t="inlineStr">
        <is>
          <t>psoas.fi (≈)</t>
        </is>
      </c>
      <c r="I75" s="172" t="n"/>
    </row>
    <row r="76">
      <c r="A76" s="147" t="inlineStr">
        <is>
          <t>Turku</t>
        </is>
      </c>
      <c r="B76" s="190" t="inlineStr">
        <is>
          <t>فنلاند</t>
        </is>
      </c>
      <c r="C76" s="63" t="inlineStr">
        <is>
          <t>University of Turku</t>
        </is>
      </c>
      <c r="D76" s="63" t="inlineStr">
        <is>
          <t>TYS</t>
        </is>
      </c>
      <c r="E76" s="65" t="inlineStr">
        <is>
          <t>⭐⭐⭐⭐ خوب — اتاق مشترک معمولاً تا سپتامبر؛
استودیو صف</t>
        </is>
      </c>
      <c r="F76" s="69" t="inlineStr">
        <is>
          <t>اتاق مشترک $285–455 · استودیو $450–685</t>
        </is>
      </c>
      <c r="G76" s="69" t="inlineStr">
        <is>
          <t>$400–625 اتاق · استودیو $570–800</t>
        </is>
      </c>
      <c r="H76" s="63" t="inlineStr">
        <is>
          <t>tys.fi (≈)</t>
        </is>
      </c>
      <c r="I76" s="171" t="n"/>
    </row>
    <row r="77">
      <c r="A77" s="147" t="inlineStr">
        <is>
          <t>Lappeenranta</t>
        </is>
      </c>
      <c r="B77" s="190" t="inlineStr">
        <is>
          <t>فنلاند</t>
        </is>
      </c>
      <c r="C77" s="113" t="inlineStr">
        <is>
          <t>LUT</t>
        </is>
      </c>
      <c r="D77" s="113" t="inlineStr">
        <is>
          <t>LOAS</t>
        </is>
      </c>
      <c r="E77" s="65" t="inlineStr">
        <is>
          <t>⭐⭐⭐⭐⭐ زیاد — شهر کوچک، عرضهٔ کافی</t>
        </is>
      </c>
      <c r="F77" s="114" t="inlineStr">
        <is>
          <t>≈ $285–515</t>
        </is>
      </c>
      <c r="G77" s="114" t="inlineStr">
        <is>
          <t>$340–515 اتاق · استودیو $455–625</t>
        </is>
      </c>
      <c r="H77" s="113" t="inlineStr">
        <is>
          <t>loas.fi (≈)</t>
        </is>
      </c>
      <c r="I77" s="172" t="n"/>
    </row>
    <row r="78">
      <c r="A78" s="173" t="inlineStr">
        <is>
          <t>St. John's</t>
        </is>
      </c>
      <c r="B78" s="191" t="inlineStr">
        <is>
          <t>کانادا</t>
        </is>
      </c>
      <c r="C78" s="131" t="inlineStr">
        <is>
          <t>Memorial University (MUN)</t>
        </is>
      </c>
      <c r="D78" s="132" t="inlineStr">
        <is>
          <t>خوابگاه MUN (Paton College، Burton's Pond، Macpherson College)</t>
        </is>
      </c>
      <c r="E78" s="175" t="inlineStr">
        <is>
          <t>⭐⭐⭐⭐ خوب — شهر کوچک، عرضهٔ کافی؛
درخواست بعد از پذیرش</t>
        </is>
      </c>
      <c r="F78" s="131" t="inlineStr">
        <is>
          <t>Paton College تک‌نفره با غذا $3,700/ترم ≈ $925
Burton's Pond ≈ $810 (رسمی 2026/27)</t>
        </is>
      </c>
      <c r="G78" s="132" t="inlineStr">
        <is>
          <t>$740 اتاق (برآورد رسمی MUN)
یک‌خوابه ≈ $775–915</t>
        </is>
      </c>
      <c r="H78" s="131" t="inlineStr">
        <is>
          <t>mun.ca MinimumExpense 2026-27 (رسمی)</t>
        </is>
      </c>
      <c r="I78" s="176" t="n"/>
    </row>
    <row r="79">
      <c r="A79" s="147" t="inlineStr">
        <is>
          <t>Winnipeg</t>
        </is>
      </c>
      <c r="B79" s="192" t="inlineStr">
        <is>
          <t>کانادا</t>
        </is>
      </c>
      <c r="C79" s="113" t="inlineStr">
        <is>
          <t>University of Manitoba</t>
        </is>
      </c>
      <c r="D79" s="114" t="inlineStr">
        <is>
          <t>خوابگاه UM (Arthur V. Mauro، Pembina Hall، University College)</t>
        </is>
      </c>
      <c r="E79" s="65" t="inlineStr">
        <is>
          <t>⭐⭐⭐⭐ خوب — معمولاً ظرفیت هست؛
ارشد اولویت ندارد ولی جا می‌شود</t>
        </is>
      </c>
      <c r="F79" s="114" t="inlineStr">
        <is>
          <t>≈ $635–915 (تک‌نفره؛ Pembina با غذا بیشتر) (≈)</t>
        </is>
      </c>
      <c r="G79" s="114" t="inlineStr">
        <is>
          <t>$460–705 اتاق · یک‌خوابه CMHC $835</t>
        </is>
      </c>
      <c r="H79" s="113" t="inlineStr">
        <is>
          <t>umanitoba.ca housing (≈)؛ CMHC اکتبر ۲۰۲۵</t>
        </is>
      </c>
      <c r="I79" s="172" t="n"/>
    </row>
    <row r="80">
      <c r="A80" s="147" t="inlineStr">
        <is>
          <t>Saskatoon</t>
        </is>
      </c>
      <c r="B80" s="192" t="inlineStr">
        <is>
          <t>کانادا</t>
        </is>
      </c>
      <c r="C80" s="63" t="inlineStr">
        <is>
          <t>University of Saskatchewan</t>
        </is>
      </c>
      <c r="D80" s="63" t="inlineStr">
        <is>
          <t>Residence Services (Graduate House ۱۲ ماهه، McEown Park، College Quarter)</t>
        </is>
      </c>
      <c r="E80" s="65" t="inlineStr">
        <is>
          <t>⭐⭐⭐⭐ خوب — Graduate House مخصوص ارشد/حرفه‌ای؛
Seager Wheeler ارزان‌ترین</t>
        </is>
      </c>
      <c r="F80" s="63" t="inlineStr">
        <is>
          <t>Graduate House دوخوابهٔ مشترک $855
استودیو $1,060
Seager Wheeler اتاق در واحد ۶ نفره $475 (۸ ماه)
Assiniboine یک‌خوابه $790 (رسمی 2026/27)</t>
        </is>
      </c>
      <c r="G80" s="69" t="inlineStr">
        <is>
          <t>$460–670 اتاق · یک‌خوابه CMHC $800</t>
        </is>
      </c>
      <c r="H80" s="63" t="inlineStr">
        <is>
          <t>livewithus.usask.ca (رسمی)</t>
        </is>
      </c>
      <c r="I80" s="171" t="n"/>
    </row>
    <row r="81">
      <c r="A81" s="147" t="inlineStr">
        <is>
          <t>Edmonton</t>
        </is>
      </c>
      <c r="B81" s="192" t="inlineStr">
        <is>
          <t>کانادا</t>
        </is>
      </c>
      <c r="C81" s="113" t="inlineStr">
        <is>
          <t>University of Alberta</t>
        </is>
      </c>
      <c r="D81" s="113" t="inlineStr">
        <is>
          <t>Residence Services (Graduate Residence، Newton Place، East Campus Village)</t>
        </is>
      </c>
      <c r="E81" s="125" t="inlineStr">
        <is>
          <t>⭐⭐⭐ متوسط — Graduate Residence محدود؛
خصوصی فراوان و ارزان</t>
        </is>
      </c>
      <c r="F81" s="114" t="inlineStr">
        <is>
          <t>≈ $670–1,020 (استودیو/یک‌خوابهٔ ارشد) (≈)</t>
        </is>
      </c>
      <c r="G81" s="114" t="inlineStr">
        <is>
          <t>$495–705 اتاق · یک‌خوابه CMHC $930</t>
        </is>
      </c>
      <c r="H81" s="113" t="inlineStr">
        <is>
          <t>ualberta.ca residence (≈)؛ CMHC اکتبر ۲۰۲۵</t>
        </is>
      </c>
      <c r="I81" s="172" t="n"/>
    </row>
    <row r="82">
      <c r="A82" s="147" t="inlineStr">
        <is>
          <t>Calgary</t>
        </is>
      </c>
      <c r="B82" s="192" t="inlineStr">
        <is>
          <t>کانادا</t>
        </is>
      </c>
      <c r="C82" s="63" t="inlineStr">
        <is>
          <t>University of Calgary</t>
        </is>
      </c>
      <c r="D82" s="63" t="inlineStr">
        <is>
          <t>Residence Services (Crowsnest Hall برای ارشد، Varsity Courts خانوادگی)</t>
        </is>
      </c>
      <c r="E82" s="125" t="inlineStr">
        <is>
          <t>⭐⭐⭐ متوسط — Crowsnest محدود؛
درخواست بهار؛
خصوصی نزدیک دانشگاه (Brentwood/Dalhousie NW)</t>
        </is>
      </c>
      <c r="F82" s="63" t="inlineStr">
        <is>
          <t>Crowsnest استودیو $7,880 / ۸ ماه = $985
یک‌خوابه $1,050
دوخوابهٔ مشترک $815 (رسمی 2026/27، با اینترنت و بیمه)</t>
        </is>
      </c>
      <c r="G82" s="69" t="inlineStr">
        <is>
          <t>$565–845 اتاق · یک‌خوابه CMHC $1,070</t>
        </is>
      </c>
      <c r="H82" s="63" t="inlineStr">
        <is>
          <t>ucalgary.ca rates 2026-27 (رسمی)</t>
        </is>
      </c>
      <c r="I82" s="171" t="n"/>
    </row>
    <row r="83">
      <c r="A83" s="147" t="inlineStr">
        <is>
          <t>Victoria</t>
        </is>
      </c>
      <c r="B83" s="192" t="inlineStr">
        <is>
          <t>کانادا</t>
        </is>
      </c>
      <c r="C83" s="113" t="inlineStr">
        <is>
          <t>University of Victoria</t>
        </is>
      </c>
      <c r="D83" s="113" t="inlineStr">
        <is>
          <t>Residence Services (Graduate/Family Housing محدود)</t>
        </is>
      </c>
      <c r="E83" s="170" t="inlineStr">
        <is>
          <t>⭐⭐ کم — بازار ویکتوریا تنگ؛
قرعه/صف؛
زود اقدام کنید</t>
        </is>
      </c>
      <c r="F83" s="114" t="inlineStr">
        <is>
          <t>≈ $705–1,060 (≈)</t>
        </is>
      </c>
      <c r="G83" s="114" t="inlineStr">
        <is>
          <t>$635–915 اتاق · یک‌خوابه CMHC $1,300</t>
        </is>
      </c>
      <c r="H83" s="113" t="inlineStr">
        <is>
          <t>uvic.ca housing (≈)؛ CMHC اکتبر ۲۰۲۵</t>
        </is>
      </c>
      <c r="I83" s="172" t="n"/>
    </row>
    <row r="84">
      <c r="A84" s="147" t="inlineStr">
        <is>
          <t>Ottawa</t>
        </is>
      </c>
      <c r="B84" s="192" t="inlineStr">
        <is>
          <t>کانادا</t>
        </is>
      </c>
      <c r="C84" s="63" t="inlineStr">
        <is>
          <t>Carleton University</t>
        </is>
      </c>
      <c r="D84" s="63" t="inlineStr">
        <is>
          <t>Housing Services (Frontenac/Leeds برای ارشد، محدود) + بازار خصوصی</t>
        </is>
      </c>
      <c r="E84" s="170" t="inlineStr">
        <is>
          <t>⭐⭐ کم — ارشد اولویت ندارد؛
خصوصی در Old Ottawa South / Centretown</t>
        </is>
      </c>
      <c r="F84" s="69" t="inlineStr">
        <is>
          <t>≈ $845–1,130 با غذا (≈)</t>
        </is>
      </c>
      <c r="G84" s="69" t="inlineStr">
        <is>
          <t>$565–845 اتاق · یک‌خوابه CMHC $1,150</t>
        </is>
      </c>
      <c r="H84" s="63" t="inlineStr">
        <is>
          <t>carleton.ca housing (≈)؛ CMHC اکتبر ۲۰۲۵</t>
        </is>
      </c>
      <c r="I84" s="171" t="n"/>
    </row>
    <row r="85">
      <c r="A85" s="147" t="inlineStr">
        <is>
          <t>Windsor</t>
        </is>
      </c>
      <c r="B85" s="192" t="inlineStr">
        <is>
          <t>کانادا</t>
        </is>
      </c>
      <c r="C85" s="113" t="inlineStr">
        <is>
          <t>University of Windsor</t>
        </is>
      </c>
      <c r="D85" s="113" t="inlineStr">
        <is>
          <t>Residence Services (Alumni Hall) + خانه‌های مشترک اطراف دانشگاه</t>
        </is>
      </c>
      <c r="E85" s="125" t="inlineStr">
        <is>
          <t>⭐⭐⭐ متوسط — خصوصی ارزان و فراوان؛
خوابگاه بیشتر کارشناسی</t>
        </is>
      </c>
      <c r="F85" s="114" t="inlineStr">
        <is>
          <t>≈ $635–845 (≈)</t>
        </is>
      </c>
      <c r="G85" s="114" t="inlineStr">
        <is>
          <t>$460–670 اتاق · یک‌خوابه ≈ $915–1,020</t>
        </is>
      </c>
      <c r="H85" s="113" t="inlineStr">
        <is>
          <t>uwindsor.ca residence (≈)</t>
        </is>
      </c>
      <c r="I85" s="172" t="n"/>
    </row>
    <row r="86">
      <c r="A86" s="147" t="inlineStr">
        <is>
          <t>Regina</t>
        </is>
      </c>
      <c r="B86" s="192" t="inlineStr">
        <is>
          <t>کانادا</t>
        </is>
      </c>
      <c r="C86" s="63" t="inlineStr">
        <is>
          <t>University of Regina</t>
        </is>
      </c>
      <c r="D86" s="63" t="inlineStr">
        <is>
          <t>Housing Services (Kīšik Towers، Paskwāw/Wakpá Towers؛ ارشد پذیرفته می‌شود) (۳.۱۳)</t>
        </is>
      </c>
      <c r="E86" s="65" t="inlineStr">
        <is>
          <t>⭐⭐⭐⭐ خوب — شهر کوچک، عرضهٔ کافی؛ خصوصی ارزان</t>
        </is>
      </c>
      <c r="F86" s="69" t="inlineStr">
        <is>
          <t>≈ $565–845 (استودیو/یک‌خوابهٔ خوابگاه؛ ≈)</t>
        </is>
      </c>
      <c r="G86" s="69" t="inlineStr">
        <is>
          <t>$425–600 اتاق
یک‌خوابه ≈ $880 (میانگین کل واحدها CMHC اکتبر ۲۰۲۵: $995)</t>
        </is>
      </c>
      <c r="H86" s="63" t="inlineStr">
        <is>
          <t>uregina.ca housing (≈)؛ CMHC اکتبر ۲۰۲۵</t>
        </is>
      </c>
      <c r="I86" s="171" t="n"/>
    </row>
    <row r="87">
      <c r="A87" s="147" t="inlineStr">
        <is>
          <t>Halifax</t>
        </is>
      </c>
      <c r="B87" s="192" t="inlineStr">
        <is>
          <t>کانادا</t>
        </is>
      </c>
      <c r="C87" s="113" t="inlineStr">
        <is>
          <t>Dalhousie University</t>
        </is>
      </c>
      <c r="D87" s="113" t="inlineStr">
        <is>
          <t>Residence (Graduate House، Gerard Hall؛ ارشد محدود) + بازار خصوصی (۳.۱۳)</t>
        </is>
      </c>
      <c r="E87" s="170" t="inlineStr">
        <is>
          <t>⭐⭐ کم — عرضهٔ خوابگاه ارشد کم؛
بازار هلیفکس ۲۰۲۴–۲۵ تنگ، ۲۰۲۶ کمی بازتر</t>
        </is>
      </c>
      <c r="F87" s="114" t="inlineStr">
        <is>
          <t>≈ $705–1,060 (≈)</t>
        </is>
      </c>
      <c r="G87" s="114" t="inlineStr">
        <is>
          <t>$530–775 اتاق
یک‌خوابه CMHC $1,080 (میانگین ۲۰۲۵)</t>
        </is>
      </c>
      <c r="H87" s="113" t="inlineStr">
        <is>
          <t>dal.ca residence (≈)؛
Halifax Index 2026 / CMHC</t>
        </is>
      </c>
      <c r="I87" s="172" t="n"/>
    </row>
    <row r="88">
      <c r="A88" s="147" t="inlineStr">
        <is>
          <t>Waterloo</t>
        </is>
      </c>
      <c r="B88" s="192" t="inlineStr">
        <is>
          <t>کانادا</t>
        </is>
      </c>
      <c r="C88" s="63" t="inlineStr">
        <is>
          <t>University of Waterloo</t>
        </is>
      </c>
      <c r="D88" s="63" t="inlineStr">
        <is>
          <t>Campus Housing (Columbia Lake Village برای ارشد/خانواده، UWP) + بازار خصوصی دانشجویی بسیار بزرگ (۳.۱۳)</t>
        </is>
      </c>
      <c r="E88" s="125" t="inlineStr">
        <is>
          <t>⭐⭐⭐ متوسط — CLV محدود ولی خصوصی دانشجویی فراوان (ساختمان‌های اتاق‌اجاره‌ای اطراف کمپوس)</t>
        </is>
      </c>
      <c r="F88" s="69" t="inlineStr">
        <is>
          <t>≈ $705–985 (≈)</t>
        </is>
      </c>
      <c r="G88" s="69" t="inlineStr">
        <is>
          <t>$530–810 اتاق
یک‌خوابه ≈ $1,130 (Kitchener–Waterloo، CMHC ≈)</t>
        </is>
      </c>
      <c r="H88" s="63" t="inlineStr">
        <is>
          <t>uwaterloo.ca housing (≈)</t>
        </is>
      </c>
      <c r="I88" s="171" t="n"/>
    </row>
    <row r="89">
      <c r="A89" s="147" t="inlineStr">
        <is>
          <t>Oshawa</t>
        </is>
      </c>
      <c r="B89" s="192" t="inlineStr">
        <is>
          <t>کانادا</t>
        </is>
      </c>
      <c r="C89" s="113" t="inlineStr">
        <is>
          <t>Ontario Tech University</t>
        </is>
      </c>
      <c r="D89" s="113" t="inlineStr">
        <is>
          <t>Residence (South Village/Simcoe Village؛ بیشتر کارشناسی) + بازار خصوصی (۳.۱۳)</t>
        </is>
      </c>
      <c r="E89" s="125" t="inlineStr">
        <is>
          <t>⭐⭐⭐ متوسط — خوابگاه بیشتر کارشناسی؛
خصوصی ارزان‌تر از تورنتو</t>
        </is>
      </c>
      <c r="F89" s="114" t="inlineStr">
        <is>
          <t>≈ $705–985 (≈)</t>
        </is>
      </c>
      <c r="G89" s="114" t="inlineStr">
        <is>
          <t>$530–740 اتاق
یک‌خوابه ≈ $1,130 (Oshawa CMA، CMHC ≈)</t>
        </is>
      </c>
      <c r="H89" s="113" t="inlineStr">
        <is>
          <t>ontariotechu.ca residence (≈)</t>
        </is>
      </c>
      <c r="I89" s="172" t="n"/>
    </row>
    <row r="90">
      <c r="A90" s="147" t="inlineStr">
        <is>
          <t>Toronto</t>
        </is>
      </c>
      <c r="B90" s="192" t="inlineStr">
        <is>
          <t>کانادا</t>
        </is>
      </c>
      <c r="C90" s="63" t="inlineStr">
        <is>
          <t>University of Toronto (MScAC)</t>
        </is>
      </c>
      <c r="D90" s="63" t="inlineStr">
        <is>
          <t>Graduate House (۱۲ ماهه) + Student Family Housing + بازار خصوصی</t>
        </is>
      </c>
      <c r="E90" s="170" t="inlineStr">
        <is>
          <t>⭐⭐ کم — قرعه؛ بازار خصوصی گران‌ترین کانادا</t>
        </is>
      </c>
      <c r="F90" s="63" t="inlineStr">
        <is>
          <t>Graduate House ≈ $985–1,340 (≈)</t>
        </is>
      </c>
      <c r="G90" s="69" t="inlineStr">
        <is>
          <t>$705–1,060 اتاق
یک‌خوابه CMHC $1,240 (آگهی‌های جدید ≈ $1,520)</t>
        </is>
      </c>
      <c r="H90" s="63" t="inlineStr">
        <is>
          <t>utoronto.ca housing (≈)؛ CMHC اکتبر ۲۰۲۵</t>
        </is>
      </c>
      <c r="I90" s="171" t="n"/>
    </row>
    <row r="91">
      <c r="A91" s="173" t="inlineStr">
        <is>
          <t>Espoo / Helsinki</t>
        </is>
      </c>
      <c r="B91" s="189" t="inlineStr">
        <is>
          <t>فنلاند</t>
        </is>
      </c>
      <c r="C91" s="119" t="inlineStr">
        <is>
          <t>Aalto، University of Helsinki</t>
        </is>
      </c>
      <c r="D91" s="119" t="inlineStr">
        <is>
          <t>HOAS (منطقهٔ هلسینکی) + AYY (فقط Aalto)</t>
        </is>
      </c>
      <c r="E91" s="185" t="inlineStr">
        <is>
          <t>⭐⭐ کم — صف چند ماهه؛
تابستان بدترین زمان؛
هم‌زمان بازار خصوصی</t>
        </is>
      </c>
      <c r="F91" s="120" t="inlineStr">
        <is>
          <t>اتاق مشترک $340–515
استودیو $515–685 (HOAS)</t>
        </is>
      </c>
      <c r="G91" s="120" t="inlineStr">
        <is>
          <t>$570–855 اتاق
استودیو $800–1,030 (+ در مرکز)</t>
        </is>
      </c>
      <c r="H91" s="119" t="inlineStr">
        <is>
          <t>hoas.fi؛ ayy.fi (≈)</t>
        </is>
      </c>
      <c r="I91" s="180" t="n"/>
    </row>
    <row r="92"/>
    <row r="93" ht="44" customHeight="1">
      <c r="A93" s="15" t="inlineStr">
        <is>
          <t>دانشگاه</t>
        </is>
      </c>
      <c r="B93" s="15" t="inlineStr">
        <is>
          <t>کشور / شهر</t>
        </is>
      </c>
      <c r="C93" s="15" t="inlineStr">
        <is>
          <t>خوابگاه یا کمک دانشگاه</t>
        </is>
      </c>
      <c r="D93" s="15" t="inlineStr">
        <is>
          <t>تضمین برای ارشد؟</t>
        </is>
      </c>
      <c r="E93" s="15" t="inlineStr">
        <is>
          <t>اجاره (ماهانه ≈)</t>
        </is>
      </c>
      <c r="F93" s="15" t="inlineStr">
        <is>
          <t>غذا؟</t>
        </is>
      </c>
      <c r="G93" s="15" t="inlineStr">
        <is>
          <t>مهلت / نکته</t>
        </is>
      </c>
      <c r="H93" s="15" t="inlineStr">
        <is>
          <t>منبع</t>
        </is>
      </c>
      <c r="I93" s="168" t="n"/>
    </row>
    <row r="94">
      <c r="A94" s="147" t="inlineStr">
        <is>
          <t>Universität Stuttgart</t>
        </is>
      </c>
      <c r="B94" s="169" t="inlineStr">
        <is>
          <t>آلمان / Stuttgart</t>
        </is>
      </c>
      <c r="C94" s="63" t="inlineStr">
        <is>
          <t>Studierendenwerk Stuttgart (۳۵ مجموعه، ۷,۲۰۰ جا)</t>
        </is>
      </c>
      <c r="D94" s="47" t="inlineStr">
        <is>
          <t>❌ لیست انتظار ۶–۸ ماه</t>
        </is>
      </c>
      <c r="E94" s="69" t="inlineStr">
        <is>
          <t>$260–570 (میانگین $395) با قبوض</t>
        </is>
      </c>
      <c r="F94" s="47" t="inlineStr">
        <is>
          <t>❌</t>
        </is>
      </c>
      <c r="G94" s="69" t="inlineStr">
        <is>
          <t>همان روز پذیرش ثبت‌نام؛
Esslingen/Göppingen زودتر خالی می‌شود</t>
        </is>
      </c>
      <c r="H94" s="106" t="inlineStr">
        <is>
          <t>studierendenwerk-stuttgart.de</t>
        </is>
      </c>
      <c r="I94" s="171" t="n"/>
    </row>
    <row r="95">
      <c r="A95" s="147" t="inlineStr">
        <is>
          <t>Uni Passau / Saarland / TU Dresden / Chemnitz / OVGU</t>
        </is>
      </c>
      <c r="B95" s="169" t="inlineStr">
        <is>
          <t>آلمان / شهرهای ارزان</t>
        </is>
      </c>
      <c r="C95" s="113" t="inlineStr">
        <is>
          <t>Studierendenwerk محلی</t>
        </is>
      </c>
      <c r="D95" s="47" t="inlineStr">
        <is>
          <t>❌ ولی معمولاً ظرفیت هست</t>
        </is>
      </c>
      <c r="E95" s="114" t="inlineStr">
        <is>
          <t>$250–435 با قبوض (≈)</t>
        </is>
      </c>
      <c r="F95" s="47" t="inlineStr">
        <is>
          <t>❌</t>
        </is>
      </c>
      <c r="G95" s="114" t="inlineStr">
        <is>
          <t>شهرهای کوچک/شرقی: بدون بحران؛
WG خصوصی $320–515</t>
        </is>
      </c>
      <c r="H95" s="146" t="inlineStr">
        <is>
          <t>studierendenwerke.de (≈)</t>
        </is>
      </c>
      <c r="I95" s="172" t="n"/>
    </row>
    <row r="96">
      <c r="A96" s="147" t="inlineStr">
        <is>
          <t>TU Darmstadt / RWTH Aachen / FAU Erlangen</t>
        </is>
      </c>
      <c r="B96" s="169" t="inlineStr">
        <is>
          <t>آلمان / شهرهای گران</t>
        </is>
      </c>
      <c r="C96" s="63" t="inlineStr">
        <is>
          <t>Studierendenwerk محلی</t>
        </is>
      </c>
      <c r="D96" s="47" t="inlineStr">
        <is>
          <t>❌ صف طولانی</t>
        </is>
      </c>
      <c r="E96" s="69" t="inlineStr">
        <is>
          <t>$340–515 با قبوض (≈)</t>
        </is>
      </c>
      <c r="F96" s="47" t="inlineStr">
        <is>
          <t>❌</t>
        </is>
      </c>
      <c r="G96" s="63" t="inlineStr">
        <is>
          <t>WG خصوصی $515–800؛ زودتر از همه اقدام کنید</t>
        </is>
      </c>
      <c r="H96" s="106" t="inlineStr">
        <is>
          <t>studierendenwerke.de (≈)</t>
        </is>
      </c>
      <c r="I96" s="171" t="n"/>
    </row>
    <row r="97">
      <c r="A97" s="173" t="inlineStr">
        <is>
          <t>University of Twente</t>
        </is>
      </c>
      <c r="B97" s="174" t="inlineStr">
        <is>
          <t>هلند / Enschede</t>
        </is>
      </c>
      <c r="C97" s="120" t="inlineStr">
        <is>
          <t>اتاق‌های کمپوس و شهر از طریق Roomspot (اول‌آمده‌اول‌گرفته)</t>
        </is>
      </c>
      <c r="D97" s="120" t="inlineStr">
        <is>
          <t>پیشنهاد برای دانشجویان ویزایی اگر زود اقدام کنند</t>
        </is>
      </c>
      <c r="E97" s="120" t="inlineStr">
        <is>
          <t>$340–910</t>
        </is>
      </c>
      <c r="F97" s="193" t="inlineStr">
        <is>
          <t>❌</t>
        </is>
      </c>
      <c r="G97" s="120" t="inlineStr">
        <is>
          <t>بلافاصله بعد از پذیرش در Roomspot ثبت‌نام کنید</t>
        </is>
      </c>
      <c r="H97" s="194" t="inlineStr">
        <is>
          <t>utwente.nl (issuu)</t>
        </is>
      </c>
      <c r="I97" s="180" t="n"/>
    </row>
    <row r="98">
      <c r="A98" s="147" t="inlineStr">
        <is>
          <t>Radboud University</t>
        </is>
      </c>
      <c r="B98" s="177" t="inlineStr">
        <is>
          <t>هلند / Nijmegen</t>
        </is>
      </c>
      <c r="C98" s="69" t="inlineStr">
        <is>
          <t>میانجی‌گری دانشگاه + SSH&amp; (اتاق‌های مبله برای کل دوره)</t>
        </is>
      </c>
      <c r="D98" s="47" t="inlineStr">
        <is>
          <t>❌ «کمک، نه تضمین»</t>
        </is>
      </c>
      <c r="E98" s="69" t="inlineStr">
        <is>
          <t>$420–740</t>
        </is>
      </c>
      <c r="F98" s="47" t="inlineStr">
        <is>
          <t>❌</t>
        </is>
      </c>
      <c r="G98" s="69" t="inlineStr">
        <is>
          <t>فرم PAS تا ۱ ژوئن؛
پیشنهادها می–ژوئیه؛
گاهی ۳ ماه پیش‌پرداخت</t>
        </is>
      </c>
      <c r="H98" s="106" t="inlineStr">
        <is>
          <t>ru.nl؛ sshn.nl</t>
        </is>
      </c>
      <c r="I98" s="171" t="n"/>
    </row>
    <row r="99">
      <c r="A99" s="147" t="inlineStr">
        <is>
          <t>Utrecht / TU Eindhoven / UvA / Delft / Leiden</t>
        </is>
      </c>
      <c r="B99" s="177" t="inlineStr">
        <is>
          <t>هلند / شهرهای بزرگ</t>
        </is>
      </c>
      <c r="C99" s="114" t="inlineStr">
        <is>
          <t>اتاق‌های رزروشده با SSH/Plaza/Vestide؛
قرعه‌کشی یا اول‌آمده</t>
        </is>
      </c>
      <c r="D99" s="164" t="inlineStr">
        <is>
          <t>❌ (Utrecht ۲۰۲۶: ۲۸ می تمام شد)</t>
        </is>
      </c>
      <c r="E99" s="113" t="inlineStr">
        <is>
          <t>$740–1,250 (Utrecht استودیو $990 با قبوض)</t>
        </is>
      </c>
      <c r="F99" s="47" t="inlineStr">
        <is>
          <t>❌</t>
        </is>
      </c>
      <c r="G99" s="114" t="inlineStr">
        <is>
          <t>ودیعه ≈ ۲ ماه (Utrecht $1,490)؛
قرارداد ۱۲ ماههٔ ثابت</t>
        </is>
      </c>
      <c r="H99" s="146" t="inlineStr">
        <is>
          <t>uu.nl</t>
        </is>
      </c>
      <c r="I99" s="172" t="n"/>
    </row>
    <row r="100">
      <c r="A100" s="173" t="inlineStr">
        <is>
          <t>Uppsala University</t>
        </is>
      </c>
      <c r="B100" s="178" t="inlineStr">
        <is>
          <t>سوئد / Uppsala</t>
        </is>
      </c>
      <c r="C100" s="131" t="inlineStr">
        <is>
          <t>Housing Office دانشگاه</t>
        </is>
      </c>
      <c r="D100" s="175" t="inlineStr">
        <is>
          <t>✅ تضمین رسمی برای شهریه‌پردازها</t>
        </is>
      </c>
      <c r="E100" s="132" t="inlineStr">
        <is>
          <t>$355–615</t>
        </is>
      </c>
      <c r="F100" s="193" t="inlineStr">
        <is>
          <t>❌</t>
        </is>
      </c>
      <c r="G100" s="132" t="inlineStr">
        <is>
          <t>شهریه را تا مهلت بپردازید و به‌موقع درخواست دهید</t>
        </is>
      </c>
      <c r="H100" s="195" t="inlineStr">
        <is>
          <t>uu.se</t>
        </is>
      </c>
      <c r="I100" s="176" t="n"/>
    </row>
    <row r="101">
      <c r="A101" s="147" t="inlineStr">
        <is>
          <t>Linköping University</t>
        </is>
      </c>
      <c r="B101" s="181" t="inlineStr">
        <is>
          <t>سوئد / Linköping</t>
        </is>
      </c>
      <c r="C101" s="114" t="inlineStr">
        <is>
          <t>یک پیشنهاد اتاق برای سال اول (Studentbostäder)</t>
        </is>
      </c>
      <c r="D101" s="65" t="inlineStr">
        <is>
          <t>✅ یک پیشنهاد (نه انتخاب)</t>
        </is>
      </c>
      <c r="E101" s="114" t="inlineStr">
        <is>
          <t>$355–555 (≈)</t>
        </is>
      </c>
      <c r="F101" s="47" t="inlineStr">
        <is>
          <t>❌</t>
        </is>
      </c>
      <c r="G101" s="114" t="inlineStr">
        <is>
          <t>بعد از پرداخت شهریه؛ رد کنید = از دست می‌رود</t>
        </is>
      </c>
      <c r="H101" s="146" t="inlineStr">
        <is>
          <t>liu.se</t>
        </is>
      </c>
      <c r="I101" s="172" t="n"/>
    </row>
    <row r="102">
      <c r="A102" s="147" t="inlineStr">
        <is>
          <t>KTH / Chalmers</t>
        </is>
      </c>
      <c r="B102" s="181" t="inlineStr">
        <is>
          <t>سوئد / Stockholm / Göteborg</t>
        </is>
      </c>
      <c r="C102" s="63" t="inlineStr">
        <is>
          <t>KTH Accommodation (محدود)؛
Chalmers از طریق SGS برای شهریه‌پردازها</t>
        </is>
      </c>
      <c r="D102" s="164" t="inlineStr">
        <is>
          <t>❌ KTH بدون تضمین؛ Chalmers سهمیه (چک شود)</t>
        </is>
      </c>
      <c r="E102" s="69" t="inlineStr">
        <is>
          <t>$455–810</t>
        </is>
      </c>
      <c r="F102" s="47" t="inlineStr">
        <is>
          <t>❌</t>
        </is>
      </c>
      <c r="G102" s="63" t="inlineStr">
        <is>
          <t>SSSB استکهلم صف ۶–۱۸ ماه؛ Plan B لازم</t>
        </is>
      </c>
      <c r="H102" s="106" t="inlineStr">
        <is>
          <t>su.se؛ leapscholar (≈)</t>
        </is>
      </c>
      <c r="I102" s="171" t="n"/>
    </row>
    <row r="103">
      <c r="A103" s="147" t="inlineStr">
        <is>
          <t>Halmstad / MDU / BTH / Skövde</t>
        </is>
      </c>
      <c r="B103" s="181" t="inlineStr">
        <is>
          <t>سوئد / شهرهای کوچک</t>
        </is>
      </c>
      <c r="C103" s="114" t="inlineStr">
        <is>
          <t>معرفی به شرکت‌های مسکن شهرداری</t>
        </is>
      </c>
      <c r="D103" s="164" t="inlineStr">
        <is>
          <t>❌ Halmstad صریحاً «تضمین نمی‌کند»؛ بقیه صف</t>
        </is>
      </c>
      <c r="E103" s="114" t="inlineStr">
        <is>
          <t>$355–555 (≈)</t>
        </is>
      </c>
      <c r="F103" s="47" t="inlineStr">
        <is>
          <t>❌</t>
        </is>
      </c>
      <c r="G103" s="114" t="inlineStr">
        <is>
          <t>شهرهای کوچک: معمولاً ظرف چند هفته پیدا می‌شود</t>
        </is>
      </c>
      <c r="H103" s="146" t="inlineStr">
        <is>
          <t>hh.se (≈)</t>
        </is>
      </c>
      <c r="I103" s="172" t="n"/>
    </row>
    <row r="104">
      <c r="A104" s="173" t="inlineStr">
        <is>
          <t>Aalborg University (Aalborg)</t>
        </is>
      </c>
      <c r="B104" s="182" t="inlineStr">
        <is>
          <t>دانمارک / Aalborg</t>
        </is>
      </c>
      <c r="C104" s="131" t="inlineStr">
        <is>
          <t>International Accommodation Office؛
۲۲۰+ واحد مبله</t>
        </is>
      </c>
      <c r="D104" s="175" t="inlineStr">
        <is>
          <t>✅ «تقریباً ۱۰۰٪»</t>
        </is>
      </c>
      <c r="E104" s="132" t="inlineStr">
        <is>
          <t>$490–720 (میانگین $605) با اینترنت/آب/گرمایش/برق</t>
        </is>
      </c>
      <c r="F104" s="193" t="inlineStr">
        <is>
          <t>❌</t>
        </is>
      </c>
      <c r="G104" s="132" t="inlineStr">
        <is>
          <t>اجاره سه‌ماهه؛
ثبت‌نام studieboligaalborg.dk ۱ ژوئیه – ۳۱ اوت</t>
        </is>
      </c>
      <c r="H104" s="195" t="inlineStr">
        <is>
          <t>en.aau.dk؛ findunirooms</t>
        </is>
      </c>
      <c r="I104" s="176" t="n"/>
    </row>
    <row r="105">
      <c r="A105" s="147" t="inlineStr">
        <is>
          <t>AAU Copenhagen / ITU / DTU / KU</t>
        </is>
      </c>
      <c r="B105" s="183" t="inlineStr">
        <is>
          <t>دانمارک / Copenhagen</t>
        </is>
      </c>
      <c r="C105" s="114" t="inlineStr">
        <is>
          <t>راهنمایی؛ KKIK/CIU؛ خوابگاه‌های خصوصی</t>
        </is>
      </c>
      <c r="D105" s="47" t="inlineStr">
        <is>
          <t>❌ صریحاً بدون تضمین</t>
        </is>
      </c>
      <c r="E105" s="113" t="inlineStr">
        <is>
          <t>$535–915 (KKIK/CIU)
$765–1,370 خوابگاه/co-living
آپارتمان $1,070+</t>
        </is>
      </c>
      <c r="F105" s="47" t="inlineStr">
        <is>
          <t>❌</t>
        </is>
      </c>
      <c r="G105" s="114" t="inlineStr">
        <is>
          <t>«سخت‌ترین بازار اروپا» (خود AAU)؛
۶ ماه قبل شروع کنید</t>
        </is>
      </c>
      <c r="H105" s="146" t="inlineStr">
        <is>
          <t>en.aau.dk</t>
        </is>
      </c>
      <c r="I105" s="172" t="n"/>
    </row>
    <row r="106">
      <c r="A106" s="147" t="inlineStr">
        <is>
          <t>SDU Odense</t>
        </is>
      </c>
      <c r="B106" s="183" t="inlineStr">
        <is>
          <t>دانمارک / Odense</t>
        </is>
      </c>
      <c r="C106" s="63" t="inlineStr">
        <is>
          <t>SDU Housing (کمک با kollegium)</t>
        </is>
      </c>
      <c r="D106" s="47" t="inlineStr">
        <is>
          <t>❌ کمک، بدون تضمین</t>
        </is>
      </c>
      <c r="E106" s="69" t="inlineStr">
        <is>
          <t>$535–840 (≈)</t>
        </is>
      </c>
      <c r="F106" s="47" t="inlineStr">
        <is>
          <t>❌</t>
        </is>
      </c>
      <c r="G106" s="63" t="inlineStr">
        <is>
          <t>Odense خیلی ارزان‌تر از کپنهاگ</t>
        </is>
      </c>
      <c r="H106" s="106" t="inlineStr">
        <is>
          <t>sdu.dk (≈)</t>
        </is>
      </c>
      <c r="I106" s="171" t="n"/>
    </row>
    <row r="107">
      <c r="A107" s="173" t="inlineStr">
        <is>
          <t>ETH Zürich / UZH / ZHAW</t>
        </is>
      </c>
      <c r="B107" s="184" t="inlineStr">
        <is>
          <t>سوئیس / Zürich</t>
        </is>
      </c>
      <c r="C107" s="119" t="inlineStr">
        <is>
          <t>WOKO، Juwo (تعاونی‌ها)؛
دانشگاه فقط معرفی می‌کند</t>
        </is>
      </c>
      <c r="D107" s="193" t="inlineStr">
        <is>
          <t>❌ لیست انتظار ۳–۱۲ ماه</t>
        </is>
      </c>
      <c r="E107" s="119" t="inlineStr">
        <is>
          <t>WOKO $355–1,430 (اکثر $545–1,030)؛
WG خصوصی $845–1,450</t>
        </is>
      </c>
      <c r="F107" s="193" t="inlineStr">
        <is>
          <t>❌</t>
        </is>
      </c>
      <c r="G107" s="120" t="inlineStr">
        <is>
          <t>روز پذیرش در WOKO ثبت‌نام کنید؛
اجارهٔ خصوصی: ضامن/بیمهٔ ودیعه</t>
        </is>
      </c>
      <c r="H107" s="194" t="inlineStr">
        <is>
          <t>woko.ch</t>
        </is>
      </c>
      <c r="I107" s="180" t="n"/>
    </row>
    <row r="108">
      <c r="A108" s="147" t="inlineStr">
        <is>
          <t>EPFL</t>
        </is>
      </c>
      <c r="B108" s="186" t="inlineStr">
        <is>
          <t>سوئیس / Lausanne</t>
        </is>
      </c>
      <c r="C108" s="63" t="inlineStr">
        <is>
          <t>FMEL (بنیاد خوابگاه‌های لوزان)</t>
        </is>
      </c>
      <c r="D108" s="47" t="inlineStr">
        <is>
          <t>❌ زود پر می‌شود</t>
        </is>
      </c>
      <c r="E108" s="69" t="inlineStr">
        <is>
          <t>≈ $605–1,090</t>
        </is>
      </c>
      <c r="F108" s="47" t="inlineStr">
        <is>
          <t>❌</t>
        </is>
      </c>
      <c r="G108" s="69" t="inlineStr">
        <is>
          <t>بلافاصله بعد از پذیرش دور اول (مارس)</t>
        </is>
      </c>
      <c r="H108" s="106" t="inlineStr">
        <is>
          <t>fmel.ch (≈)</t>
        </is>
      </c>
      <c r="I108" s="171" t="n"/>
    </row>
    <row r="109">
      <c r="A109" s="147" t="inlineStr">
        <is>
          <t>USI / Bern / Fribourg / Neuchâtel / Basel / HSLU</t>
        </is>
      </c>
      <c r="B109" s="186" t="inlineStr">
        <is>
          <t>سوئیس / شهرهای کوچک‌تر</t>
        </is>
      </c>
      <c r="C109" s="114" t="inlineStr">
        <is>
          <t>خوابگاه‌های دانشجویی محلی + معرفی دانشگاه</t>
        </is>
      </c>
      <c r="D109" s="47" t="inlineStr">
        <is>
          <t>❌ ولی بازار آسان‌تر از زوریخ</t>
        </is>
      </c>
      <c r="E109" s="114" t="inlineStr">
        <is>
          <t>≈ $545–970؛ WG $725–1,090</t>
        </is>
      </c>
      <c r="F109" s="47" t="inlineStr">
        <is>
          <t>❌</t>
        </is>
      </c>
      <c r="G109" s="114" t="inlineStr">
        <is>
          <t>لوگانو/فریبورگ/نوشاتل ارزان‌ترین سوئیس</t>
        </is>
      </c>
      <c r="H109" s="149" t="inlineStr">
        <is>
          <t>برآورد</t>
        </is>
      </c>
      <c r="I109" s="172" t="n"/>
    </row>
    <row r="110">
      <c r="A110" s="173" t="inlineStr">
        <is>
          <t>Newcastle University</t>
        </is>
      </c>
      <c r="B110" s="187" t="inlineStr">
        <is>
          <t>انگلستان / Newcastle</t>
        </is>
      </c>
      <c r="C110" s="132" t="inlineStr">
        <is>
          <t>خوابگاه‌های دانشگاه (Bowsden Court، Grand Hotel، Bernicia…)</t>
        </is>
      </c>
      <c r="D110" s="132" t="inlineStr">
        <is>
          <t>برای PG جدید معمولاً بله (تأیید کنید)</t>
        </is>
      </c>
      <c r="E110" s="132" t="inlineStr">
        <is>
          <t>$155–320/هفته (رسمی 2026/27)</t>
        </is>
      </c>
      <c r="F110" s="196" t="inlineStr">
        <is>
          <t>❌ (PG)</t>
        </is>
      </c>
      <c r="G110" s="131" t="inlineStr">
        <is>
          <t>Bowsden Court برای PG/خانواده</t>
        </is>
      </c>
      <c r="H110" s="195" t="inlineStr">
        <is>
          <t>ncl.ac.uk</t>
        </is>
      </c>
      <c r="I110" s="176" t="n"/>
    </row>
    <row r="111">
      <c r="A111" s="147" t="inlineStr">
        <is>
          <t>University of York</t>
        </is>
      </c>
      <c r="B111" s="188" t="inlineStr">
        <is>
          <t>انگلستان / York</t>
        </is>
      </c>
      <c r="C111" s="114" t="inlineStr">
        <is>
          <t>خوابگاه کمپوس (Wentworth Graduate College، Halifax)</t>
        </is>
      </c>
      <c r="D111" s="65" t="inlineStr">
        <is>
          <t>✅ تضمین PG اگر تا ۳۱ ژوئیه اقدام کنید</t>
        </is>
      </c>
      <c r="E111" s="114" t="inlineStr">
        <is>
          <t>$245–295/هفته × ۵۱ هفته = $12,600–15,100/سال (رسمی 2026/27)</t>
        </is>
      </c>
      <c r="F111" s="164" t="inlineStr">
        <is>
          <t>❌ (PG self-catered)</t>
        </is>
      </c>
      <c r="G111" s="114" t="inlineStr">
        <is>
          <t>پیشنهاد بدون قید ویزا تا ۷ اوت</t>
        </is>
      </c>
      <c r="H111" s="146" t="inlineStr">
        <is>
          <t>york.ac.uk</t>
        </is>
      </c>
      <c r="I111" s="172" t="n"/>
    </row>
    <row r="112">
      <c r="A112" s="147" t="inlineStr">
        <is>
          <t>University of Sheffield</t>
        </is>
      </c>
      <c r="B112" s="188" t="inlineStr">
        <is>
          <t>انگلستان / Sheffield</t>
        </is>
      </c>
      <c r="C112" s="69" t="inlineStr">
        <is>
          <t>خوابگاه دانشگاه (ذخیرهٔ بزرگ)</t>
        </is>
      </c>
      <c r="D112" s="69" t="inlineStr">
        <is>
          <t>ارشد بین‌المللی با درخواست به‌موقع معمولاً بله (تأیید کنید)</t>
        </is>
      </c>
      <c r="E112" s="63" t="inlineStr">
        <is>
          <t>PG $240–275/هفته (St Vincent's / Allen Court؛ رسمی 2026/27)</t>
        </is>
      </c>
      <c r="F112" s="164" t="inlineStr">
        <is>
          <t>❌ (PG)</t>
        </is>
      </c>
      <c r="G112" s="69" t="inlineStr">
        <is>
          <t>اتاق خصوصی $665–860/ماه</t>
        </is>
      </c>
      <c r="H112" s="106" t="inlineStr">
        <is>
          <t>sheffield.ac.uk رسمی</t>
        </is>
      </c>
      <c r="I112" s="171" t="n"/>
    </row>
    <row r="113">
      <c r="A113" s="147" t="inlineStr">
        <is>
          <t>University of Liverpool</t>
        </is>
      </c>
      <c r="B113" s="188" t="inlineStr">
        <is>
          <t>انگلستان / Liverpool</t>
        </is>
      </c>
      <c r="C113" s="114" t="inlineStr">
        <is>
          <t>خوابگاه دانشگاه (Crown Place، Vine Court) + PBSA</t>
        </is>
      </c>
      <c r="D113" s="114" t="inlineStr">
        <is>
          <t>برای ارشد بین‌المللی جدید معمولاً بله (تأیید کنید)</t>
        </is>
      </c>
      <c r="E113" s="114" t="inlineStr">
        <is>
          <t>≈ $200–285/هفته (برآورد)</t>
        </is>
      </c>
      <c r="F113" s="164" t="inlineStr">
        <is>
          <t>❌ (PG)</t>
        </is>
      </c>
      <c r="G113" s="114" t="inlineStr">
        <is>
          <t>ارزان‌ترین شهر بزرگ RG؛ اتاق خصوصی $595–795</t>
        </is>
      </c>
      <c r="H113" s="149" t="inlineStr">
        <is>
          <t>برآورد؛ liverpool.ac.uk/accommodation</t>
        </is>
      </c>
      <c r="I113" s="172" t="n"/>
    </row>
    <row r="114">
      <c r="A114" s="147" t="inlineStr">
        <is>
          <t>University of Manchester</t>
        </is>
      </c>
      <c r="B114" s="188" t="inlineStr">
        <is>
          <t>انگلستان / Manchester</t>
        </is>
      </c>
      <c r="C114" s="69" t="inlineStr">
        <is>
          <t>خوابگاه دانشگاه (Fallowfield، شهر)</t>
        </is>
      </c>
      <c r="D114" s="65" t="inlineStr">
        <is>
          <t>✅ تضمین برای هر PG بین‌المللی برای کل دوره — اقدام تا ۳۱ اوت</t>
        </is>
      </c>
      <c r="E114" s="69" t="inlineStr">
        <is>
          <t>≈ $185–290/هفته (برآورد)</t>
        </is>
      </c>
      <c r="F114" s="164" t="inlineStr">
        <is>
          <t>❌ (PG)</t>
        </is>
      </c>
      <c r="G114" s="69" t="inlineStr">
        <is>
          <t>دومین قطب فناوری انگلستان</t>
        </is>
      </c>
      <c r="H114" s="106" t="inlineStr">
        <is>
          <t>manchester.ac.uk (تضمین رسمی)؛ اجاره برآورد</t>
        </is>
      </c>
      <c r="I114" s="171" t="n"/>
    </row>
    <row r="115">
      <c r="A115" s="147" t="inlineStr">
        <is>
          <t>Leeds / Birmingham / Nottingham / Southampton / Exeter</t>
        </is>
      </c>
      <c r="B115" s="188" t="inlineStr">
        <is>
          <t>انگلستان / شهرهای بزرگ و متوسط</t>
        </is>
      </c>
      <c r="C115" s="114" t="inlineStr">
        <is>
          <t>خوابگاه دانشگاه + PBSA</t>
        </is>
      </c>
      <c r="D115" s="114" t="inlineStr">
        <is>
          <t>برای ارشد بین‌المللیِ به‌موقع معمولاً بله؛
Exeter محدودتر (تأیید کنید)</t>
        </is>
      </c>
      <c r="E115" s="114" t="inlineStr">
        <is>
          <t>≈ $185–320/هفته (برآورد؛ چک شود)</t>
        </is>
      </c>
      <c r="F115" s="164" t="inlineStr">
        <is>
          <t>❌ (PG)</t>
        </is>
      </c>
      <c r="G115" s="114" t="inlineStr">
        <is>
          <t>اتاق خصوصی $665–1,060/ماه (Exeter/Southampton گران‌تر)</t>
        </is>
      </c>
      <c r="H115" s="149" t="inlineStr">
        <is>
          <t>برآورد</t>
        </is>
      </c>
      <c r="I115" s="172" t="n"/>
    </row>
    <row r="116">
      <c r="A116" s="147" t="inlineStr">
        <is>
          <t>Warwick</t>
        </is>
      </c>
      <c r="B116" s="188" t="inlineStr">
        <is>
          <t>انگلستان / Coventry</t>
        </is>
      </c>
      <c r="C116" s="69" t="inlineStr">
        <is>
          <t>خوابگاه کمپوس (PG محدود)</t>
        </is>
      </c>
      <c r="D116" s="69" t="inlineStr">
        <is>
          <t>محدود (تأیید کنید)</t>
        </is>
      </c>
      <c r="E116" s="69" t="inlineStr">
        <is>
          <t>≈ $170–280/هفته (برآورد)</t>
        </is>
      </c>
      <c r="F116" s="164" t="inlineStr">
        <is>
          <t>❌ (PG)</t>
        </is>
      </c>
      <c r="G116" s="69" t="inlineStr">
        <is>
          <t>اتاق خصوصی $730–930/ماه</t>
        </is>
      </c>
      <c r="H116" s="105" t="inlineStr">
        <is>
          <t>برآورد</t>
        </is>
      </c>
      <c r="I116" s="171" t="n"/>
    </row>
    <row r="117">
      <c r="A117" s="147" t="inlineStr">
        <is>
          <t>Queen Mary (QMUL)</t>
        </is>
      </c>
      <c r="B117" s="188" t="inlineStr">
        <is>
          <t>انگلستان / London – Mile End</t>
        </is>
      </c>
      <c r="C117" s="114" t="inlineStr">
        <is>
          <t>خوابگاه کمپوس Mile End + بین‌دانشگاهی</t>
        </is>
      </c>
      <c r="D117" s="164" t="inlineStr">
        <is>
          <t>❌ PG بدون تضمین؛ روز پذیرش اقدام کنید</t>
        </is>
      </c>
      <c r="E117" s="114" t="inlineStr">
        <is>
          <t>≈ $290–400/هفته (برآورد) = $1,260–1,720/ماه</t>
        </is>
      </c>
      <c r="F117" s="164" t="inlineStr">
        <is>
          <t>❌ (PG)</t>
        </is>
      </c>
      <c r="G117" s="114" t="inlineStr">
        <is>
          <t>تنها کمپوس مسکونی مرکز لندن؛
خانهٔ مشترک $1,190–1,720 (+ ضامن)</t>
        </is>
      </c>
      <c r="H117" s="149" t="inlineStr">
        <is>
          <t>برآورد؛ qmul.ac.uk/residences</t>
        </is>
      </c>
      <c r="I117" s="172" t="n"/>
    </row>
    <row r="118">
      <c r="A118" s="147" t="inlineStr">
        <is>
          <t>Durham University</t>
        </is>
      </c>
      <c r="B118" s="188" t="inlineStr">
        <is>
          <t>انگلستان / Durham</t>
        </is>
      </c>
      <c r="C118" s="69" t="inlineStr">
        <is>
          <t>کالج‌ها (۱۷ کالج؛ Ustinov فقط PG)</t>
        </is>
      </c>
      <c r="D118" s="164" t="inlineStr">
        <is>
          <t>❌ PG بدون تضمین؛
کالج‌ها بعد از پذیرش تماس می‌گیرند</t>
        </is>
      </c>
      <c r="E118" s="63" t="inlineStr">
        <is>
          <t>PG self-catered ≈ $240–265/هفته (۳۹ هفته $9,470–10,300، 25/26)
catered $345/هفته ($13,600/سال)</t>
        </is>
      </c>
      <c r="F118" s="65" t="inlineStr">
        <is>
          <t>✅ کالج‌های catered (۳ وعده در ترم) — عمدتاً کارشناسی؛
بعضی کالج‌ها برای PG هم</t>
        </is>
      </c>
      <c r="G118" s="69" t="inlineStr">
        <is>
          <t>سهم غذا ≈ $4,090/سال؛
اجارهٔ خصوصی از $250/هفته</t>
        </is>
      </c>
      <c r="H118" s="106" t="inlineStr">
        <is>
          <t>durham.ac.uk؛ palatinate.org.uk</t>
        </is>
      </c>
      <c r="I118" s="171" t="n"/>
    </row>
    <row r="119">
      <c r="A119" s="147" t="inlineStr">
        <is>
          <t>University of Bristol</t>
        </is>
      </c>
      <c r="B119" s="188" t="inlineStr">
        <is>
          <t>انگلستان / Bristol</t>
        </is>
      </c>
      <c r="C119" s="114" t="inlineStr">
        <is>
          <t>خوابگاه دانشگاه (catered و self-catered)</t>
        </is>
      </c>
      <c r="D119" s="113" t="inlineStr">
        <is>
          <t>PG: محدود (تأیید کنید)</t>
        </is>
      </c>
      <c r="E119" s="114" t="inlineStr">
        <is>
          <t>≈ $200–345/هفته</t>
        </is>
      </c>
      <c r="F119" s="59" t="inlineStr">
        <is>
          <t>✅ catered halls (عمدتاً UG)</t>
        </is>
      </c>
      <c r="G119" s="114" t="inlineStr">
        <is>
          <t>بریستول یکی از گران‌ترین شهرهای خارج لندن</t>
        </is>
      </c>
      <c r="H119" s="149" t="inlineStr">
        <is>
          <t>برآورد</t>
        </is>
      </c>
      <c r="I119" s="172" t="n"/>
    </row>
    <row r="120">
      <c r="A120" s="147" t="inlineStr">
        <is>
          <t>UCL / King's College London</t>
        </is>
      </c>
      <c r="B120" s="188" t="inlineStr">
        <is>
          <t>انگلستان / London</t>
        </is>
      </c>
      <c r="C120" s="69" t="inlineStr">
        <is>
          <t>خوابگاه‌های دانشگاه و بین‌دانشگاهی</t>
        </is>
      </c>
      <c r="D120" s="164" t="inlineStr">
        <is>
          <t>❌ PG بدون تضمین</t>
        </is>
      </c>
      <c r="E120" s="69" t="inlineStr">
        <is>
          <t>≈ $250–465/هفته ($1,090–1,990/ماه)</t>
        </is>
      </c>
      <c r="F120" s="164" t="inlineStr">
        <is>
          <t>❌ (PG)</t>
        </is>
      </c>
      <c r="G120" s="63" t="inlineStr">
        <is>
          <t>UCL طرح ضامن اجاره $66 (سقف $2,010/ماه)</t>
        </is>
      </c>
      <c r="H120" s="106" t="inlineStr">
        <is>
          <t>harveywjames (≈)</t>
        </is>
      </c>
      <c r="I120" s="171" t="n"/>
    </row>
    <row r="121">
      <c r="A121" s="147" t="inlineStr">
        <is>
          <t>Imperial College London</t>
        </is>
      </c>
      <c r="B121" s="188" t="inlineStr">
        <is>
          <t>انگلستان / London</t>
        </is>
      </c>
      <c r="C121" s="114" t="inlineStr">
        <is>
          <t>خوابگاه (Beit، Holbein…) + GradPad</t>
        </is>
      </c>
      <c r="D121" s="164" t="inlineStr">
        <is>
          <t>❌ PG بدون تضمین</t>
        </is>
      </c>
      <c r="E121" s="114" t="inlineStr">
        <is>
          <t>$280–545/هفته (۲۰۲۶) = $1,190–2,390/ماه؛
خانهٔ مشترک $240–595/هفته</t>
        </is>
      </c>
      <c r="F121" s="164" t="inlineStr">
        <is>
          <t>❌ (PG)</t>
        </is>
      </c>
      <c r="G121" s="114" t="inlineStr">
        <is>
          <t>طرح ضامن اجاره فقط UG/PhD؛
برآورد خود Imperial برای زندگی: $21.7–22.5k / ۹ ماه</t>
        </is>
      </c>
      <c r="H121" s="146" t="inlineStr">
        <is>
          <t>harveywjames؛ ukfreshersguide (≈)</t>
        </is>
      </c>
      <c r="I121" s="172" t="n"/>
    </row>
    <row r="122">
      <c r="A122" s="173" t="inlineStr">
        <is>
          <t>Tampere University / University of Oulu / University of Turku / LUT</t>
        </is>
      </c>
      <c r="B122" s="189" t="inlineStr">
        <is>
          <t>فنلاند / شهرهای دانشگاهی</t>
        </is>
      </c>
      <c r="C122" s="132" t="inlineStr">
        <is>
          <t>بنیادهای TOAS / PSOAS / TYS / LOAS (دانشگاه معرفی می‌کند)</t>
        </is>
      </c>
      <c r="D122" s="193" t="inlineStr">
        <is>
          <t>❌ تضمین رسمی نیست، ولی معمولاً ظرفیت هست (Oulu/Lappeenranta راحت‌ترین)</t>
        </is>
      </c>
      <c r="E122" s="132" t="inlineStr">
        <is>
          <t>اتاق مشترک $240–465
استودیو $275–685 با قبوض</t>
        </is>
      </c>
      <c r="F122" s="193" t="inlineStr">
        <is>
          <t>❌ (ناهار یارانه‌ای Kela ≈ $3.6)</t>
        </is>
      </c>
      <c r="G122" s="132" t="inlineStr">
        <is>
          <t>درخواست آنلاین همان روز پذیرش (مارس–آوریل)؛
اتاق در آپارتمان مشترک سریع‌تر؛
ضامن نمی‌خواهند</t>
        </is>
      </c>
      <c r="H122" s="195" t="inlineStr">
        <is>
          <t>toas.fi، psoas.fi، tys.fi، loas.fi (≈)</t>
        </is>
      </c>
      <c r="I122" s="176" t="n"/>
    </row>
    <row r="123">
      <c r="A123" s="173" t="inlineStr">
        <is>
          <t>Memorial University (MUN)</t>
        </is>
      </c>
      <c r="B123" s="191" t="inlineStr">
        <is>
          <t>کانادا / St. John's</t>
        </is>
      </c>
      <c r="C123" s="120" t="inlineStr">
        <is>
          <t>خوابگاه دانشگاه: Paton College (با غذا)، Burton's Pond، Macpherson</t>
        </is>
      </c>
      <c r="D123" s="193" t="inlineStr">
        <is>
          <t>❌ تضمین نه، ولی معمولاً جا هست</t>
        </is>
      </c>
      <c r="E123" s="119" t="inlineStr">
        <is>
          <t>Paton تک‌نفره + غذا $3,700/ترم ≈ $925
Burton's Pond ≈ $810</t>
        </is>
      </c>
      <c r="F123" s="179" t="inlineStr">
        <is>
          <t>✅ Paton با meal plan</t>
        </is>
      </c>
      <c r="G123" s="120" t="inlineStr">
        <is>
          <t>درخواست بعد از پذیرش؛
اتاق خصوصی $740 (برآورد رسمی)</t>
        </is>
      </c>
      <c r="H123" s="194" t="inlineStr">
        <is>
          <t>mun.ca MinimumExpense 2026-27</t>
        </is>
      </c>
      <c r="I123" s="180" t="n"/>
    </row>
    <row r="124">
      <c r="A124" s="147" t="inlineStr">
        <is>
          <t>University of Manitoba / University of Saskatchewan</t>
        </is>
      </c>
      <c r="B124" s="192" t="inlineStr">
        <is>
          <t>کانادا / Winnipeg – Saskatoon</t>
        </is>
      </c>
      <c r="C124" s="69" t="inlineStr">
        <is>
          <t>خوابگاه دانشگاه؛
USask Graduate House (۱۲ ماهه، ویژهٔ ارشد)</t>
        </is>
      </c>
      <c r="D124" s="47" t="inlineStr">
        <is>
          <t>❌ تضمین نه، ولی معمولاً ظرفیت هست</t>
        </is>
      </c>
      <c r="E124" s="63" t="inlineStr">
        <is>
          <t>USask: مشترک $475–855، استودیو $1,060 (رسمی)
UM ≈ $635–915 (≈)</t>
        </is>
      </c>
      <c r="F124" s="69" t="inlineStr">
        <is>
          <t>اختیاری</t>
        </is>
      </c>
      <c r="G124" s="69" t="inlineStr">
        <is>
          <t>درخواست مارس–می؛ ودیعه ۱ ماه؛ خصوصی $460–705</t>
        </is>
      </c>
      <c r="H124" s="106" t="inlineStr">
        <is>
          <t>livewithus.usask.ca؛ umanitoba.ca (≈)</t>
        </is>
      </c>
      <c r="I124" s="171" t="n"/>
    </row>
    <row r="125">
      <c r="A125" s="147" t="inlineStr">
        <is>
          <t>University of Alberta / University of Calgary</t>
        </is>
      </c>
      <c r="B125" s="192" t="inlineStr">
        <is>
          <t>کانادا / Edmonton – Calgary</t>
        </is>
      </c>
      <c r="C125" s="113" t="inlineStr">
        <is>
          <t>Residence Services: Graduate Residence (UAlberta)
Crowsnest Hall (UCalgary)</t>
        </is>
      </c>
      <c r="D125" s="47" t="inlineStr">
        <is>
          <t>❌ محدود؛ صف بهار</t>
        </is>
      </c>
      <c r="E125" s="113" t="inlineStr">
        <is>
          <t>Calgary Crowsnest $815–1,050 (رسمی 2026/27)
Alberta ≈ $670–1,020 (≈)</t>
        </is>
      </c>
      <c r="F125" s="114" t="inlineStr">
        <is>
          <t>اختیاری</t>
        </is>
      </c>
      <c r="G125" s="114" t="inlineStr">
        <is>
          <t>درخواست همان روز پذیرش؛
خصوصی $495–845؛
rentfaster.ca</t>
        </is>
      </c>
      <c r="H125" s="146" t="inlineStr">
        <is>
          <t>ucalgary.ca rates 2026-27؛ ualberta.ca (≈)</t>
        </is>
      </c>
      <c r="I125" s="172" t="n"/>
    </row>
    <row r="126">
      <c r="A126" s="147" t="inlineStr">
        <is>
          <t>UVic / Carleton / Windsor / Toronto (MScAC)</t>
        </is>
      </c>
      <c r="B126" s="69" t="inlineStr">
        <is>
          <t>کانادا / Victoria – Ottawa – Windsor – Toronto</t>
        </is>
      </c>
      <c r="C126" s="69" t="inlineStr">
        <is>
          <t>خوابگاه دانشگاه (ارشد محدود؛ Toronto Graduate House ۱۲ ماهه)</t>
        </is>
      </c>
      <c r="D126" s="47" t="inlineStr">
        <is>
          <t>❌ قرعه/صف (Victoria، Toronto)؛
Windsor راحت‌تر</t>
        </is>
      </c>
      <c r="E126" s="69" t="inlineStr">
        <is>
          <t>≈ $635–1,340 (≈)</t>
        </is>
      </c>
      <c r="F126" s="63" t="inlineStr">
        <is>
          <t>Carleton با غذا؛ بقیه اختیاری</t>
        </is>
      </c>
      <c r="G126" s="63" t="inlineStr">
        <is>
          <t>Victoria/Toronto: از ماه اول پذیرش اقدام کنید؛
خصوصی $565–1,060</t>
        </is>
      </c>
      <c r="H126" s="105" t="inlineStr">
        <is>
          <t>سایت خوابگاه هر دانشگاه (≈)</t>
        </is>
      </c>
      <c r="I126" s="171" t="n"/>
    </row>
    <row r="127">
      <c r="A127" s="173" t="inlineStr">
        <is>
          <t>Aalto University / University of Helsinki</t>
        </is>
      </c>
      <c r="B127" s="189" t="inlineStr">
        <is>
          <t>فنلاند / Espoo–Helsinki</t>
        </is>
      </c>
      <c r="C127" s="119" t="inlineStr">
        <is>
          <t>AYY (Aalto) + HOAS (منطقهٔ هلسینکی)</t>
        </is>
      </c>
      <c r="D127" s="193" t="inlineStr">
        <is>
          <t>❌ صف چند ماهه؛
Aalto برای بین‌المللی‌های جدید سهمیهٔ محدود AYY دارد</t>
        </is>
      </c>
      <c r="E127" s="120" t="inlineStr">
        <is>
          <t>$340–515 اتاق · $515–800 استودیو</t>
        </is>
      </c>
      <c r="F127" s="193" t="inlineStr">
        <is>
          <t>❌</t>
        </is>
      </c>
      <c r="G127" s="120" t="inlineStr">
        <is>
          <t>خارج بودجهٔ شما به‌هرحال (گام ۱ ❌)؛
اگر رفتید، هم‌زمان بازار خصوصی (اتاق $570–855)</t>
        </is>
      </c>
      <c r="H127" s="194" t="inlineStr">
        <is>
          <t>ayy.fi، hoas.fi (≈)</t>
        </is>
      </c>
      <c r="I127" s="180" t="n"/>
    </row>
    <row r="128"/>
    <row r="129" ht="44" customHeight="1">
      <c r="A129" s="15" t="inlineStr">
        <is>
          <t>شهر / کشور</t>
        </is>
      </c>
      <c r="B129" s="15" t="inlineStr">
        <is>
          <t>خوابگاه استاندارد (حمام مشترک) — سالانه</t>
        </is>
      </c>
      <c r="C129" s="15" t="inlineStr">
        <is>
          <t>خوابگاه en-suite — سالانه</t>
        </is>
      </c>
      <c r="D129" s="15" t="inlineStr">
        <is>
          <t>اتاق در خانهٔ مشترک خصوصی — سالانه (+ قبوض ≈ $105/ماه)</t>
        </is>
      </c>
      <c r="E129" s="15" t="inlineStr">
        <is>
          <t>en-suite در برابر اتاق خصوصی</t>
        </is>
      </c>
      <c r="F129" s="15" t="inlineStr">
        <is>
          <t>استاندارد در برابر en-suite (پول حمام اختصاصی)</t>
        </is>
      </c>
      <c r="G129" s="15" t="inlineStr">
        <is>
          <t>نکته</t>
        </is>
      </c>
      <c r="H129" s="168" t="n"/>
      <c r="I129" s="168" t="n"/>
    </row>
    <row r="130">
      <c r="A130" s="147" t="inlineStr">
        <is>
          <t>Newcastle / Liverpool / Sheffield (Russell Group شمال)</t>
        </is>
      </c>
      <c r="B130" s="69" t="inlineStr">
        <is>
          <t>$155–200/هفته × ۵۰–۵۱ = $7,820–10,100 (رسمی: Newcastle $155؛ Liverpool برآورد)</t>
        </is>
      </c>
      <c r="C130" s="69" t="inlineStr">
        <is>
          <t>$240–320/هفته × ۵۰–۵۱ = $11,900–16,200 (رسمی: Sheffield PG $240–275، Newcastle تا $320)</t>
        </is>
      </c>
      <c r="D130" s="69" t="inlineStr">
        <is>
          <t>$595–860/ماه × ۱۲ + $1,270 = $8,480–11,700 (+ ضامن ≈ $2,190 اگر لازم شود)</t>
        </is>
      </c>
      <c r="E130" s="164" t="inlineStr">
        <is>
          <t>❌ en-suite $265–7,820 گران‌تر از اتاق خصوصی</t>
        </is>
      </c>
      <c r="F130" s="69" t="inlineStr">
        <is>
          <t>استاندارد $4,110–6,100 ارزان‌تر</t>
        </is>
      </c>
      <c r="G130" s="69" t="inlineStr">
        <is>
          <t>ارزان‌ترین راه واقعی: اتاق استاندارد Newcastle ≈ $7,950 با همهٔ قبوض، یا خانهٔ مشترک Liverpool/Sheffield</t>
        </is>
      </c>
      <c r="H130" s="171" t="n"/>
      <c r="I130" s="171" t="n"/>
    </row>
    <row r="131">
      <c r="A131" s="147" t="inlineStr">
        <is>
          <t>York (اعداد رسمی PG 2026/27)</t>
        </is>
      </c>
      <c r="B131" s="63" t="inlineStr">
        <is>
          <t>$245 × ۵۱ = $12,600</t>
        </is>
      </c>
      <c r="C131" s="113" t="inlineStr">
        <is>
          <t>$275 × ۵۱ = $13,900</t>
        </is>
      </c>
      <c r="D131" s="114" t="inlineStr">
        <is>
          <t>$730–995/ماه × ۱۲ + $1,270 = $10,000–13,200</t>
        </is>
      </c>
      <c r="E131" s="164" t="inlineStr">
        <is>
          <t>❌ en-suite $665–3,840 گران‌تر از اتاق خصوصی</t>
        </is>
      </c>
      <c r="F131" s="114" t="inlineStr">
        <is>
          <t>استاندارد $1,350 ارزان‌تر</t>
        </is>
      </c>
      <c r="G131" s="113" t="inlineStr">
        <is>
          <t>York خوابگاه گران دارد؛
مزیتش تضمین و بی‌ضامنی است، نه قیمت</t>
        </is>
      </c>
      <c r="H131" s="172" t="n"/>
      <c r="I131" s="172" t="n"/>
    </row>
    <row r="132">
      <c r="A132" s="147" t="inlineStr">
        <is>
          <t>Exeter / Southampton / Bristol (جنوب، برآورد)</t>
        </is>
      </c>
      <c r="B132" s="69" t="inlineStr">
        <is>
          <t>$200–240/هفته × ۴۰–۵۱ = $7,950–12,200 (برآورد)</t>
        </is>
      </c>
      <c r="C132" s="63" t="inlineStr">
        <is>
          <t>$265–345 × ۴۰–۵۱ = $10,600–17,600 (برآورد)</t>
        </is>
      </c>
      <c r="D132" s="69" t="inlineStr">
        <is>
          <t>$795–1,130/ماه × ۱۲ + $1,270 = $10,900–14,800</t>
        </is>
      </c>
      <c r="E132" s="69" t="inlineStr">
        <is>
          <t>≈ برابر تا $2,650 گران‌تر</t>
        </is>
      </c>
      <c r="F132" s="69" t="inlineStr">
        <is>
          <t>استاندارد ≈ $2,650–5,300 ارزان‌تر</t>
        </is>
      </c>
      <c r="G132" s="69" t="inlineStr">
        <is>
          <t>جنوب گران‌تر از شمال؛
قرارداد ۴۰ هفته‌ای برای ارشد ۱۲ ماهه کافی نیست → تابستان جدا</t>
        </is>
      </c>
      <c r="H132" s="171" t="n"/>
      <c r="I132" s="171" t="n"/>
    </row>
    <row r="133">
      <c r="A133" s="147" t="inlineStr">
        <is>
          <t>Mile End (QMUL) — شرق لندن (برآورد)</t>
        </is>
      </c>
      <c r="B133" s="63" t="inlineStr">
        <is>
          <t>$290–320 × ۳۸–۵۰ = $11,100–15,900 (برآورد)</t>
        </is>
      </c>
      <c r="C133" s="113" t="inlineStr">
        <is>
          <t>$345–400 × ۳۸–۵۰ = $13,100–19,900 (برآورد)</t>
        </is>
      </c>
      <c r="D133" s="114" t="inlineStr">
        <is>
          <t>$1,190–1,720/ماه × ۱۲ + $1,590 = $15,900–22,300 (+ ضامن)</t>
        </is>
      </c>
      <c r="E133" s="59" t="inlineStr">
        <is>
          <t>✅ en-suite $0–3,980 ارزان‌تر (اگر گیرتان بیاید — PG بدون تضمین)</t>
        </is>
      </c>
      <c r="F133" s="114" t="inlineStr">
        <is>
          <t>استاندارد $1,990–3,980 ارزان‌تر</t>
        </is>
      </c>
      <c r="G133" s="114" t="inlineStr">
        <is>
          <t>در لندن خوابگاه کمپوس واقعاً می‌صرفد ولی QMUL برای PG تضمین ندارد → روز پذیرش اقدام کنید</t>
        </is>
      </c>
      <c r="H133" s="172" t="n"/>
      <c r="I133" s="172" t="n"/>
    </row>
    <row r="134">
      <c r="A134" s="147" t="inlineStr">
        <is>
          <t>Durham (کالج، PG self-catered)</t>
        </is>
      </c>
      <c r="B134" s="63" t="inlineStr">
        <is>
          <t>$240 × ۳۹ = $9,470 + ۱۳ هفته تابستان ≈ $2,580 = $12,100</t>
        </is>
      </c>
      <c r="C134" s="63" t="inlineStr">
        <is>
          <t>$265 × ۳۹ = $10,300 + تابستان ≈ $2,580 = $12,900</t>
        </is>
      </c>
      <c r="D134" s="69" t="inlineStr">
        <is>
          <t>$730–930/ماه × ۱۲ + $1,270 = $10,000–12,400</t>
        </is>
      </c>
      <c r="E134" s="69" t="inlineStr">
        <is>
          <t>≈ برابر تا $2,650 گران‌تر</t>
        </is>
      </c>
      <c r="F134" s="69" t="inlineStr">
        <is>
          <t>استاندارد $860 ارزان‌تر</t>
        </is>
      </c>
      <c r="G134" s="69" t="inlineStr">
        <is>
          <t>قرارداد ۳۹ هفته‌ای دورهام برای ارشد ۱۲ ماهه مشکل‌ساز است</t>
        </is>
      </c>
      <c r="H134" s="171" t="n"/>
      <c r="I134" s="171" t="n"/>
    </row>
    <row r="135">
      <c r="A135" s="147" t="inlineStr">
        <is>
          <t>London مرکز (UCL / KCL / Imperial)</t>
        </is>
      </c>
      <c r="B135" s="63" t="inlineStr">
        <is>
          <t>$280–330 × ۴۰–۵۱ = $11,100–16,900</t>
        </is>
      </c>
      <c r="C135" s="113" t="inlineStr">
        <is>
          <t>$345–465 × ۴۰–۵۱ = $13,800–23,700</t>
        </is>
      </c>
      <c r="D135" s="114" t="inlineStr">
        <is>
          <t>$1,330–1,860/ماه × ۱۲ + $1,590 = $17,500–23,900 (+ ضامن)</t>
        </is>
      </c>
      <c r="E135" s="65" t="inlineStr">
        <is>
          <t>✅ $0–3,980 ارزان‌تر (اگر گیرتان بیاید — PG بدون تضمین)</t>
        </is>
      </c>
      <c r="F135" s="114" t="inlineStr">
        <is>
          <t>استاندارد $2,650–6,630 ارزان‌تر</t>
        </is>
      </c>
      <c r="G135" s="114" t="inlineStr">
        <is>
          <t>در لندن هر دو گران‌اند؛
تفاوت اصلی «ضامن نخواستن» خوابگاه است</t>
        </is>
      </c>
      <c r="H135" s="172" t="n"/>
      <c r="I135" s="172" t="n"/>
    </row>
    <row r="136">
      <c r="A136" s="159" t="inlineStr">
        <is>
          <t>آلمان (Studierendenwerk در برابر WG)</t>
        </is>
      </c>
      <c r="B136" s="69" t="inlineStr">
        <is>
          <t>$260–515/ماه با قبوض = $3,190–6,160</t>
        </is>
      </c>
      <c r="C136" s="69" t="inlineStr">
        <is>
          <t>— (خوابگاه‌های آلمان معمولاً حمام مشترک یا آپارتمان تک‌نفره)</t>
        </is>
      </c>
      <c r="D136" s="69" t="inlineStr">
        <is>
          <t>$515–800 + $91 قبوض = $7,300–10,700</t>
        </is>
      </c>
      <c r="E136" s="65" t="inlineStr">
        <is>
          <t>✅ خوابگاه $1,710–5,130 ارزان‌تر</t>
        </is>
      </c>
      <c r="F136" s="69" t="inlineStr">
        <is>
          <t>—</t>
        </is>
      </c>
      <c r="G136" s="69" t="inlineStr">
        <is>
          <t>بزرگ‌ترین صرفه‌جویی نسبی — ولی لیست انتظار</t>
        </is>
      </c>
      <c r="H136" s="171" t="n"/>
      <c r="I136" s="171" t="n"/>
    </row>
    <row r="137">
      <c r="A137" s="160" t="inlineStr">
        <is>
          <t>هلند (اتاق رزروشده در برابر بازار)</t>
        </is>
      </c>
      <c r="B137" s="69" t="inlineStr">
        <is>
          <t>$420–740 = $5,020–8,890</t>
        </is>
      </c>
      <c r="C137" s="114" t="inlineStr">
        <is>
          <t>—</t>
        </is>
      </c>
      <c r="D137" s="114" t="inlineStr">
        <is>
          <t>$685–1,140 = $8,210–13,700</t>
        </is>
      </c>
      <c r="E137" s="65" t="inlineStr">
        <is>
          <t>✅ $1,710–4,560 ارزان‌تر</t>
        </is>
      </c>
      <c r="F137" s="114" t="inlineStr">
        <is>
          <t>—</t>
        </is>
      </c>
      <c r="G137" s="114" t="inlineStr">
        <is>
          <t>اتاق رزروشده فقط سال اول و بدون تضمین</t>
        </is>
      </c>
      <c r="H137" s="172" t="n"/>
      <c r="I137" s="172" t="n"/>
    </row>
    <row r="138">
      <c r="A138" s="161" t="inlineStr">
        <is>
          <t>سوئد (کریدوری در برابر خصوصی)</t>
        </is>
      </c>
      <c r="B138" s="63" t="inlineStr">
        <is>
          <t>$355–655 = $4.2–7.9k</t>
        </is>
      </c>
      <c r="C138" s="69" t="inlineStr">
        <is>
          <t>—</t>
        </is>
      </c>
      <c r="D138" s="69" t="inlineStr">
        <is>
          <t>$505–810 (+ برق) = $6.3–10.1k</t>
        </is>
      </c>
      <c r="E138" s="59" t="inlineStr">
        <is>
          <t>✅ $1.5–2.5k ارزان‌تر</t>
        </is>
      </c>
      <c r="F138" s="69" t="inlineStr">
        <is>
          <t>—</t>
        </is>
      </c>
      <c r="G138" s="63" t="inlineStr">
        <is>
          <t>Uppsala/LiU تضمین؛ استکهلم صف</t>
        </is>
      </c>
      <c r="H138" s="171" t="n"/>
      <c r="I138" s="171" t="n"/>
    </row>
    <row r="139">
      <c r="A139" s="162" t="inlineStr">
        <is>
          <t>دانمارک (kollegium در برابر خصوصی)</t>
        </is>
      </c>
      <c r="B139" s="63" t="inlineStr">
        <is>
          <t>$490–720 = $5.8–8.5k</t>
        </is>
      </c>
      <c r="C139" s="114" t="inlineStr">
        <is>
          <t>—</t>
        </is>
      </c>
      <c r="D139" s="113" t="inlineStr">
        <is>
          <t>$685–1,070 = $8.2–12.8k</t>
        </is>
      </c>
      <c r="E139" s="59" t="inlineStr">
        <is>
          <t>✅ $2.3–4.6k ارزان‌تر</t>
        </is>
      </c>
      <c r="F139" s="114" t="inlineStr">
        <is>
          <t>—</t>
        </is>
      </c>
      <c r="G139" s="113" t="inlineStr">
        <is>
          <t>Aalborg تضمین؛ کپنهاگ نه</t>
        </is>
      </c>
      <c r="H139" s="172" t="n"/>
      <c r="I139" s="172" t="n"/>
    </row>
    <row r="140">
      <c r="A140" s="163" t="inlineStr">
        <is>
          <t>سوئیس (WOKO/FMEL در برابر WG)</t>
        </is>
      </c>
      <c r="B140" s="69" t="inlineStr">
        <is>
          <t>$580–1,090 = $7,020–13,100</t>
        </is>
      </c>
      <c r="C140" s="69" t="inlineStr">
        <is>
          <t>—</t>
        </is>
      </c>
      <c r="D140" s="69" t="inlineStr">
        <is>
          <t>$845–1,450 = $10,200–17,400</t>
        </is>
      </c>
      <c r="E140" s="65" t="inlineStr">
        <is>
          <t>✅ $3,030–6,050 ارزان‌تر</t>
        </is>
      </c>
      <c r="F140" s="69" t="inlineStr">
        <is>
          <t>—</t>
        </is>
      </c>
      <c r="G140" s="69" t="inlineStr">
        <is>
          <t>بزرگ‌ترین صرفه‌جویی مطلق — ولی زوریخ ۳–۱۲ ماه صف</t>
        </is>
      </c>
      <c r="H140" s="171" t="n"/>
      <c r="I140" s="171" t="n"/>
    </row>
    <row r="141">
      <c r="A141" s="24" t="inlineStr">
        <is>
          <t>کانادا (خوابگاه ارشد در برابر اتاق خصوصی)</t>
        </is>
      </c>
      <c r="B141" s="69" t="inlineStr">
        <is>
          <t>مشترک: USask Seager Wheeler $475 × ۸ = $3,790
Calgary دوخوابهٔ مشترک $6,500 (۸ ماه)
USask Graduate House مشترک $855 × ۱۲ = $10,200</t>
        </is>
      </c>
      <c r="C141" s="114" t="inlineStr">
        <is>
          <t>استودیو: Calgary Crowsnest $7,880 (۸ ماه)
USask Graduate House $1,060 × ۱۲ = $12,700
MUN Paton با غذا $3,700 × ۳ = $11,100</t>
        </is>
      </c>
      <c r="D141" s="113" t="inlineStr">
        <is>
          <t>$460–705 × ۱۲ = $5,500–8,460 (پریری/آتلانتیک)
Calgary/Ottawa $6,770–10,100
Toronto $8,460–12,700</t>
        </is>
      </c>
      <c r="E141" s="47" t="inlineStr">
        <is>
          <t>❌ استودیوی دانشگاه $1.4–4.2k گران‌تر از اتاق خصوصی</t>
        </is>
      </c>
      <c r="F141" s="114" t="inlineStr">
        <is>
          <t>اتاق مشترک دانشگاه ≈ برابر یا ارزان‌تر از اتاق خصوصی</t>
        </is>
      </c>
      <c r="G141" s="114" t="inlineStr">
        <is>
          <t>برای ماه‌های اول خوابگاه ۱۲ ماههٔ ارشد (USask/Toronto) یا Paton (با غذا) راحت‌ترین ورود است؛
از ترم دوم اتاق در خانهٔ مشترک ارزان‌تر</t>
        </is>
      </c>
      <c r="H141" s="172" t="n"/>
      <c r="I141" s="172" t="n"/>
    </row>
    <row r="142">
      <c r="A142" s="166" t="inlineStr">
        <is>
          <t>فنلاند (بنیاد خوابگاهی در برابر خصوصی)</t>
        </is>
      </c>
      <c r="B142" s="63" t="inlineStr">
        <is>
          <t>$240–465 (Tampere/Oulu/Turku) = $2,850–5,590؛
Helsinki $340–515 = $4,100–6,160</t>
        </is>
      </c>
      <c r="C142" s="69" t="inlineStr">
        <is>
          <t>— (استودیوی بنیاد $275–685 = $3,310–8,210)</t>
        </is>
      </c>
      <c r="D142" s="63" t="inlineStr">
        <is>
          <t>$400–625 (Helsinki $570–855) = $4,790–10,300</t>
        </is>
      </c>
      <c r="E142" s="65" t="inlineStr">
        <is>
          <t>✅ $1,710–4,560 ارزان‌تر</t>
        </is>
      </c>
      <c r="F142" s="69" t="inlineStr">
        <is>
          <t>—</t>
        </is>
      </c>
      <c r="G142" s="69" t="inlineStr">
        <is>
          <t>ارزان‌ترین خوابگاه‌ها بعد از آلمان؛
Oulu/Lappeenranta بدون صف، Helsinki چند ماه</t>
        </is>
      </c>
      <c r="H142" s="171" t="n"/>
      <c r="I142" s="171" t="n"/>
    </row>
    <row r="143"/>
    <row r="144" ht="48" customHeight="1">
      <c r="A144" s="148"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بعضی کالج‌های Bristol)، (۲) فقط در هفته‌های ترم (≈ ۳۰ هفته) غذا می‌دهند، (۳) هیچ‌جا داخل شهریه نیست — Durham ≈ $4,090 در سال برای غذا جدا می‌گیرد و اجارهٔ catered ≈ $345/هفته است.</t>
        </is>
      </c>
    </row>
    <row r="145" ht="65" customHeight="1">
      <c r="A145" s="60" t="inlineStr">
        <is>
          <t>• در هیچ‌یک از ۸ کشور خوابگاه داخل شهریه نیست.
ارزان‌ترین خوابگاه‌ها: آلمان ($260–515 با قبوض)، بنیادهای خوابگاهی فنلاند (TOAS/PSOAS/TYS $240–465 با قبوض) و اتاق‌های مشترک دانشگاهی پریری کانادا (USask Seager Wheeler $475 ≈ $475) و شهرهای کوچک سوئد/دانمارک؛
گران‌ترین: لندن ($1,190–2,390/ماه) و زوریخ ($845–1,450 اتاق).</t>
        </is>
      </c>
    </row>
    <row r="146" ht="65" customHeight="1">
      <c r="A146" s="60" t="inlineStr">
        <is>
          <t>• تضمین واقعی برای دانشجوی ارشد بین‌المللی فقط در: Uppsala، LiU (یک پیشنهاد)، AAU Aalborg، و دانشگاه‌های Russell Group انگلستان با مهلت (York ۳۱ ژوئیه، Manchester ۳۱ اوت، احتمالاً Liverpool/Newcastle/Sheffield/Leeds/Birmingham/Nottingham/Southampton).
آلمان، هلند، سوئیس و لندن: هیچ تضمینی.</t>
        </is>
      </c>
    </row>
    <row r="147" ht="65" customHeight="1">
      <c r="A147" s="60"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48" ht="48" customHeight="1">
      <c r="A148" s="60" t="inlineStr">
        <is>
          <t>• اعداد «رسمی» از صفحهٔ دانشگاه (۲۰۲۶/۲۷) و اعداد با «≈» برآورد از منابع ثانویه‌اند؛
اجاره‌ها هر سال ۳–۸٪ بالا می‌رود.</t>
        </is>
      </c>
    </row>
    <row r="149" ht="65" customHeight="1">
      <c r="A149" s="197"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48:I148"/>
    <mergeCell ref="A149:I149"/>
    <mergeCell ref="A146:I146"/>
    <mergeCell ref="A144:I144"/>
    <mergeCell ref="A145:I145"/>
    <mergeCell ref="A147:I147"/>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69" t="inlineStr">
        <is>
          <t>رتبه‌بندی هزینه کل تا فارغ‌التحصیلی</t>
        </is>
      </c>
      <c r="B2" s="69" t="inlineStr">
        <is>
          <t>به ترتیب هزینهٔ کل تا مدرک (میانهٔ بازه): آلمان $27–36k (۲ سال) ‹ کانادا (بدون کبک) MSc پایان‌نامه‌ای $34–47k بدون فاندینگ (Memorial $34k · Manitoba $38k · Alberta $42k · Calgary $43k · USask $44k · UVic $47k؛ با TA/RA معمول $10–30k؛ ۲ سال) ≈ سوئیس–Neuchâtel/Fribourg $35–47k (۱.۵ سال) ‹ سوئیس–UZH $45–58k ‹ فنلاند $46–68k (Oulu $46k · Tampere/Turku $52k · Aalto $68k؛ ۲ سال) ‹ سوئیس–HSLU $53–64k ≈ سوئد $54–65k ‹ انگلستان–Russell Group $57–91k (۱ سال؛ Exeter/Newcastle/York $57–65k، لندن $73–91k)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14" t="inlineStr">
        <is>
          <t>فقط با انگلیسی (تحصیل + کار + اداری + اقامت)</t>
        </is>
      </c>
      <c r="B3" s="114"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
فنلاند (۸/۱۰، اضافه‌شده ۲۸ سپتامبر): تحصیل، زندگی روزمره و ادارات به انگلیسی؛
بازار کار نیمه‌انگلیسی (هلسینکی/بازی‌سازی/Nokia)؛
PR با مدرک فنلاندی فقط A2 یا ۱۵ واحد فنلاندی می‌خواهد (سبک‌ترین شرط زبان بعد از سوئد)؛
تابعیت B1. کانادا بدون کبک (۱۰/۱۰، اضافه‌شده ۲۹ سپتامبر): تحصیل، کار، ادارات، PGWP، PR (Express Entry / PNP) و تابعیت همه به انگلیسی — در کنار انگلستان تنها کشور جدول که در هیچ مرحله‌ای زبان دوم نمی‌خواهد؛
فرانسه فقط امتیاز اضافهٔ CRS است.</t>
        </is>
      </c>
    </row>
    <row r="4">
      <c r="A4" s="69" t="inlineStr">
        <is>
          <t>بازار کار و حقوق جونیور</t>
        </is>
      </c>
      <c r="B4" s="69"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
فنلاند: جونیور $35–49k (میانه $43k)، خالص $2,280–3,080 — کمی زیر سوئد؛
دسترسی برای فقط‌انگلیسی ≈ سوئد (هلسینکی بهتر)؛
کار حین تحصیل ۳۰ ساعت مجاز = بیشترین سقف جدول، ولی بیکاری ۹٪.
کانادا: جونیور $38–51k (میانه $44k)، خالص $2,540–3,240 — بین انگلستان و هلند/سوئد؛
دسترسی برای فقط‌انگلیسی ≈ آلمان (PGWP ۳ ساله = طولانی‌ترین فرصت کاریابی جدول و بدون کف حقوقی، ولی بیکاری ۶.۴٪ / جوانان ۱۲.۹٪ و بازار جونیور تک ۲۰۲۵–۲۶ اشباع؛ پریری/آتلانتیک کم‌رقابت ولی کوچک)؛
کار حین تحصیل ۲۴ ساعت + تمام‌وقت در تعطیلات.</t>
        </is>
      </c>
    </row>
    <row r="5">
      <c r="A5" s="114"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114" t="inlineStr">
        <is>
          <t>گام ۱ (آنچه سفارت می‌بیند: شهریهٔ کل + تمکن رسمی سال اول ≤ $40k): آلمان همه ✅ ($14–21k)
سوئیس Neuchâtel $28.3k، Fribourg $29k، Basel $32.1k، HSLU $33k ✅، USI $44.8k ❌
انگلستان (به خواست شما فقط Russell Group) همه ❌: Exeter $54.2k (کمترین کسری $14.2k)، Newcastle ≈ $56.3k، York $57.9k، Liverpool $59.4k، Sheffield/Durham/Leeds/Nottingham/Birmingham $60–60.5k، Southampton/Warwick/Bristol $63–64.6k، Manchester $66.6k، QMUL لندن $67.7k، KCL/UCL/Imperial $72–80k — فقط بورس بزرگ یا Chevening می‌بندد
سوئد BTH $39k، MDU $38k ✅، LiU $44.3k ❌
هلند ❌ ($55–65k)
دانمارک روی کاغذ ✅ (معاف با پرداخت شهریه)
فنلاند Oulu $33.7k، Tampere/Turku $38.3k ✅، LUT/Helsinki $45.1k و Aalto $49.7k ❌ (تمکن $10,900 در حساب خودتان)؛
کانادا (بدون کبک) MSc پایان‌نامه‌ای همه ✅: Memorial $23.3k، UVic $28.1k، Manitoba $28.2k، Calgary $28.6k (با فاندینگ تضمینی $16.5k)، Regina $30.5k، Alberta $30.5k، USask $34.6k؛
درسی Memorial $27.5–37.6k و Alberta $35k ✅؛
Dalhousie $43.8k، Ontario Tech $44.9k، Waterloo $49.1k، Carleton $54–57k فقط با نامهٔ فاندینگ؛
Windsor $45.3k، Dal MACS/Ontario Tech MITS ≈ $50.5k، Waterloo MDSAI $56.3k، Toronto $80k ❌ (تمکن $16,500 در حساب خارج از ایران به نام خودتان یا نامهٔ فاندینگ).
گام ۲ (زندگی واقعی: n = (۴۰,۰۰۰ − شهریه) ÷ زندگی؛ بعد کار با حداکثر ساعت قانونی × کف دستمزد): آلمان شهریه + تمام ۲۴ ماه (Stuttgart ۲۳.۱) و ۲۰ ساعت × $16.6 ≈ $1,305 ≥ زندگی ✅
انگلستان RG: شهریه به‌تنهایی $39.9–61k → از $40k صفر ماه زندگی ❌ (۲۰ ساعت × $16.8 ≈ $1,440 ≈ زندگی فقط وقتی شهریه با بورس پرداخت شده باشد؛ Exeter با Excellence $13k → ۸.۴ ماه + کار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فنلاند Tampere شهریه $27.4k + ۱۲.۳ ماه، Oulu $22.8k + ۱۷.۸ ماه، بعد ۳۰ ساعت × $14.2 ≈ $1,590 ≥ زندگی → روی کاغذ ✅، عملاً ⚠️ بدون فنلاندی
دانمارک AAU ۳.۸ ماه ❌ + ویزا؛
کانادا Memorial/Manitoba/Regina شهریه + تمام ۲۴ ماه حتی بدون کار، Calgary/Alberta/USask ۲۰–۲۲ ماه + ۲۴ ساعت × $10.6–11.1 ≈ زندگی ✅، UVic ⚠️، Memorial MAI تمام ۱۶ ماه ✅ — همه بدون احتساب TA/RA. امتیاز برنامه‌های شدنی: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استقلال مالی (فقط زندگی، شیت «تصمیم» پ-۳): با کف دستمزد و داخل سقف قانونی فقط در Saarbrücken/Passau (۱۷.۵ ساعت) و سوئد روی کاغذ؛
Stuttgart/Darmstadt و شهرهای RG انگلستان (Liverpool/Newcastle/Sheffield ۲۰.۳ ساعت، Exeter ۲۲.۱، لندن ۳۰.۴ — ✗ سقف ۲۰) با نرخ IT؛
سوئیس در ترم با ۱۵ ساعت نمی‌شود مگر ≥ $34–39 در ساعت یا میانگین سالانه با کار تمام‌وقت در تعطیلات — و هرگز قبل از ماه ۷؛
کانادا: Winnipeg (۲۳.۷ ساعت) و Windsor (۲۲.۷) با کف دستمزد داخل سقف ۲۴ ✓، St. John's/Saskatoon/Edmonton ۲۴.۶–۲۷.۶ ✗ (با TA یا نرخ IT ✓)، Calgary/Victoria/Ottawa ۲۸–۳۰.۵ ✗، Toronto ۳۳ ✗. توصیه: ۸ درخواست — ۳ سوئیس (HSLU، Basel، Neuchâtel) + ۳ آلمان (Stuttgart، Darmstadt، Saarland) + ۲ انگلستان Russell Group فقط به شرط بورس (Liverpool Advanced CS با پذیرش 2:2 + Exeter Advanced CS + درخواست Exeter Excellence $13,300؛ بدون بورس هیچ RG در بودجه نیست) + اختیاری یک فرم مشترک فنلاند (Tampere + Oulu + Turku در یک درخواست، $115، تا ۲۱ ژانویه ۲۰۲۷) به‌عنوان پشتوانهٔ ارزانِ ۱۰۰٪ انگلیسی + مسیر پایان‌نامه‌ای کانادا (نوامبر–دسامبر ۲۰۲۶ ایمیل به ۱۵–۲۵ استاد؛ Alberta تا ۱۵ دسامبر، Calgary + Manitoba/USask/Memorial ژانویه–فوریه؛ فقط اگر پول در حساب خارج از ایران است و از اول «ورودی ژانویه ۲۰۲۸» را به‌عنوان برنامهٔ B بپذیرید).</t>
        </is>
      </c>
    </row>
    <row r="6">
      <c r="A6" s="69" t="inlineStr">
        <is>
          <t>نتیجه با وزن برابر برای ۳ معیار</t>
        </is>
      </c>
      <c r="B6" s="69" t="inlineStr">
        <is>
          <t>آلمان ۲۲ › کانادا ۲۱ (هزینه ۶ / انگلیسی ۱۰ / بازار ۵) › سوئد ۱۹ › هلند ۱۸ = سوئیس ۱۸ (هزینه ۵ / انگلیسی ۶ / بازار ۷) = فنلاند ۱۸ (هزینه ۶ / انگلیسی ۷ / بازار ۵) › انگلستان ۱۷ (Russell Group: هزینه ۳ / انگلیسی ۱۰ / بازار ۴؛ قبل از شرط RG ۱۹) › دانمارک ۱۶.  با حذف ایرلند، هیچ کشوری هر سه معیار را با هم نمی‌دهد: آلمان ارزان‌ترین (ولی آلمانی)، انگلستان و کانادا تنها گزینه‌های کاملاً انگلیسی (انگلستان گران؛ کانادا ارزان ولی بازار جونیور ۲۰۲۶ ضعیف و پذیرش وابسته به استاد راهنما)،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Russell Group انگلستان (Liverpool / Exeter) فقط به شرط بورس + مسیر پایان‌نامه‌ای کانادا (Alberta + Calgary + Manitoba/USask/Memorial؛ فقط با «بلهٔ» یک استاد راهنما)؛
ETH/EPFL فقط اگر حاضرید $180 را برای یک شانس کم خرج کنید.
تصمیم نهایی با پذیرش/بورس و وضعیت سفارت‌ها در بهار ۲۰۲۷.</t>
        </is>
      </c>
    </row>
    <row r="7">
      <c r="A7" s="114" t="inlineStr">
        <is>
          <t>سوئیس در یک نگاه (جایگزین ایرلند — همهٔ ۲۸ ردیف در یک پاراگراف)</t>
        </is>
      </c>
      <c r="B7" s="114"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69" t="inlineStr">
        <is>
          <t>فنلاند در یک نگاه (کشور هفتم، اضافه‌شده ۲۸ سپتامبر ۲۰۲۶ — همهٔ ۲۸ ردیف در یک پاراگراف)</t>
        </is>
      </c>
      <c r="B8" s="69" t="inlineStr">
        <is>
          <t>دانشگاه‌های واقع‌بینانه با معدل ۱۵.۷۷: Tampere University (CSEE: AI-native Software / Data Science / Information Security / HTI؛ $13,700؛ Target)
University of Oulu (CSE؛ $11,400؛ Target)
University of Turku (ICT: Software Engineering / Cyber Security؛ $13,700؛ Target)
LUT ($17,100؛ گام ۱ فقط با بورس)
Aalto ($19,400) و Helsinki ($17,100) Reach و خارج بودجه.
زندگی: Tampere/Oulu/Turku $855–1,140 با خوابگاه بنیادها (TOAS/PSOAS/TYS $240–465)؛
Helsinki/Espoo $1,080–1,480. کل تا مدرک: Oulu $43–49k
Tampere/Turku $49–55k. بودجه: گام ۱ = شهریهٔ کل + $10,900 تمکن ($910 × ۱۲؛ در حساب خودتان، هر بانکی، گردش ۶ ماه) → Oulu $33,700 ✅، Tampere/Turku $38,300 ✅، LUT/Helsinki $45,100 ❌، Aalto $49,700 ❌؛
گام ۲ = ۳۰ ساعت کار مجاز (میانگین سالانه، بیشترین سقف جدول) × ≈ $14.2 توافق جمعی ≈ $1,600 خالص ≥ زندگی → روی کاغذ ✅ بدون کسری، عملاً ⚠️ چون بدون فنلاندی کار خدماتی کم است (بیکاری ۹.۱٪ اوت ۲۰۲۶).
زبان: تحصیل، روزمره و ادارات انگلیسی؛
بازار کار نیمه‌انگلیسی (هلسینکی: Supercell/Rovio/Remedy/Wolt/Unity؛ Tampere/Oulu: Nokia).
بعد از مدرک: ۲ سال مجوز کاریابی (قابل تقسیم، تا ۵ سال بعد)؛
مجوز کار = توافق جمعی یا $1,820، متخصص $4,490 (۲۰۲۶)؛
جونیور $35–49k (میانه $43k)، خالص $2,280–3,080، پس‌انداز $455–1,250. اقامت: PR از ۸ ژانویه ۲۰۲۶ با مدرک ارشد فنلاندی + فنلاندی A2 (یا ۱۵ واحد درس زبان در دانشگاه) بدون حداقل سال — آسان‌ترین PR جدول؛
تابعیت ۵ سال با B1 (وگرنه ۸) + آزمون تابعیت از مارس ۲۰۲۷.
ویزا: Enter Finland + بیومتریک در VFS تهران (اولویت دانشجویان از ژوئن ۲۰۲۶)، کارمزد $685 + D $110، بیمهٔ $45,600 ≈ $340–570/سال؛
مجوز برای کل دوره.
مهلت‌ها: درخواست مشترک ۷–۲۱ ژانویه ۲۰۲۷ (Tampere/Oulu/Turku/LUT، یک فرم تا ۶ برنامه، $115)؛
Aalto ۷ دسامبر – ۵ ژانویه؛
Helsinki ۵–۱۹ ژانویه.
امتیاز با وزن‌های شما: کار ۴ / حقوق ۵ / انگلیسی ۸ / هزینه ۷ → ۵۸.۷ (چهارم، بین انگلستان و سوئد).
جای فنلاند در تصمیم: پشتوانهٔ ارزانِ ۱۰۰٪ انگلیسی با ویزای شدنی از تهران — نه جایگزین سه گزینهٔ اول (سوئیس/آلمان/انگلستان)، بلکه بیمهٔ آن‌ها؛
اگر سوئیس ($25,400) و آلمان (سفارت) هر دو گیر کنند، Tampere/Oulu محتمل‌ترین راهِ رفتن در سپتامبر ۲۰۲۷ است.</t>
        </is>
      </c>
    </row>
    <row r="9">
      <c r="A9" s="114" t="inlineStr">
        <is>
          <t>کانادا در یک نگاه (کشور هشتم، بدون کبک — اضافه‌شده ۲۹ سپتامبر ۲۰۲۶؛ همهٔ ۲۸ ردیف در یک پاراگراف)</t>
        </is>
      </c>
      <c r="B9" s="114" t="inlineStr">
        <is>
          <t>دانشگاه‌های واقع‌بینانه با معدل کل ۱۵.۷۷ / دو سال آخر ۱۶.۹۲ / سال آخر ۱۷.۰۳: MSc پایان‌نامه‌ای Memorial (St. John's)، Manitoba (تنها کف ایرانی رسمی «۱۵/۲۰ دو سال آخر» ✓)، Saskatchewan، Regina (۳.۱۳)، Alberta (QS ≈ 94)، Calgary (فاندینگ تضمینی $17,900/سال)، UVic، Carleton و — فقط با نامهٔ فاندینگ — Dalhousie، Ontario Tech و Waterloo (۳.۱۳) — همه به «بلهٔ» یک استاد راهنما وابسته‌اند (ایمیل نوامبر–دسامبر ۲۰۲۶)؛
درسی‌ها: Memorial non-thesis/MAI/MASc SE و Alberta course-based (داخل بودجه، بدون استاد)، Windsor MAC (Safe ولی $45k)، Dal MACS / Ontario Tech MITS (≈ $50.5k) و Waterloo MDSAI / Toronto MScAC (Reach، $56k / $80k). UBC/SFU با کف ۱۶/۲۰ روی کل دوره بسته‌اند.
شهریهٔ رسمی 2026/27: Memorial $1,140 × ۶ ترم = $6,810 کل دوره؛
Calgary $6,040/سال؛
USask $9,050؛
Alberta $7,410 (ورودی ۲۰۲۷ −۵.۵٪)؛
Manitoba $4,870 × ۲ + ادامه $475/ترم.
زندگی $985–1,230 (پریری/سنت جانز) تا $1,480–1,830 (تورنتو).
گام ۱: تمکن $16,500 + شهریهٔ کل → پایان‌نامه‌ای‌های ارزان $23–35k ✅ (Dalhousie/Ontario Tech/Waterloo $44–49k فقط با فاندینگ)؛
گام ۲: Memorial/Manitoba/Regina تمام ۲۴ ماه از $40k حتی بدون کار، بقیه ۲۰–۲۲ ماه + ۲۴ ساعت × حداقل دستمزد استان ($10.6–12.9) — همه بدون احتساب TA/RA. کار: ۲۴ ساعت/هفته در ترم + تمام‌وقت در تعطیلات؛
زبان: ۱۰۰٪ انگلیسی (تحصیل، کار، اداری، PR، تابعیت)؛
بعد از مدرک: PGWP ۳ سال؛
حقوق جونیور $38–51k؛
PR: Express Entry CEC (برش ۵۰۷–۵۲۳ در ۲۰۲۶؛ برآورد شما ≈ ۵۲۰–۵۳۰ بعد از ارشد + ۱ سال کار + CLB 9) یا مسیرهای استانی فارغ‌التحصیل ارشد (OINP، BC PNP IPG، MPNP)؛
تابعیت ۳ سال از ۵.
ویزا از تهران: بدون سفارت، آنکارا، بیومتریک/پزشکی خارج از ایران، ۲۰–۳۰+ هفته → پرونده تا مارس ۲۰۲۷، برنامهٔ B ژانویه ۲۰۲۸.
امتیاز با وزن‌های شما: کار ۶ / حقوق ۴ / انگلیسی ۱۰ / هزینه ۶ = ۶۵.۷ (دوم بعد از سوئیس)؛
برنامه‌ها: Calgary = Alberta ۷۰.۲، UVic ۶۸.۷، Alberta درسی ۶۵.۷، Manitoba = USask ۶۴.۵، Memorial ۶۳.۲، Regina ۶۱.۷ (خارج بودجه بدون فاندینگ: Waterloo ۶۶.۸، Carleton ۶۲.۷، Dalhousie ۶۱.۳، Ontario Tech ۵۹.۸).</t>
        </is>
      </c>
    </row>
    <row r="10">
      <c r="A10" s="69" t="inlineStr">
        <is>
          <t>ریسک شماره یک</t>
        </is>
      </c>
      <c r="B10" s="69" t="inlineStr">
        <is>
          <t>دسترسی به سفارت‌ها از داخل ایران (ردیف ۲۳): در سپتامبر ۲۰۲۶ فقط سوئیس (ویزای D با وقت قبلی)، فنلاند (Enter Finland + بیومتریک در VFS تهران با اولویت دانشجویان) و تا حدی سوئد (آنلاین) از تهران قابل اقدام‌اند؛
آلمان، هلند، دانمارک و انگلستان خدمات عادی ندارند؛
کانادا اصلاً سفارت فعال در تهران ندارد (آنکارا؛ بیومتریک/پزشکی در ترکیه/امارات/ارمنستان؛ ۲۰–۳۰+ هفته + بررسی امنیتی → برنامهٔ B ورودی ژانویه ۲۰۲۸).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11">
      <c r="A11" s="114" t="inlineStr">
        <is>
          <t>برنامه زمانی ورودی سپتامبر ۲۰۲۷ (فشرده — جزئیات در شیت «برنامهٔ زمانی ۲۰۲۷»)</t>
        </is>
      </c>
      <c r="B11" s="114" t="inlineStr">
        <is>
          <t>اکتبر ۲۰۲۶: نظام‌وظیفه + رزرو IELTS خارج از ایران + مدارک
۱۶ اکتبر: باز شدن سوئد
۱–۳۰ نوامبر: پنجرهٔ ETH (Reach)
نوامبر–دسامبر: IELTS + VPD uni-assist
۷ دسامبر – ۵ ژانویه: Aalto
نوامبر–دسامبر: ایمیل به ۱۵–۲۵ استاد راهنمای کانادا
۱۵ دسامبر: Alberta CS (فاندینگ) / دور اول EPFL
۷–۲۱ ژانویه ۲۰۲۷: درخواست مشترک فنلاند (Tampere / Oulu / Turku / LUT؛ Helsinki ۵–۱۹ ژانویه)
۱۵ ژانویه ۲۰۲۷: مهلت سوئد / AAU / Stuttgart / Alberta (نهایی)
ژانویه–فوریه: Calgary / Manitoba / USask / Memorial (≈ چک شود)
۱ فوریه: مدارک سوئد + SDU
۲۸ فوریه: UZH و Fribourg (ویزایی‌ها)
فوریه–مارس: انگلستان + پرونده‌های سوئیس
مارس–آوریل: پذیرش کانادا → مجوز تحصیل (آنکارا، ۲۰–۳۰ هفته؛ برنامهٔ B ژانویه ۲۰۲۸)
۱ آوریل: Radboud + HSLU (ویزایی‌ها)
۳۰ آوریل: USI / Neuchâtel / Bern / Basel / ZHAW
۱ می: Twente
۳۱ می: Passau
می–ژوئن: پول (سوئیس $25,400 + شهریه) + ویزا یا برنامهٔ B
اوت–اکتبر: شروع (سوئیس اواسط سپتامبر؛ کانادا اوایل سپتامبر).</t>
        </is>
      </c>
    </row>
    <row r="12">
      <c r="A12" s="69" t="inlineStr">
        <is>
          <t>سه پیش‌نیاز عملی ورودی ۲۰۲۷</t>
        </is>
      </c>
      <c r="B12" s="69"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کانادا زودتر از همه: تمکن $16,500 + شهریهٔ سال اول باید تا مارس ۲۰۲۷ در حساب خارج از ایران به نام خودتان (یا با نامهٔ فاندینگ) باشد، چون مجوز تحصیل ایرانی‌ها ۲۰–۳۰ هفته طول می‌کشد.
اگر یکی از این سه تا ژانویه ۲۰۲۷ حل نشود، هدف واقع‌بینانه سوئیس (USI/Bern/Basel/ZHAW تا ۳۰ آوریل)، انگلستان، هلند و آلمان با مهلت‌های بهار ۲۰۲۷ است — یا ورودی ۲۰۲۸ (کانادا: ورودی ژانویه ۲۰۲۸ را از همان اول در نامهٔ پذیرش بخواهید).
برای سوئیس علاوه بر این سه، «ضامن مقیم یا حساب بانکی قابل قبول کانتون» پیش‌نیاز چهارم است.</t>
        </is>
      </c>
    </row>
    <row r="13">
      <c r="A13" s="114" t="inlineStr">
        <is>
          <t>تغییرات اصلی نسبت به جدول اول</t>
        </is>
      </c>
      <c r="B13" s="114" t="inlineStr">
        <is>
          <t>• نسخهٔ ۳.۱۳ (۲۹ سپتامبر ۲۰۲۶، به خواست شما «دانشگاه‌های خوب را حذف نکن»): Waterloo، Dalhousie، Ontario Tech و Regina با جدول‌های شهریهٔ رسمی 2026/27 اضافه شدند (۷ برنامه؛ هیچ خانه‌ای خالی نماند): Regina MSc thesis $14,000 کل → داخل هر دو گام (امتیاز ۶۱.۷)؛
Dalhousie MCSc $13,700/سال، Ontario Tech MSc $14,200/سال و Waterloo MMath $32,500 کل بدون نامهٔ فاندینگ گام ۱ ❌ ($43.8k / $44.9k / $49.1k)؛
درسی‌های Dal MACS / Ontario Tech MITS / Waterloo MDSAI ($50–56k) خارج بودجه؛
توصیه تغییر نکرد (Regina به فهرست ایمیل استادها اضافه شد، Waterloo/Dal/Ontario Tech فقط با نامهٔ فاندینگ)
• کانادا (بدون کبک، به خواست شما) به‌عنوان کشور هشتم اضافه شد (۲۹ سپتامبر ۲۰۲۶، نسخهٔ ۳.۱۲): ۱۳ برنامه از ۹ دانشگاه با شهریه‌های رسمی 2026/27 (Memorial $6,810 کل دوره · Calgary $6,040/سال + فاندینگ تضمینی $17,900 · USask $9,050 · Alberta ≈ $7,000 · Manitoba ≈ $11,600 کل)، تمکن IRCC $16,500، کار ۲۴ ساعت، PGWP ۳ سال، PR بدون زبان دوم؛
امتیاز ۶۵.۷ (دوم بعد از سوئیس)؛
MSc پایان‌نامه‌ای Calgary/Alberta ۷۰.۲ بلافاصله بعد از Basel؛
گلوگاه: استاد راهنما + ویزای کند از ایران
• انگلستان فقط Russell Group (به خواست شما، ۲۸ سپتامبر ۲۰۲۶، نسخهٔ ۳.۱۱): ۲۹ برنامه از ۱۷ دانشگاه با شهریهٔ $39,900 (Exeter، 2027/28) تا $61,000 (Imperial)؛
همه گام ۱ ❌ (کمترین کسری Exeter $14.2k)؛
امتیاز انگلستان ۵۸.۵ → ۵۵.۵ (هزینه ۵ → ۳؛ رتبهٔ هفتم)؛
انگلستان در توصیه فقط به شرط بورس (Liverpool 2:2، Exeter + Excellence $13k، Spärck، Chevening تا ۶ اکتبر ۲۰۲۶)
• فنلاند به‌عنوان کشور هفتم اضافه شد (۲۸ سپتامبر ۲۰۲۶، نسخهٔ ۳.۱۰): شهریه‌های رسمی Tampere $13,700 / Oulu $11,400 / Turku $13,700 / LUT $17,100 / Helsinki $17,100 / Aalto $19,400، تمکن Migri $910/ماه، کار ۳۰ ساعت، ۲ سال کاریابی، PR بدون شرط سال با مدرک فنلاندی + A2، VFS تهران؛
۱۴ برنامه در شیت «برنامه‌ها»؛
امتیاز ۵۸.۷ (چهارم)
•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(گزینه‌های غیر-RG آن نسخه — Teesside/Northumbria/Leicester/Essex/Brunel — در نسخهٔ ۳.۱۱ به خواست شما حذف شدند)؛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4">
      <c r="A14" s="69" t="inlineStr">
        <is>
          <t>چرا «انگلستان» و نه «بریتانیا»</t>
        </is>
      </c>
      <c r="B14" s="69" t="inlineStr">
        <is>
          <t>به خواست شما فقط دانشگاه‌های انگلستان مقایسه شده‌اند.
قوانین ویزا، کار و اقامت در کل بریتانیا یکسان است؛
سه تفاوت عملی: (۱) با شرط Russell Group، Cardiff/Edinburgh/Glasgow/Queen's Belfast (عضو گروه راسل، خارج انگلستان) کنار می‌روند و ارزان‌ترین‌ها Exeter $39,900 و Newcastle ≈ $42,000 می‌شوند → کل دوره $57–91k؛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داخل گروه راسل شهریه و رتبه تقریباً هم‌جهت‌اند: Exeter/Newcastle/York (QS ≈ ۱۴۹–۱۶۵) $40–44k، Liverpool/Sheffield/Durham/Leeds/Birmingham/Nottingham (۷۶–۱۶۵) $45–46k، Manchester (۳۵) $52.2k، لندن (QMUL/KCL/UCL/Imperial) $49–61k.</t>
        </is>
      </c>
    </row>
    <row r="15">
      <c r="A15" s="114" t="inlineStr">
        <is>
          <t>نکته پروفایل</t>
        </is>
      </c>
      <c r="B15" s="114"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
کانادا: ۱۵.۷۷/۲۰ روی جدول‌های رسمی ≈ B (Toronto SGS: کف ۱۵ = B، ۱۶ = B+، ۱۷ = A−) — گواهی رسمی «معدل دو سال آخر ۱۶.۹۲ / سال آخر ۱۷.۰۳» بگیرید: Manitoba رسماً فقط دو سال آخر را می‌سنجد (کف ۱۵ ✓) و Alberta/Calgary نیمهٔ دوم را (3.0 ✓، CS عملاً 3.3–3.5 مرزی)؛
UBC/SFU با کف ۱۶ روی کل دوره بسته‌اند.</t>
        </is>
      </c>
    </row>
    <row r="16">
      <c r="A16" s="69" t="inlineStr">
        <is>
          <t>اعداد را چگونه بخوانم</t>
        </is>
      </c>
      <c r="B16" s="69" t="inlineStr">
        <is>
          <t>مبالغ سطح 2026/27 هستند؛
نرخ 2027/28 (سال ورود شما) بین اکتبر ۲۰۲۶ تا بهار ۲۰۲۷ منتشر می‌شود — جایی که رسمی بود (TU/e $25,500، Exeter $39,900، Sheffield $45,800، QMUL $49,000، Gothenburg $30k کل) در جدول آمده؛
برای بقیه فعلاً ۳–۵٪ اضافه کنید.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4" t="inlineStr">
        <is>
          <t>نرخ ارز (مبنای همهٔ تبدیل‌ها)</t>
        </is>
      </c>
      <c r="B2" s="69" t="inlineStr">
        <is>
          <t>۱ یورو = ۱.۱۴ دلار
۱ پوند = ۱.۳۲۵ دلار
۱ فرانک = ۱.۲۱ دلار
۱ کرون سوئد = ۰.۱۰۱ دلار
۱ کرون دانمارک = ۰.۱۵۳ دلار
۱ دلار کانادا = ۰.۷۰۵ دلار (USD/$1 (CAD 1.419))</t>
        </is>
      </c>
      <c r="C2" s="63" t="inlineStr">
        <is>
          <t>xe.com / tradingeconomics</t>
        </is>
      </c>
      <c r="D2" s="69" t="inlineStr">
        <is>
          <t>رسمی (بازار)</t>
        </is>
      </c>
      <c r="E2" s="69" t="inlineStr">
        <is>
          <t>۲۸ سپتامبر ۲۰۲۶</t>
        </is>
      </c>
      <c r="F2" s="65" t="inlineStr">
        <is>
          <t>✅ تأیید: یورو/دلار ۱.۱۳۷، پوند/دلار ۱.۳۲۱، دلار/فرانک ۰.۸۲۹ (انحراف &lt; ۰.۵٪)</t>
        </is>
      </c>
    </row>
    <row r="3">
      <c r="A3" s="24" t="inlineStr">
        <is>
          <t>کانادا (بدون کبک) – شهریه‌ها (ردیف ۴/۵، شیت برنامه‌ها) — نسخهٔ ۳.۱۲</t>
        </is>
      </c>
      <c r="B3" s="113" t="inlineStr">
        <is>
          <t>Memorial $1,140 (CAD 1,611)/ترم × ۶ = $6,810 (CAD 9,666)
non-thesis $1,830 (CAD 2,600) × ۶
MAI/MASc SE $21,100 (CAD 29,948) (2026/27)
Manitoba $4,870 (CAD 6,909.96)/ترم سال اول + ادامه $475 (CAD 675) (2025/26)
USask $3,020 (CAD 4,279)/ترم (2026/27)
Alberta $7,410 (CAD 10,518.72) (ورودی ۲۰۲۶؛ ۲۰۲۷ −۵.۵٪) و $580 (CAD 826.36)/واحد
Calgary $2,010 (CAD 2,858.55)/ترم (2026/27) + فاندینگ تضمینی $17,900 (CAD 25,455)
Carleton $6,810 (CAD 9,668.99)/ترم (پاییز ۲۰۲۶، غیرپایان‌نامه‌ای)
Toronto MScAC $63,500 (CAD 90,050) (۲۰۲۶)
UVic ≈ $1,940 (CAD 2,746)/قسط (FAQ 2025/26)
Windsor ≈ $21.6k (CAD 30.6k)/سال (ثانویه)</t>
        </is>
      </c>
      <c r="C3" s="113" t="inlineStr">
        <is>
          <t>mun.ca SGS، umanitoba.ca registrar، grad.usask.ca، ualberta.ca GPS، calendar.ucalgary.ca، grad.ucalgary.ca، carleton.ca student accounts، mscac.utoronto.ca، uvic.ca، aggregatorها (Windsor)</t>
        </is>
      </c>
      <c r="D3" s="114" t="inlineStr">
        <is>
          <t>رسمی (۸ دانشگاه) + ثانویه (UVic 2025/26، Windsor)</t>
        </is>
      </c>
      <c r="E3" s="114" t="inlineStr">
        <is>
          <t>۲۹ سپتامبر ۲۰۲۶</t>
        </is>
      </c>
      <c r="F3" s="65" t="inlineStr">
        <is>
          <t>✅ ۸ رقم رسمی 2026/27؛
Manitoba رسمی 2025/26 (۲۰۲۶/۲۷ ≈ +۳–۴٪)؛
UVic/Windsor ≈ — قبل از اقدام چک شود؛
UBC/SFU بسته (۱۶/۲۰)؛
نسخهٔ ۳.۱۳: Waterloo (جدول پاییز ۲۰۲۶: $5,420 (CAD 7,696)/ترم؛ MDSAI $4,420 (CAD 6,272)/درس)، Dalhousie (جدول ارشد 2026/27: $7,970 (CAD 11,303) + بین‌المللی $5,690 (CAD 8,079) پایان‌نامه‌ای / $17,400 (CAD 24,685) غیرپایان‌نامه‌ای)، Ontario Tech (رجیسترار 2026/27: $14,200 (CAD 20,124.30)؛ MITS $3,410 (CAD 4,834.52)/درس) و Regina (جدول پاییز ۲۰۲۶: $260 (CAD 365.50)/واحد + سورشارژ $1,050 (CAD 1,487.25)/ترم) همه رسمی → اضافه شدند؛
کبک به خواست شما حذف شد</t>
        </is>
      </c>
    </row>
    <row r="4">
      <c r="A4" s="24" t="inlineStr">
        <is>
          <t>کانادا – قواعد IRCC (ردیف ۹/۱۱/۱۵/۲۰/۲۳/۲۵)</t>
        </is>
      </c>
      <c r="B4" s="69" t="inlineStr">
        <is>
          <t>تمکن $16,500 (CAD 23,448) (از ۱ سپتامبر ۲۰۲۶، خارج کبک)
کار ۲۴ ساعت/هفته در ترم، تمام‌وقت در تعطیلات
PGWP تا ۳ سال برای ارشد، CLB 7، معاف از شرط رشته
ارشد معاف از PAL (۲۰۲۶)
سقف ۲۰۲۶: ۱۵۵ هزار مجوز جدید / ۳۰۹,۶۷۰ فضا
هدف PR ۳۸۰ هزار/سال (۲۰۲۶–۲۸)
برش CEC ۲۰۲۶: ۵۰۷–۵۲۳
کارمزد $105 (CAD 150) + بیومتریک 85
تابعیت ۳ از ۵ سال</t>
        </is>
      </c>
      <c r="C4" s="63" t="inlineStr">
        <is>
          <t>canada.ca (IRCC)</t>
        </is>
      </c>
      <c r="D4" s="69" t="inlineStr">
        <is>
          <t>رسمی</t>
        </is>
      </c>
      <c r="E4" s="69" t="inlineStr">
        <is>
          <t>۲۹ سپتامبر ۲۰۲۶</t>
        </is>
      </c>
      <c r="F4" s="65" t="inlineStr">
        <is>
          <t>✅ رسمی؛
اعداد Express Entry تا سپتامبر ۲۰۲۶؛
برآورد CRS شما (۵۲۰–۵۳۰) قضاوت من است</t>
        </is>
      </c>
    </row>
    <row r="5">
      <c r="A5" s="24" t="inlineStr">
        <is>
          <t>کانادا – حقوق، خالص، زندگی، خوابگاه، دستمزد (ردیف ۶/۱۰/۱۲/۱۷–۱۹)</t>
        </is>
      </c>
      <c r="B5" s="114" t="inlineStr">
        <is>
          <t>جونیور $38–51k (CAD 54–72k) (Glassdoor میانه $43,800 (CAD 62,095)؛ WorkBC NOC 21232 $36.9 (CAD 52.40)/ساعت)
خالص $2,540–3,240 (CAD 3,600–4,600)
زندگی $985–1,830 (CAD 1,400–2,600) بسته به شهر (CMHC اکتبر ۲۰۲۵ یک‌خوابه Saskatoon $800 (CAD 1,135) … Victoria $1,300 (CAD 1,847)؛ MUN: اتاق $740 (CAD 1,050) + خوراک $210 (CAD 300) + شخصی $245 (CAD 346))
خوابگاه رسمی Calgary/USask/MUN 2026/27
حداقل دستمزد AB 15.00
SK 15.70
MB 16.40
NL 16.35
ON 17.95
BC 18.25 (سطوح اکتبر ۲۰۲۶)
بیکاری ۶.۴٪ / جوانان ۱۲.۹٪ (LFS اوت ۲۰۲۶)</t>
        </is>
      </c>
      <c r="C5" s="113" t="inlineStr">
        <is>
          <t>Glassdoor، WorkBC، CMHC/StatCan، دانشگاه‌ها، وزارت‌های کار استانی، StatCan LFS</t>
        </is>
      </c>
      <c r="D5" s="114" t="inlineStr">
        <is>
          <t>رسمی (زندگی/دستمزد/خوابگاه/بیکاری) + ثانویه (حقوق)</t>
        </is>
      </c>
      <c r="E5" s="114" t="inlineStr">
        <is>
          <t>۲۹ سپتامبر ۲۰۲۶</t>
        </is>
      </c>
      <c r="F5" s="65" t="inlineStr">
        <is>
          <t>✅ زندگی ماهانه برآورد از اجزای رسمی؛
حقوق‌ها ثانویه (Glassdoor/WorkBC)؛
خالص و پس‌انداز برآورد</t>
        </is>
      </c>
    </row>
    <row r="6">
      <c r="A6" s="24" t="inlineStr">
        <is>
          <t>کانادا – ویزا از تهران (ردیف ۲۳)</t>
        </is>
      </c>
      <c r="B6" s="69" t="inlineStr">
        <is>
          <t>بدون سفارت فعال در تهران؛
آنکارا؛
بیومتریک/پزشکی خارج از ایران؛
IRCC ۱۴–۲۰ هفته رسمی، ایرانی‌ها ۲۰–۳۰+ هفته + بررسی امنیتی؛
WES ۱۸–۲۰ هفته (فقط برای PR)</t>
        </is>
      </c>
      <c r="C6" s="63" t="inlineStr">
        <is>
          <t>canada.ca processing times؛
گزارش‌های متقاضیان ایرانی ۲۰۲۵–۲۶</t>
        </is>
      </c>
      <c r="D6" s="69" t="inlineStr">
        <is>
          <t>رسمی + تجربی</t>
        </is>
      </c>
      <c r="E6" s="69" t="inlineStr">
        <is>
          <t>۲۹ سپتامبر ۲۰۲۶</t>
        </is>
      </c>
      <c r="F6" s="125" t="inlineStr">
        <is>
          <t>⚠️ زمان‌ها متغیر و برای مرد مجرد ایرانی طولانی‌تر — پرونده تا مارس ۲۰۲۷، برنامهٔ B (ژانویه ۲۰۲۸) را کتباً بگیرید</t>
        </is>
      </c>
    </row>
    <row r="7">
      <c r="A7" s="24" t="inlineStr">
        <is>
          <t>انگلستان – فقط Russell Group (نسخهٔ ۳.۱۱، به خواست شما)</t>
        </is>
      </c>
      <c r="B7" s="114" t="inlineStr">
        <is>
          <t>شهریهٔ یک‌سالهٔ ارشد: Exeter $39,900 (£30,100) (2027/28)
York $43,600 (£32,900) (2027/28)
Sheffield $45,800 (£34,550) (2027/28)
Leeds $45,800 (£34,600) (۲۰۲۷)
Nottingham $46,100 (£34,800) (۲۰۲۷)
Southampton $48,800 (£36,800) (۲۰۲۷)
QMUL $49,000 (£36,950) (۲۰۲۷)
Bristol $50,200 (£37,900) (2027/28)
Liverpool $45,100 (£34,000) (2026/27)
Durham $45,700 (£34,500) (2026)
Warwick $49,600 (£37,460) (2026)
Manchester $52,200 (£39,400) (2026)
KCL $53,600 (£40,450) (2026)
Imperial $61,000 (£46,000) (2026/27)
Newcastle ≈ $42,000 (£31,700) و Birmingham ≈ $46,000 (£34,740) (aggregator)</t>
        </is>
      </c>
      <c r="C7" s="114" t="inlineStr">
        <is>
          <t>صفحات رسمی دوره‌ها؛
Newcastle/Birmingham: topuniversities/aggregator (صفحهٔ رسمی از ایران باز نشد)</t>
        </is>
      </c>
      <c r="D7" s="114" t="inlineStr">
        <is>
          <t>رسمی (۱۵ دانشگاه) + ثانویه (۲)</t>
        </is>
      </c>
      <c r="E7" s="114" t="inlineStr">
        <is>
          <t>۲۹ سپتامبر ۲۰۲۶</t>
        </is>
      </c>
      <c r="F7" s="65" t="inlineStr">
        <is>
          <t>✅ ۸ رقم برای ورودی ۲۰۲۷ رسمی؛
⚠️ ۷ رقم مربوط به ۲۰۲۶ است (۲۰۲۷ معمولاً +۳–۵٪)؛
⚠️ Newcastle/Birmingham ثانویه؛
معادل ایرانی 2:1 رسمی فقط برای York (۱۵)، Sheffield (۱۴)، Manchester (≥ ۱۴ دولتی)، QMUL (۱۵–۱۶)، Warwick (۱۵)، Durham (۱۴–۱۶)، Bristol (۱۵)، KCL (۱۷)، Southampton (۱۷/۱۵/۱۳)؛
Exeter/Liverpool/Newcastle/Leeds/Nottingham/Birmingham نیافتم</t>
        </is>
      </c>
    </row>
    <row r="8">
      <c r="A8" s="24" t="inlineStr">
        <is>
          <t>جدول اصلی – شهریه‌ها (ردیف ۴/۵)</t>
        </is>
      </c>
      <c r="B8" s="69" t="inlineStr">
        <is>
          <t>آلمان $340–910 (€300–800) (Stuttgart $3,420 (€3,000)؛ FAU $9,120 (€8,000) از ۲۰۲۷)
هلند $22,500–25,500 (€19,714–22,400)
سوئد $14–19k (SEK 140–190k)
دانمارک $17,000–19,700 (€14,900–17,300)
سوئیس $955–9,680 (CHF 790–8,000)/سال
انگلستان $22,500–61,000 (£17,000–46,000)</t>
        </is>
      </c>
      <c r="C8" s="69" t="inlineStr">
        <is>
          <t>صفحات رسمی دانشگاه‌ها</t>
        </is>
      </c>
      <c r="D8" s="69" t="inlineStr">
        <is>
          <t>رسمی 2026/27 (Bristol 2027/28)</t>
        </is>
      </c>
      <c r="E8" s="69" t="inlineStr">
        <is>
          <t>۲۷–۲۸ سپتامبر ۲۰۲۶</t>
        </is>
      </c>
      <c r="F8" s="65" t="inlineStr">
        <is>
          <t>✅ همه از صفحهٔ رسمی؛
نرخ 2027/28 اکثراً هنوز منتشر نشده (اکتبر–دسامبر ۲۰۲۶ اعلام می‌شود)</t>
        </is>
      </c>
    </row>
    <row r="9">
      <c r="A9" s="24" t="inlineStr">
        <is>
          <t>جدول اصلی – ویزا و تمکن (ردیف ۲۳/۲۵)</t>
        </is>
      </c>
      <c r="B9" s="113" t="inlineStr">
        <is>
          <t>DE $13,600 (€11,904)
NL $15,500 (€13,569)
SE $1,080 (SEK 10,656)/ماه
DK $1,130 (DKK 7,426)/ماه
CH $25,400 (CHF 21,000) (Basel $29,000 (CHF 24,000))
UK $1,590 (£1,203)/$2,080 (£1,570) از ۳۰ نوامبر ۲۰۲۶</t>
        </is>
      </c>
      <c r="C9" s="113" t="inlineStr">
        <is>
          <t>make-it-in-germany، ind.nl، migrationsverket، nyidanmark، sem.admin.ch، gov.uk</t>
        </is>
      </c>
      <c r="D9" s="114" t="inlineStr">
        <is>
          <t>رسمی</t>
        </is>
      </c>
      <c r="E9" s="114" t="inlineStr">
        <is>
          <t>۲۷ سپتامبر ۲۰۲۶</t>
        </is>
      </c>
      <c r="F9" s="65" t="inlineStr">
        <is>
          <t>✅ بدون تغییر از بررسی قبلی</t>
        </is>
      </c>
    </row>
    <row r="10">
      <c r="A10" s="24" t="inlineStr">
        <is>
          <t>جدول اصلی – کف حقوق/ویزای کار (ردیف ۱۶)</t>
        </is>
      </c>
      <c r="B10" s="63" t="inlineStr">
        <is>
          <t>DE $52,400 (€45,934)/$57,800 (€50,700)
NL $3,560 (€3,122)/ماه
SE $3,480 (SEK 34,470)
UK $50,700 (£38,290) → $55,300 (£41,700)
CH بدون کف + سهمیه ۸,۵۰۰</t>
        </is>
      </c>
      <c r="C10" s="69" t="inlineStr">
        <is>
          <t>منابع دولتی</t>
        </is>
      </c>
      <c r="D10" s="69" t="inlineStr">
        <is>
          <t>رسمی</t>
        </is>
      </c>
      <c r="E10" s="69" t="inlineStr">
        <is>
          <t>۲۷ سپتامبر ۲۰۲۶</t>
        </is>
      </c>
      <c r="F10" s="65" t="inlineStr">
        <is>
          <t>✅ بدون تغییر</t>
        </is>
      </c>
    </row>
    <row r="11">
      <c r="A11" s="24" t="inlineStr">
        <is>
          <t>جدول اصلی – حقوق جونیور و خالص (ردیف ۱۷/۱۸/۱۹)</t>
        </is>
      </c>
      <c r="B11" s="113" t="inlineStr">
        <is>
          <t>DE $55–63k (€48–55k)
NL $46–57k (€40–50k)
SE $42–55k (SEK 420–540k)
DK $76–82k (DKK 500–540k)
CH $103–127k (CHF 85–105k)
UK $37–46k (£28–35k)</t>
        </is>
      </c>
      <c r="C11" s="113" t="inlineStr">
        <is>
          <t>Glassdoor، StepStone، اعلان‌های ۲۰۲۶</t>
        </is>
      </c>
      <c r="D11" s="114" t="inlineStr">
        <is>
          <t>ثانویه</t>
        </is>
      </c>
      <c r="E11" s="114" t="inlineStr">
        <is>
          <t>۲۷ سپتامبر ۲۰۲۶</t>
        </is>
      </c>
      <c r="F11" s="125" t="inlineStr">
        <is>
          <t>⚠️ بازهٔ منطقی ولی نه رسمی — تنها بخش جدول اصلی که ذاتاً برآورد است</t>
        </is>
      </c>
    </row>
    <row r="12">
      <c r="A12" s="24" t="inlineStr">
        <is>
          <t>جدول اصلی – هزینهٔ زندگی (ردیف ۶/۷/۸)</t>
        </is>
      </c>
      <c r="B12" s="69" t="inlineStr">
        <is>
          <t>بازه‌های شهری + مجموع سال اول/کل دوره</t>
        </is>
      </c>
      <c r="C12" s="69" t="inlineStr">
        <is>
          <t>برآورد دانشگاه‌ها + محاسبه</t>
        </is>
      </c>
      <c r="D12" s="69" t="inlineStr">
        <is>
          <t>رسمی (بازه) + محاسبهٔ خودم</t>
        </is>
      </c>
      <c r="E12" s="69" t="inlineStr">
        <is>
          <t>۲۷ سپتامبر ۲۰۲۶</t>
        </is>
      </c>
      <c r="F12" s="125" t="inlineStr">
        <is>
          <t>⚠️ ذاتاً تقریبی؛
با اجاره‌های رسمی خوابگاه‌ها (شیت خوابگاه) سازگار است</t>
        </is>
      </c>
    </row>
    <row r="13">
      <c r="A13" s="24" t="inlineStr">
        <is>
          <t>جدول اصلی – امتیاز (ردیف ۲۸)</t>
        </is>
      </c>
      <c r="B13" s="113" t="inlineStr">
        <is>
          <t>DE 22 › SE 19 = EN 19 › NL 18 = CH 18 = FI 18 › DK 16</t>
        </is>
      </c>
      <c r="C13" s="114" t="inlineStr">
        <is>
          <t>قضاوت بر اساس سه معیار شما</t>
        </is>
      </c>
      <c r="D13" s="114" t="inlineStr">
        <is>
          <t>تحلیلی</t>
        </is>
      </c>
      <c r="E13" s="114" t="inlineStr">
        <is>
          <t>—</t>
        </is>
      </c>
      <c r="F13" s="125" t="inlineStr">
        <is>
          <t>⚠️ عدد نیست، قضاوت وزنی است</t>
        </is>
      </c>
    </row>
    <row r="14">
      <c r="A14" s="24" t="inlineStr">
        <is>
          <t>شیت برنامه‌ها – شهریه‌ها</t>
        </is>
      </c>
      <c r="B14" s="69" t="inlineStr">
        <is>
          <t>۱۴۲ برنامه: ۸۸ رسمی، ۵۴ با «≈» (فنلاند ۱۴ همه رسمی 2026/27–2027؛ کانادا ۲۰: ۱۷ رسمی، ۳ با «≈» — UVic، Carleton thesis، Windsor؛ ۷ برنامهٔ نسخهٔ ۳.۱۳ همه رسمی) (آلمان ۱۳ = فقط هزینهٔ ترم تقریبی، انگلستان ۱۳ = بیشتر «هم‌باند با Advanced CS همان دانشگاه» + Newcastle/Birmingham ثانویه، سوئد ۱۰، سوئیس ۸، دانمارک ۴، هلند ۳)</t>
        </is>
      </c>
      <c r="C14" s="69" t="inlineStr">
        <is>
          <t>صفحات رسمی / mastersportal / IDP / topuniversities</t>
        </is>
      </c>
      <c r="D14" s="69" t="inlineStr">
        <is>
          <t>رسمی یا ثانویه (علامت‌گذاری‌شده)</t>
        </is>
      </c>
      <c r="E14" s="69" t="inlineStr">
        <is>
          <t>۲۷–۲۹ سپتامبر ۲۰۲۶</t>
        </is>
      </c>
      <c r="F14" s="65" t="inlineStr">
        <is>
          <t>✅ سوئیس همه از صفحهٔ رسمی؛
✅ انگلستان RG: ۱۶ برنامه از صفحهٔ رسمی دوره؛
⚠️ ردیف‌های «≈» خطای محتمل ±۵–۱۰٪</t>
        </is>
      </c>
    </row>
    <row r="15">
      <c r="A15" s="24" t="inlineStr">
        <is>
          <t>شیت برنامه‌ها – شرط ورود/تطبیق نمره</t>
        </is>
      </c>
      <c r="B15" s="113" t="inlineStr">
        <is>
          <t>Warwick 2:1 = ۱۵/۲۰
Durham 2:1 = ۱۴–۱۶/۲۰
KCL high 2:1 = ۱۷/۲۰
Bristol حداقل ۱۵/۲۰
Twente ۱۵/۲۰
Imperial First</t>
        </is>
      </c>
      <c r="C15" s="114" t="inlineStr">
        <is>
          <t>صفحات رسمی دانشگاه‌ها</t>
        </is>
      </c>
      <c r="D15" s="114" t="inlineStr">
        <is>
          <t>رسمی</t>
        </is>
      </c>
      <c r="E15" s="114" t="inlineStr">
        <is>
          <t>۲۸ سپتامبر ۲۰۲۶</t>
        </is>
      </c>
      <c r="F15" s="65" t="inlineStr">
        <is>
          <t>✅ تأیید؛
UCL جدول ایران رسمی پیدا نشد (⚠️ برآورد ۱۵–۱۶/۲۰)</t>
        </is>
      </c>
    </row>
    <row r="16">
      <c r="A16" s="24" t="inlineStr">
        <is>
          <t>شیت برنامه‌ها – QS 2027</t>
        </is>
      </c>
      <c r="B16" s="63" t="inlineStr">
        <is>
          <t>ETH 8 … ZHAW 851–900؛
Warwick ≈ 69، Bristol ≈ 54، KCL ≈ 31، Durham ≈ 94</t>
        </is>
      </c>
      <c r="C16" s="63" t="inlineStr">
        <is>
          <t>QS WUR 2027 (via iamexpat/topuniversities)</t>
        </is>
      </c>
      <c r="D16" s="69" t="inlineStr">
        <is>
          <t>ثانویه از منبع رسمی</t>
        </is>
      </c>
      <c r="E16" s="69" t="inlineStr">
        <is>
          <t>۲۷–۲۸ سپتامبر ۲۰۲۶</t>
        </is>
      </c>
      <c r="F16" s="65" t="inlineStr">
        <is>
          <t>✅ (رتبه‌های حدودی با ≈)</t>
        </is>
      </c>
    </row>
    <row r="17">
      <c r="A17" s="24" t="inlineStr">
        <is>
          <t>ردیف ۵ب – بورس‌ها</t>
        </is>
      </c>
      <c r="B17" s="113" t="inlineStr">
        <is>
          <t>LiU ≥ 3.5/4
Chalmers IPOET ≥ ۸۰٪
Uppsala/Halmstad/MDU
NL Scholarship $5,700 (€5,000)
AAU ≈ ۱۵ بورس + $1,710 (DKK 11,225)
ETH ESOP $14,500 (CHF 12,000)/ترم
USI $4,840 (CHF 4,000)
انگلستان RG: Newcastle VC International $10,600 (£8,000) / VC Excellence ۵۰٪
Exeter Excellence $4k (£3k)/5k/10k
Spärck AI (Southampton)
Sheffield $9,280 (£7,000) ✗ ایران
Manchester Global Futures ✗ ایران
Chevening (۶ اکتبر ۲۰۲۶، تعهد بازگشت)
SI ✗</t>
        </is>
      </c>
      <c r="C17" s="113" t="inlineStr">
        <is>
          <t>liu.se، chalmers.se، uu.se، si.se، en.aau.dk، ethz.ch، usi.ch، ncl.ac.uk/study/global-scholarships، exeter.ac.uk، southampton.ac.uk، sheffield.ac.uk، manchester.ac.uk، chevening.org</t>
        </is>
      </c>
      <c r="D17" s="114" t="inlineStr">
        <is>
          <t>رسمی (Halmstad/MDU ثانویه)</t>
        </is>
      </c>
      <c r="E17" s="114" t="inlineStr">
        <is>
          <t>۲۹ سپتامبر ۲۰۲۶</t>
        </is>
      </c>
      <c r="F17" s="65" t="inlineStr">
        <is>
          <t>✅ بورس‌های غیر-RG (Essex/Teesside/Brunel/Northumbria) در نسخهٔ ۳.۱۱ حذف شدند؛
⚠️ فهرست کشوری ۲۰۲۷ بورس‌های Newcastle هنوز چک نشده (۲۰۲۵ ایران نداشت)؛
⚠️ Halmstad/MDU از منبع ثانویه</t>
        </is>
      </c>
    </row>
    <row r="18">
      <c r="A18" s="24" t="inlineStr">
        <is>
          <t>شیت زمانی – مهلت‌ها</t>
        </is>
      </c>
      <c r="B18" s="63" t="inlineStr">
        <is>
          <t>ETH ۱–۳۰ نوامبر
EPFL ۱۵ دسامبر
سوئد ۱۵ ژانویه
UZH/Fribourg ۲۸ فوریه
HSLU ۱ آوریل
Radboud ۱ آوریل
USI/Neuchâtel/Basel ۳۰ آوریل
Twente ۱ می
Passau ۳۱ می</t>
        </is>
      </c>
      <c r="C18" s="69" t="inlineStr">
        <is>
          <t>صفحات رسمی</t>
        </is>
      </c>
      <c r="D18" s="69" t="inlineStr">
        <is>
          <t>رسمی (چرخهٔ ۲۰۲۶/۲۷ برای ۲۰۲۷)</t>
        </is>
      </c>
      <c r="E18" s="69" t="inlineStr">
        <is>
          <t>۲۷–۲۸ سپتامبر ۲۰۲۶</t>
        </is>
      </c>
      <c r="F18" s="65" t="inlineStr">
        <is>
          <t>✅؛
⚠️ مهلت‌های ۲۰۲۷ بر اساس چرخهٔ قبلی — بهار ۲۰۲۷ دوباره ببینید</t>
        </is>
      </c>
    </row>
    <row r="19">
      <c r="A19" s="24" t="inlineStr">
        <is>
          <t>شیت خوابگاه – انگلستان RG (اجاره)</t>
        </is>
      </c>
      <c r="B19" s="113" t="inlineStr">
        <is>
          <t>Newcastle $155–320 (£118–240)
Sheffield PG $240–275 (£180–209)
York $245–295 (£186–224)
Durham $240–345 (£183–262)
Imperial $280–545 (£210–410) (رسمی)
Liverpool $200–285 (£150–215)
Manchester $185–290 (£140–220)
Leeds/Birmingham $185–305 (£140–230)
Nottingham $200–305 (£150–230)
Southampton $185–290 (£140–220)
Exeter $200–320 (£150–240)
QMUL $290–400 (£220–300) (برآورد)</t>
        </is>
      </c>
      <c r="C19" s="114" t="inlineStr">
        <is>
          <t>صفحات رسمی 2026/27 (Imperial ثانویه)؛
بقیه برآورد</t>
        </is>
      </c>
      <c r="D19" s="114" t="inlineStr">
        <is>
          <t>رسمی + برآورد</t>
        </is>
      </c>
      <c r="E19" s="114" t="inlineStr">
        <is>
          <t>۲۹ سپتامبر ۲۰۲۶</t>
        </is>
      </c>
      <c r="F19" s="65" t="inlineStr">
        <is>
          <t>✅ ۵ دانشگاه رسمی؛
⚠️ Liverpool، Manchester، Leeds، Birmingham، Nottingham، Southampton، Exeter، QMUL، Warwick، Bristol، UCL/KCL هنوز برآورد — ردیف‌های غیر-RG در نسخهٔ ۳.۱۱ حذف شدند</t>
        </is>
      </c>
    </row>
    <row r="20">
      <c r="A20" s="24" t="inlineStr">
        <is>
          <t>شیت خوابگاه – انگلستان RG (تضمین)</t>
        </is>
      </c>
      <c r="B20" s="63" t="inlineStr">
        <is>
          <t>York ۳۱ ژوئیه
Manchester ۳۱ اوت
Imperial/UCL/KCL/QMUL/Durham بدون تضمین PG</t>
        </is>
      </c>
      <c r="C20" s="69" t="inlineStr">
        <is>
          <t>صفحات رسمی</t>
        </is>
      </c>
      <c r="D20" s="69" t="inlineStr">
        <is>
          <t>رسمی</t>
        </is>
      </c>
      <c r="E20" s="69" t="inlineStr">
        <is>
          <t>۲۹ سپتامبر ۲۰۲۶</t>
        </is>
      </c>
      <c r="F20" s="65" t="inlineStr">
        <is>
          <t>✅؛
⚠️ Liverpool، Newcastle، Sheffield، Leeds، Birmingham، Nottingham، Southampton، Exeter: «احتمالاً بله برای ارشد بین‌المللیِ به‌موقع» — تأیید نشده</t>
        </is>
      </c>
    </row>
    <row r="21">
      <c r="A21" s="24" t="inlineStr">
        <is>
          <t>شیت خوابگاه – آلمان</t>
        </is>
      </c>
      <c r="B21" s="114" t="inlineStr">
        <is>
          <t>خوابگاه: میانگین DSW 2023 هر شهر (Darmstadt $455 (€401) … Siegen $280 (€246))
WG: MLP 2025 (Chemnitz $310 (€274) … München $900 (€790))
Stuttgart صف ۶–۸ ماه</t>
        </is>
      </c>
      <c r="C21" s="113" t="inlineStr">
        <is>
          <t>Statista/DSW 2023، MLP Studentenwohnreport 2025، Studierendenwerk Stuttgart</t>
        </is>
      </c>
      <c r="D21" s="114" t="inlineStr">
        <is>
          <t>رسمی</t>
        </is>
      </c>
      <c r="E21" s="114" t="inlineStr">
        <is>
          <t>۲۸ سپتامبر ۲۰۲۶</t>
        </is>
      </c>
      <c r="F21" s="65" t="inlineStr">
        <is>
          <t>✅ امروز میانگین رسمی خوابگاه برای هر ۱۴ شهر جایگزین برآورد شد؛
⚠️ اعداد ۲۰۲۳ است (۲۰۲۶ ≈ +۵–۱۰٪)؛
«شانس» قضاوتی است جز Stuttgart</t>
        </is>
      </c>
    </row>
    <row r="22">
      <c r="A22" s="24" t="inlineStr">
        <is>
          <t>شیت خوابگاه – هلند</t>
        </is>
      </c>
      <c r="B22" s="63" t="inlineStr">
        <is>
          <t>Radboud $420–740 (€370–650)
Utrecht $990 (€868)
Twente $340–910 (€300–800)
Enschede $455 (€397)
Groningen $585 (€515)
شهرهای پرفشار Kences</t>
        </is>
      </c>
      <c r="C22" s="63" t="inlineStr">
        <is>
          <t>ru.nl، uu.nl، utwente، Kences 2026، Kamernet</t>
        </is>
      </c>
      <c r="D22" s="69" t="inlineStr">
        <is>
          <t>رسمی/ثانویهٔ معتبر</t>
        </is>
      </c>
      <c r="E22" s="69" t="inlineStr">
        <is>
          <t>۲۸ سپتامبر ۲۰۲۶</t>
        </is>
      </c>
      <c r="F22" s="65" t="inlineStr">
        <is>
          <t>✅؛
⚠️ Leiden/Delft/Eindhoven/Amsterdam/Breda بازه‌ها برآورد</t>
        </is>
      </c>
    </row>
    <row r="23">
      <c r="A23" s="24" t="inlineStr">
        <is>
          <t>شیت خوابگاه – سوئد</t>
        </is>
      </c>
      <c r="B23" s="114" t="inlineStr">
        <is>
          <t>رنگ شهرها SFS 2024/2025
Uppsala تضمین
LiU یک پیشنهاد
اجاره $335–810 (SEK 3,300–8,000)</t>
        </is>
      </c>
      <c r="C23" s="113" t="inlineStr">
        <is>
          <t>SFS، uu.se، liu.se</t>
        </is>
      </c>
      <c r="D23" s="114" t="inlineStr">
        <is>
          <t>رسمی (رنگ‌ها) / برآورد (اجاره)</t>
        </is>
      </c>
      <c r="E23" s="114" t="inlineStr">
        <is>
          <t>۲۸ سپتامبر ۲۰۲۶</t>
        </is>
      </c>
      <c r="F23" s="65" t="inlineStr">
        <is>
          <t>✅ رنگ‌ها رسمی؛
⚠️ اجاره‌ها برآورد کلی (SSSB/Studentbostäder چک نشد)</t>
        </is>
      </c>
    </row>
    <row r="24">
      <c r="A24" s="24" t="inlineStr">
        <is>
          <t>شیت خوابگاه – دانمارک</t>
        </is>
      </c>
      <c r="B24" s="63" t="inlineStr">
        <is>
          <t>Aalborg $490–720 (DKK 3,200–4,700)
Copenhagen $535–1,370 (DKK 3,500–9,000)
Odense/Kolding/Aarhus/Lyngby</t>
        </is>
      </c>
      <c r="C24" s="63" t="inlineStr">
        <is>
          <t>en.aau.dk، بروشور AAU</t>
        </is>
      </c>
      <c r="D24" s="69" t="inlineStr">
        <is>
          <t>رسمی (AAU) / برآورد (بقیه)</t>
        </is>
      </c>
      <c r="E24" s="69" t="inlineStr">
        <is>
          <t>۲۸ سپتامبر ۲۰۲۶</t>
        </is>
      </c>
      <c r="F24" s="128" t="inlineStr">
        <is>
          <t>⚠️ Odense/Kolding/Aarhus/Lyngby برآورد</t>
        </is>
      </c>
    </row>
    <row r="25">
      <c r="A25" s="24" t="inlineStr">
        <is>
          <t>شیت خوابگاه – سوئیس</t>
        </is>
      </c>
      <c r="B25" s="113" t="inlineStr">
        <is>
          <t>WOKO $355–1,430 (CHF 295–1,180) (اکثر $545–1,030 (CHF 450–850))
FMEL/USI/Bern/Fribourg/Neuchâtel/Basel/Luzern ≈ $545–1,090 (CHF 450–900)</t>
        </is>
      </c>
      <c r="C25" s="113" t="inlineStr">
        <is>
          <t>woko.ch</t>
        </is>
      </c>
      <c r="D25" s="114" t="inlineStr">
        <is>
          <t>رسمی (WOKO) / برآورد (بقیه)</t>
        </is>
      </c>
      <c r="E25" s="114" t="inlineStr">
        <is>
          <t>۲۸ سپتامبر ۲۰۲۶</t>
        </is>
      </c>
      <c r="F25" s="59" t="inlineStr">
        <is>
          <t>✅ WOKO امروز اصلاح شد؛ ⚠️ بقیه برآورد</t>
        </is>
      </c>
    </row>
    <row r="26">
      <c r="A26" s="24" t="inlineStr">
        <is>
          <t>شیت خوابگاه – catered انگلستان</t>
        </is>
      </c>
      <c r="B26" s="63" t="inlineStr">
        <is>
          <t>Durham catered $345 (£262)/هفته، غذا $4,090 (£3,087) (25/26)؛
بقیهٔ RG برای PG عملاً self-catered</t>
        </is>
      </c>
      <c r="C26" s="63" t="inlineStr">
        <is>
          <t>durham.ac.uk، Palatinate</t>
        </is>
      </c>
      <c r="D26" s="69" t="inlineStr">
        <is>
          <t>رسمی</t>
        </is>
      </c>
      <c r="E26" s="69" t="inlineStr">
        <is>
          <t>۲۹ سپتامبر ۲۰۲۶</t>
        </is>
      </c>
      <c r="F26" s="65" t="inlineStr">
        <is>
          <t>✅</t>
        </is>
      </c>
    </row>
    <row r="27">
      <c r="A27" s="147" t="inlineStr">
        <is>
          <t>MD – ATAS، غربالگری هلند، Chevening</t>
        </is>
      </c>
      <c r="B27" s="113" t="inlineStr">
        <is>
          <t>ATAS برای ارشد آموزشی CS لازم نیست
غربالگری هلند «فعلاً» کنار گذاشته شد (ژوئن ۲۰۲۶)
Chevening: ۲ سال کار بعد از مدرک + بازگشت</t>
        </is>
      </c>
      <c r="C27" s="113" t="inlineStr">
        <is>
          <t>gov.uk Appendix ATAS، delta.tudelft، chevening.org</t>
        </is>
      </c>
      <c r="D27" s="114" t="inlineStr">
        <is>
          <t>رسمی</t>
        </is>
      </c>
      <c r="E27" s="114" t="inlineStr">
        <is>
          <t>۲۸ سپتامبر ۲۰۲۶</t>
        </is>
      </c>
      <c r="F27" s="65" t="inlineStr">
        <is>
          <t>✅</t>
        </is>
      </c>
    </row>
    <row r="28">
      <c r="A28" s="24" t="inlineStr">
        <is>
          <t>برنامه‌ها – UvA (هلند)</t>
        </is>
      </c>
      <c r="B28" s="63" t="inlineStr">
        <is>
          <t>MSc Software Engineering یک‌ساله $39,100 (€34,300)
MSc AI $29,600 (€26,000)</t>
        </is>
      </c>
      <c r="C28" s="63" t="inlineStr">
        <is>
          <t>uva.nl – Tuition fees 2026-2027 (Faculty of Science)</t>
        </is>
      </c>
      <c r="D28" s="69" t="inlineStr">
        <is>
          <t>رسمی 2026/27</t>
        </is>
      </c>
      <c r="E28" s="69" t="inlineStr">
        <is>
          <t>۲۸ سپتامبر ۲۰۲۶</t>
        </is>
      </c>
      <c r="F28" s="125" t="inlineStr">
        <is>
          <t>⚠️ اصلاح شد: رقم قبلی ≈ $26,800 (€23,540) (ثانویه) غلط بود؛
ارشد یک‌سالهٔ غیر-EEA دانشکدهٔ علوم $39,100 (€34,300) است</t>
        </is>
      </c>
    </row>
    <row r="29">
      <c r="A29" s="24" t="inlineStr">
        <is>
          <t>وزن‌دهی جدید (ردیف ۲۸ب / شیت تصمیم)</t>
        </is>
      </c>
      <c r="B29" s="114" t="inlineStr">
        <is>
          <t>کار ۳۰٪ / حقوق ۲۵٪ / انگلیسی ۳۰٪ / هزینه ۱۵٪ → هلند ۶۳.۵ › سوئیس ۶۲.۵ › آلمان ۶۰ = انگلستان ۶۰ › سوئد ۵۷.۵ › دانمارک ۵۶.۵</t>
        </is>
      </c>
      <c r="C29" s="114" t="inlineStr">
        <is>
          <t>ارزیابی بر پایهٔ ردیف‌های ۱۵–۱۹، ۲۶، ۲۸</t>
        </is>
      </c>
      <c r="D29" s="114" t="inlineStr">
        <is>
          <t>قضاوت (نه دادهٔ رسمی)</t>
        </is>
      </c>
      <c r="E29" s="114" t="inlineStr">
        <is>
          <t>۲۸ سپتامبر ۲۰۲۶</t>
        </is>
      </c>
      <c r="F29" s="125" t="inlineStr">
        <is>
          <t>⚠️ فاصلهٔ امتیازها کم است؛
وزن‌ها در شیت «تصمیم» قابل تغییرند</t>
        </is>
      </c>
    </row>
    <row r="30">
      <c r="A30" s="24" t="inlineStr">
        <is>
          <t>بودجه و وزن‌ها – نسخهٔ دوم (۲۸ سپتامبر)</t>
        </is>
      </c>
      <c r="B30" s="69" t="inlineStr">
        <is>
          <t>بودجه $32,000 → $40,000 در سال (⚠️ منسوخ — بودجه برای کل دوره است، ردیف بعد)؛
وزن‌ها کار ۲۷.۵ = حقوق ۲۷.۵ / انگلیسی ۳۰ / هزینه ۱۵؛
«کار» سوئیس ۴ → ۵</t>
        </is>
      </c>
      <c r="C30" s="69" t="inlineStr">
        <is>
          <t>گفتهٔ شما + مادهٔ ۲۱(۳) AIG (معافیت فارغ‌التحصیلان سوئیس از اولویت نیروی داخلی؛ سهمیه باقی است — SEM Weisungen §4.2)</t>
        </is>
      </c>
      <c r="D30" s="69" t="inlineStr">
        <is>
          <t>قضاوت + قانون</t>
        </is>
      </c>
      <c r="E30" s="69" t="inlineStr">
        <is>
          <t>۲۸ سپتامبر ۲۰۲۶</t>
        </is>
      </c>
      <c r="F30" s="125" t="inlineStr">
        <is>
          <t>⚠️ نتیجه: سوئیس ۶۶.۸ › هلند ۶۲.۸ › آلمان ۶۰ › انگلستان ۵۹.۵ › سوئد ۵۷.۸ › دانمارک ۵۷؛
ردیف ۹ جدول اصلی با بودجهٔ جدید بازنویسی شد</t>
        </is>
      </c>
    </row>
    <row r="31">
      <c r="A31" s="24" t="inlineStr">
        <is>
          <t>بودجه – اصلاح سوم (۲۸ سپتامبر)</t>
        </is>
      </c>
      <c r="B31" s="114" t="inlineStr">
        <is>
          <t>$40,000 برای کل دوره (نه در سال)</t>
        </is>
      </c>
      <c r="C31" s="114" t="inlineStr">
        <is>
          <t>گفتهٔ شما</t>
        </is>
      </c>
      <c r="D31" s="114" t="inlineStr">
        <is>
          <t>—</t>
        </is>
      </c>
      <c r="E31" s="114" t="inlineStr">
        <is>
          <t>۲۸ سپتامبر ۲۰۲۶</t>
        </is>
      </c>
      <c r="F31" s="125"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32">
      <c r="A32" s="24" t="inlineStr">
        <is>
          <t>بودجه – تعریف نهایی (۲۸ سپتامبر)</t>
        </is>
      </c>
      <c r="B32" s="69" t="inlineStr">
        <is>
          <t>$40,000 = کل شهریه + زندگی تا پیدا شدن کار دانشجویی</t>
        </is>
      </c>
      <c r="C32" s="69" t="inlineStr">
        <is>
          <t>گفتهٔ شما؛
سقف ساعت کار از منابع رسمی (SEM، BAMF، UKVI، IND)؛
حداقل دستمزد انگلستان $16.8 (£12.71) (gov.uk، ۱ آوریل ۲۰۲۶)</t>
        </is>
      </c>
      <c r="D32" s="69" t="inlineStr">
        <is>
          <t>قانون + برآورد درآمد</t>
        </is>
      </c>
      <c r="E32" s="69" t="inlineStr">
        <is>
          <t>۲۸ سپتامبر ۲۰۲۶</t>
        </is>
      </c>
      <c r="F32" s="125"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33">
      <c r="A33" s="24" t="inlineStr">
        <is>
          <t>شیت تصمیم – پ-۳ استقلال مالی (نسخهٔ ۳.۶)</t>
        </is>
      </c>
      <c r="B33" s="114"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33" s="114"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33" s="114" t="inlineStr">
        <is>
          <t>قانون (رسمی) + برآورد (نرخ IT، ضریب خالص، ماه‌های کاریابی، میانگین سالانه)</t>
        </is>
      </c>
      <c r="E33" s="114" t="inlineStr">
        <is>
          <t>۲۸ سپتامبر ۲۰۲۶</t>
        </is>
      </c>
      <c r="F33" s="65"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Liverpool/Sheffield ۹۹٪، Västerås ۱۰۲٪، Basel (میانگین) ۱۰۳٪؛
پایدار: Saarbrücken/Passau ۱۱۴٪، Luzern (میانگین) ۱۰۸٪، Karlskrona ۱۰۶٪</t>
        </is>
      </c>
    </row>
    <row r="34">
      <c r="A34" s="24" t="inlineStr">
        <is>
          <t>وزن‌ها – نسخهٔ سوم (۲۸ سپتامبر)</t>
        </is>
      </c>
      <c r="B34" s="69" t="inlineStr">
        <is>
          <t>کار ۲۸.۳ = حقوق ۲۸.۳ = انگلیسی ۲۸.۳ / هزینه ۱۵ (۸۵٪ به‌طور مساوی بین سه معیار اصلی، ۱۵٪ هزینه)</t>
        </is>
      </c>
      <c r="C34" s="69" t="inlineStr">
        <is>
          <t>گفتهٔ شما</t>
        </is>
      </c>
      <c r="D34" s="69" t="inlineStr">
        <is>
          <t>قضاوت (نه دادهٔ رسمی)</t>
        </is>
      </c>
      <c r="E34" s="69" t="inlineStr">
        <is>
          <t>۲۸ سپتامبر ۲۰۲۶</t>
        </is>
      </c>
      <c r="F34" s="125" t="inlineStr">
        <is>
          <t>⚠️ کشورها: سوئیس ۶۷ › کانادا ۶۵.۷ › هلند ۶۲.۵ › آلمان ۶۰.۳ › فنلاند ۵۸.۷ › سوئد ۵۷.۲ › دانمارک ۵۷ › انگلستان ۵۵.۵ (ترتیب همان نسخهٔ قبل)؛
برنامه‌ها: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 برنامه‌های آلمان کمی بالا آمدند؛
توصیهٔ ۸ درخواست تغییر نکرد (برنامه‌های غیر-RG انگلستان در نسخهٔ ۳.۱۱ حذف شدند)</t>
        </is>
      </c>
    </row>
    <row r="35">
      <c r="A35" s="24" t="inlineStr">
        <is>
          <t>فنلاند – شهریه‌ها (ردیف ۴/۵، شیت برنامه‌ها)</t>
        </is>
      </c>
      <c r="B35" s="113" t="inlineStr">
        <is>
          <t>Tampere $13,700 (€12,000)
Oulu $11,400 (€10,000)
Turku $13,700 (€12,000)
LUT $17,100 (€15,000)
Helsinki $17,100 (€15,000)
Aalto $19,400 (€17,000) (Game Design $19,400 (€17,000)، ۸ نفر)</t>
        </is>
      </c>
      <c r="C35" s="113" t="inlineStr">
        <is>
          <t>tuni.fi، oulu.fi، utu.fi، lut.fi، helsinki.fi، aalto.fi / studyinfo.fi</t>
        </is>
      </c>
      <c r="D35" s="114" t="inlineStr">
        <is>
          <t>رسمی 2026/27 و صفحه‌های ورودی ۲۰۲۷</t>
        </is>
      </c>
      <c r="E35" s="114" t="inlineStr">
        <is>
          <t>۲۸ سپتامبر ۲۰۲۶</t>
        </is>
      </c>
      <c r="F35" s="59" t="inlineStr">
        <is>
          <t>✅ Oulu/Helsinki/Aalto صفحهٔ ورودی ۲۰۲۷؛
Tampere/Turku/LUT نرخ 2026/27 (تغییر ۲۰۲۷ بعید ولی در دسامبر چک شود)</t>
        </is>
      </c>
    </row>
    <row r="36">
      <c r="A36" s="24" t="inlineStr">
        <is>
          <t>فنلاند – قواعد Migri (ردیف ۹/۱۱/۱۵/۱۶/۲۰–۲۳/۲۵)</t>
        </is>
      </c>
      <c r="B36" s="69" t="inlineStr">
        <is>
          <t>تمکن $910 (€800)/ماه = $10,900 (€9,600)
کار ۳۰ ساعت میانگین
کارمزد $685 (€600) + D $110 (€95)
بیمه ≥ $45,600 (€40,000)
کاریابی ۲ سال
مجوز کار $1,820 (€1,600) / متخصص $4,490 (€3,937)
PR با مدرک فنلاندی + A2 بدون شرط سال (۸ ژانویه ۲۰۲۶)
تابعیت ۸/۵ سال + آزمون از ۱ مارس ۲۰۲۷</t>
        </is>
      </c>
      <c r="C36" s="63" t="inlineStr">
        <is>
          <t>migri.fi (۷ صفحه در شیت منابع)</t>
        </is>
      </c>
      <c r="D36" s="69" t="inlineStr">
        <is>
          <t>رسمی</t>
        </is>
      </c>
      <c r="E36" s="69" t="inlineStr">
        <is>
          <t>۲۸ سپتامبر ۲۰۲۶</t>
        </is>
      </c>
      <c r="F36" s="65" t="inlineStr">
        <is>
          <t>✅ همه از صفحه‌های رسمی Migri؛
فقط «کف توافق جمعی $14–15 (€12–13)» برآورد است</t>
        </is>
      </c>
    </row>
    <row r="37">
      <c r="A37" s="24" t="inlineStr">
        <is>
          <t>فنلاند – حقوق، خالص، زندگی، خوابگاه (ردیف ۶/۱۲/۱۷–۱۹)</t>
        </is>
      </c>
      <c r="B37" s="114" t="inlineStr">
        <is>
          <t>جونیور $35–49k (€31–43k) (Glassdoor میانه $3,610 (€3,167)/ماه)
خالص $2,280–3,080 (€2,000–2,700)
زندگی Tampere/Oulu/Turku $855–1,140 (€750–1,000)، Helsinki $1,080–1,480 (€950–1,300)
خوابگاه TOAS $240–465 (€212–410)، PSOAS $285–435 (€250–380)، TYS $285–455 (€250–400)، HOAS $340–515 (€300–450)</t>
        </is>
      </c>
      <c r="C37" s="113" t="inlineStr">
        <is>
          <t>Glassdoor 2026؛
edunation 2026؛
بنیادهای خوابگاهی</t>
        </is>
      </c>
      <c r="D37" s="114" t="inlineStr">
        <is>
          <t>برآورد (≈)</t>
        </is>
      </c>
      <c r="E37" s="114" t="inlineStr">
        <is>
          <t>۲۸ سپتامبر ۲۰۲۶</t>
        </is>
      </c>
      <c r="F37" s="125" t="inlineStr">
        <is>
          <t>⚠️ برآورد از منابع ثانویه؛
اجاره‌ها را در سایت بنیادها با فیلتر شهر چک کنید</t>
        </is>
      </c>
    </row>
    <row r="38">
      <c r="A38" s="24" t="inlineStr">
        <is>
          <t>فنلاند – ویزا از تهران (ردیف ۲۳)</t>
        </is>
      </c>
      <c r="B38" s="63" t="inlineStr">
        <is>
          <t>Enter Finland آنلاین + بیومتریک VFS تهران (اولویت دانشجویان از ۷ ژوئن ۲۰۲۶) یا سفارت (نوبت الکترونیکی از ۱۵ ژوئن ۲۰۲۶)</t>
        </is>
      </c>
      <c r="C38" s="63" t="inlineStr">
        <is>
          <t>finlandabroad.fi/web/irn</t>
        </is>
      </c>
      <c r="D38" s="69" t="inlineStr">
        <is>
          <t>رسمی (۱۱ ژوئن ۲۰۲۶)</t>
        </is>
      </c>
      <c r="E38" s="69" t="inlineStr">
        <is>
          <t>۲۸ سپتامبر ۲۰۲۶</t>
        </is>
      </c>
      <c r="F38" s="65" t="inlineStr">
        <is>
          <t>✅ برخلاف آلمان/دانمارک، مسیر عادی از تهران باز است</t>
        </is>
      </c>
    </row>
    <row r="39">
      <c r="A39" s="24" t="inlineStr">
        <is>
          <t>کل فایل – وضعیت</t>
        </is>
      </c>
      <c r="B39" s="114" t="inlineStr">
        <is>
          <t>≈ ۱,۶۰۰ سلول عددی؛
≈ ۳۴۰ سلول با علامت ≈/برآورد</t>
        </is>
      </c>
      <c r="C39" s="114" t="inlineStr">
        <is>
          <t>—</t>
        </is>
      </c>
      <c r="D39" s="114" t="inlineStr">
        <is>
          <t>—</t>
        </is>
      </c>
      <c r="E39" s="114" t="inlineStr">
        <is>
          <t>۲۸ سپتامبر ۲۰۲۶</t>
        </is>
      </c>
      <c r="F39" s="114"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7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54" t="inlineStr">
        <is>
          <t>آلمان – EU Blue Card 2026 (€50,700 / €45,934.20)</t>
        </is>
      </c>
      <c r="B2" s="111" t="inlineStr">
        <is>
          <t>https://www.make-it-in-germany.com/en/visa-residence/types/eu-blue-card</t>
        </is>
      </c>
    </row>
    <row r="3">
      <c r="A3" s="154" t="inlineStr">
        <is>
          <t>آلمان – Sperrkonto €992/ماه (2026)</t>
        </is>
      </c>
      <c r="B3" s="115" t="inlineStr">
        <is>
          <t>https://www.make-it-in-germany.com/en/study-training/study/financing</t>
        </is>
      </c>
    </row>
    <row r="4">
      <c r="A4" s="154" t="inlineStr">
        <is>
          <t>آلمان – Niederlassungserlaubnis §18c (فارغ‌التحصیلان، ۲ سال، B1)</t>
        </is>
      </c>
      <c r="B4" s="111" t="inlineStr">
        <is>
          <t>https://www.make-it-in-germany.com/en/visa-residence/living-permanently/permanent-residence</t>
        </is>
      </c>
    </row>
    <row r="5">
      <c r="A5" s="154" t="inlineStr">
        <is>
          <t>آلمان – Stuttgart MSc Computer Science (انگلیسی، IELTS 7، €1,500/ترم)</t>
        </is>
      </c>
      <c r="B5" s="115" t="inlineStr">
        <is>
          <t>https://www.uni-stuttgart.de/en/study/study-programs/Computer-Science-M.Sc./</t>
        </is>
      </c>
    </row>
    <row r="6">
      <c r="A6" s="154" t="inlineStr">
        <is>
          <t>آلمان – FAU MSc Artificial Intelligence (انگلیسی، B2)</t>
        </is>
      </c>
      <c r="B6" s="111" t="inlineStr">
        <is>
          <t>https://www.ai.study.fau.eu/prospective-students/living-studying-in-germany/language-proficiency/</t>
        </is>
      </c>
    </row>
    <row r="7">
      <c r="A7" s="154" t="inlineStr">
        <is>
          <t>آلمان – TU Darmstadt MSc Computer Science</t>
        </is>
      </c>
      <c r="B7" s="115" t="inlineStr">
        <is>
          <t>https://www.informatik.tu-darmstadt.de/studium_fb20/im_studium/studiengaenge_liste/computer_science_msc.en.jsp</t>
        </is>
      </c>
    </row>
    <row r="8">
      <c r="A8" s="154" t="inlineStr">
        <is>
          <t>آلمان – TU Dresden MSc Computer Science admission</t>
        </is>
      </c>
      <c r="B8" s="111" t="inlineStr">
        <is>
          <t>https://tu-dresden.de/ing/informatik/studium/studienangebot/master-studiengaenge/m-sc-computer-science/admission?set_language=en</t>
        </is>
      </c>
    </row>
    <row r="9">
      <c r="A9" s="154" t="inlineStr">
        <is>
          <t>آلمان – TLScontact Tehran (لیست انتظار دانشجویی)</t>
        </is>
      </c>
      <c r="B9" s="115" t="inlineStr">
        <is>
          <t>https://visas-de.tlscontact.com/en-us/country/ir/vac/irTHR2de</t>
        </is>
      </c>
    </row>
    <row r="10">
      <c r="A10" s="154" t="inlineStr">
        <is>
          <t>آلمان – وضعیت سفارت تهران (Iran International، اوت ۲۰۲۶)</t>
        </is>
      </c>
      <c r="B10" s="111" t="inlineStr">
        <is>
          <t>https://www.iranintl.com/en/202608115899</t>
        </is>
      </c>
    </row>
    <row r="11">
      <c r="A11" s="154" t="inlineStr">
        <is>
          <t>آلمان – Fintiba: ساکنان ایران پذیرفته نمی‌شوند</t>
        </is>
      </c>
      <c r="B11" s="115" t="inlineStr">
        <is>
          <t>https://www.simplegermany.com/best-blocked-account-germany/</t>
        </is>
      </c>
    </row>
    <row r="12">
      <c r="A12" s="154" t="inlineStr">
        <is>
          <t>آلمان – حقوق توسعه‌دهنده (StepStone)</t>
        </is>
      </c>
      <c r="B12" s="111" t="inlineStr">
        <is>
          <t>https://www.stepstone.de/gehalt/Software-Entwickler-in.html</t>
        </is>
      </c>
    </row>
    <row r="13">
      <c r="A13" s="158" t="inlineStr">
        <is>
          <t>هلند – IND مبالغ ۲۰۲۶ (HSM €3,122 / €4,357؛ دانشجو €1,130.77)</t>
        </is>
      </c>
      <c r="B13" s="115" t="inlineStr">
        <is>
          <t>https://ind.nl/en/required-amounts-income-requirements</t>
        </is>
      </c>
    </row>
    <row r="14">
      <c r="A14" s="158" t="inlineStr">
        <is>
          <t>هلند – Twente شهریه 2026/27 €21,700</t>
        </is>
      </c>
      <c r="B14" s="111" t="inlineStr">
        <is>
          <t>https://www.utwente.nl/en/education/master/programmes/computer-science/finance/</t>
        </is>
      </c>
    </row>
    <row r="15">
      <c r="A15" s="158" t="inlineStr">
        <is>
          <t>هلند – Twente حداقل معدل برای مدرک ایرانی (۱۵/۲۰)</t>
        </is>
      </c>
      <c r="B15" s="115" t="inlineStr">
        <is>
          <t>https://www.utwente.nl/en/education/master/programmes/european-studies/admission/international/</t>
        </is>
      </c>
    </row>
    <row r="16">
      <c r="A16" s="158" t="inlineStr">
        <is>
          <t>هلند – Twente QS 2027 = 223</t>
        </is>
      </c>
      <c r="B16" s="111" t="inlineStr">
        <is>
          <t>https://www.utwente.nl/en/about-us/impact-ambitions/rankings/</t>
        </is>
      </c>
    </row>
    <row r="17">
      <c r="A17" s="158" t="inlineStr">
        <is>
          <t>هلند – Radboud شهریهٔ رسمی 2026/27 غیر-EEA €19,714 (Data Science and AI؛ دانشکدهٔ علوم)</t>
        </is>
      </c>
      <c r="B17" s="115" t="inlineStr">
        <is>
          <t>https://www.ru.nl/en/education/masters/data-science-and-ai/tuition</t>
        </is>
      </c>
    </row>
    <row r="18">
      <c r="A18" s="158" t="inlineStr">
        <is>
          <t>هلند – MVV در ایران (سفارت در باکو)</t>
        </is>
      </c>
      <c r="B18" s="111" t="inlineStr">
        <is>
          <t>https://www.netherlandsworldwide.nl/visa-the-netherlands/mvv-long-stay/apply-iran</t>
        </is>
      </c>
    </row>
    <row r="19">
      <c r="A19" s="158" t="inlineStr">
        <is>
          <t>هلند – B1 برای PR/تابعیت (تصمیم کابینه ۲۰۲۶)</t>
        </is>
      </c>
      <c r="B19" s="115" t="inlineStr">
        <is>
          <t>https://thedutchdaily.nl/dutch-citizenship-b1-language-requirement-confirmed-2026/</t>
        </is>
      </c>
    </row>
    <row r="20">
      <c r="A20" s="152" t="inlineStr">
        <is>
          <t>سوئد – قوانین جدید اقامت تحصیلی از ۱۱ ژوئن ۲۰۲۶ (۱۵ ساعت/هفته)</t>
        </is>
      </c>
      <c r="B20" s="111" t="inlineStr">
        <is>
          <t>https://www.migrationsverket.se/nyheter/news-archive/2026-05-25-new-rules-for-residence-permits-for-studies-in-higher-education.html</t>
        </is>
      </c>
    </row>
    <row r="21">
      <c r="A21" s="152" t="inlineStr">
        <is>
          <t>سوئد – قوانین جدید مجوز کار از ۱ ژوئن ۲۰۲۶ (SEK 34,470)</t>
        </is>
      </c>
      <c r="B21" s="115" t="inlineStr">
        <is>
          <t>https://www.migrationsverket.se/nyheter/news-archive/2026-04-17-new-rules-for-work-permits-from-1-june-2026.html</t>
        </is>
      </c>
    </row>
    <row r="22">
      <c r="A22" s="152" t="inlineStr">
        <is>
          <t>سوئد – گروه‌های معاف (فارغ‌التحصیلان ۷۵٪)</t>
        </is>
      </c>
      <c r="B22" s="111" t="inlineStr">
        <is>
          <t>https://eiglaw.com/sweden-publishes-exempt-occupations-for-new-salary-rule/</t>
        </is>
      </c>
    </row>
    <row r="23">
      <c r="A23" s="152" t="inlineStr">
        <is>
          <t>سوئد – مجوز ۱۲ ماهه جست‌وجوی کار و تمکن SEK 10,656</t>
        </is>
      </c>
      <c r="B23" s="115" t="inlineStr">
        <is>
          <t>https://www.migrationsverket.se/en/you-want-to-extend/study/look-for-work-after-completing-your-studies-in-sweden.html</t>
        </is>
      </c>
    </row>
    <row r="24">
      <c r="A24" s="152" t="inlineStr">
        <is>
          <t>سوئد – Linköping MSc CS شهریه SEK 332,000 (کل)</t>
        </is>
      </c>
      <c r="B24" s="111" t="inlineStr">
        <is>
          <t>https://liu.se/en/education/program/6mics</t>
        </is>
      </c>
    </row>
    <row r="25">
      <c r="A25" s="152" t="inlineStr">
        <is>
          <t>سوئد – BTH MSc Software Engineering 120 credits (SEK 70,000/ترم)</t>
        </is>
      </c>
      <c r="B25" s="115" t="inlineStr">
        <is>
          <t>https://www.bth.se/english/education/programmes/masters-programme-in-software-engineering-120-credits</t>
        </is>
      </c>
    </row>
    <row r="26">
      <c r="A26" s="152" t="inlineStr">
        <is>
          <t>سوئد – BTH برنامه ۶۰ واحدی (از راه دور، نیمه‌وقت، ۲ سال سابقه)</t>
        </is>
      </c>
      <c r="B26" s="111" t="inlineStr">
        <is>
          <t>https://www.bth.se/english/education/programmes/masters-programme-in-software-engineering-60-credits</t>
        </is>
      </c>
    </row>
    <row r="27">
      <c r="A27" s="152" t="inlineStr">
        <is>
          <t>سوئد – Halmstad MSc Information Technology شهریه</t>
        </is>
      </c>
      <c r="B27" s="115" t="inlineStr">
        <is>
          <t>https://www.mastersportal.com/studies/22787/information-technology.html</t>
        </is>
      </c>
    </row>
    <row r="28">
      <c r="A28" s="152" t="inlineStr">
        <is>
          <t>سوئد – Halmstad مسکن (بدون تضمین)</t>
        </is>
      </c>
      <c r="B28" s="111" t="inlineStr">
        <is>
          <t>https://www.hh.se/english/education/student-life/find-accommodation.html</t>
        </is>
      </c>
    </row>
    <row r="29">
      <c r="A29" s="152" t="inlineStr">
        <is>
          <t>سوئد – شهروندی ۸ ساله از ژوئن ۲۰۲۶</t>
        </is>
      </c>
      <c r="B29" s="115" t="inlineStr">
        <is>
          <t>https://www.imidaily.com/europe/sweden-passes-law-curtailing-naturalization-8-year-wait-income-floor/</t>
        </is>
      </c>
    </row>
    <row r="30">
      <c r="A30" s="152" t="inlineStr">
        <is>
          <t>سوئد – اطلاعیه مهاجرتی سفارت تهران</t>
        </is>
      </c>
      <c r="B30" s="111" t="inlineStr">
        <is>
          <t>https://www.swedenabroad.se/globalassets/ambassader/iran-teheran/documents/migration-issues/new-folder/english-versin.pdf</t>
        </is>
      </c>
    </row>
    <row r="31">
      <c r="A31" s="157" t="inlineStr">
        <is>
          <t>دانمارک – Pay Limit Scheme 2026</t>
        </is>
      </c>
      <c r="B31" s="115" t="inlineStr">
        <is>
          <t>https://www.nyidanmark.dk/pl-PL/You-want-to-apply/Work/Pay-limit-scheme</t>
        </is>
      </c>
    </row>
    <row r="32">
      <c r="A32" s="157" t="inlineStr">
        <is>
          <t>دانمارک – برنامه‌های آموزش عالی: ۹۰ ساعت/ماه، ۶ ماه یا ۳ سال جست‌وجوی کار</t>
        </is>
      </c>
      <c r="B32" s="111" t="inlineStr">
        <is>
          <t>https://www.nyidanmark.dk/en-GB/You-want-to-apply/Study/Higher-Education</t>
        </is>
      </c>
    </row>
    <row r="33">
      <c r="A33" s="157" t="inlineStr">
        <is>
          <t>دانمارک – مجوز ۳ ساله جست‌وجوی کار</t>
        </is>
      </c>
      <c r="B33" s="115" t="inlineStr">
        <is>
          <t>https://www.nyidanmark.dk/de-DE/You-want-to-apply/Study/Study---job-seeking/Study---3-years-job-seeking</t>
        </is>
      </c>
    </row>
    <row r="34">
      <c r="A34" s="157" t="inlineStr">
        <is>
          <t>دانمارک – اقامت دائم</t>
        </is>
      </c>
      <c r="B34" s="111" t="inlineStr">
        <is>
          <t>https://www.nyidanmark.dk/de-DE/You-want-to-apply/Permanent-residence-permit/Permanent-residence</t>
        </is>
      </c>
    </row>
    <row r="35">
      <c r="A35" s="157" t="inlineStr">
        <is>
          <t>دانمارک – تمکن DKK 7,426 (2026)</t>
        </is>
      </c>
      <c r="B35" s="115" t="inlineStr">
        <is>
          <t>https://nyidanmark.dk/en-GB/Words-and-concepts/SIRI/Self-support---SIRI</t>
        </is>
      </c>
    </row>
    <row r="36">
      <c r="A36" s="157" t="inlineStr">
        <is>
          <t>دانمارک – AAU Computer Science (IT) شهریه €7,455/ترم</t>
        </is>
      </c>
      <c r="B36" s="111" t="inlineStr">
        <is>
          <t>https://studyindenmark.dk/portal/aalborg-university-aau/aalborg/computer-science-it-msc</t>
        </is>
      </c>
    </row>
    <row r="37">
      <c r="A37" s="157" t="inlineStr">
        <is>
          <t>دانمارک – SDU شهریهٔ رسمی از ورودی ۲۰۲۶: Science/Engineering €17,300 در سال</t>
        </is>
      </c>
      <c r="B37" s="115" t="inlineStr">
        <is>
          <t>https://www.sdu.dk/en/uddannelse/fees_and_funding/tuition</t>
        </is>
      </c>
    </row>
    <row r="38">
      <c r="A38" s="157" t="inlineStr">
        <is>
          <t>دانمارک – SDU MSc Computer Science (ظرفیت محدود، €17,300)</t>
        </is>
      </c>
      <c r="B38" s="111" t="inlineStr">
        <is>
          <t>https://www.sdu.dk/en/uddannelse/kandidat/datalogi/adgangskrav</t>
        </is>
      </c>
    </row>
    <row r="39">
      <c r="A39" s="157" t="inlineStr">
        <is>
          <t>دانمارک – سفارت تهران (درخواست از ایران ممکن نیست)</t>
        </is>
      </c>
      <c r="B39" s="115" t="inlineStr">
        <is>
          <t>https://iran.um.dk/en</t>
        </is>
      </c>
    </row>
    <row r="40">
      <c r="A40" s="157" t="inlineStr">
        <is>
          <t>دانمارک – IDA حقوق شروع ۲۰۲۶</t>
        </is>
      </c>
      <c r="B40" s="111" t="inlineStr">
        <is>
          <t>https://studerende.ida.dk/snart-nyuddannet/loen/softwareingenioer-loen-saa-meget-kommer-du-til-at-tjene/</t>
        </is>
      </c>
    </row>
    <row r="41">
      <c r="A41" s="69" t="inlineStr">
        <is>
          <t>مسکن – DSW: میانگین اجارهٔ خوابگاه Studierendenwerk ≈ €306 با قبوض؛
۱,۷۰۰ خوابگاه / ۱۹۶ هزار جا</t>
        </is>
      </c>
      <c r="B41" s="115" t="inlineStr">
        <is>
          <t>https://www.studierendenwerke.de/en/topics/accomodation/accommodation-and-studies</t>
        </is>
      </c>
    </row>
    <row r="42">
      <c r="A42" s="69" t="inlineStr">
        <is>
          <t>مسکن – Studierendenwerk Stuttgart: €229–399 با قبوض، لیست انتظار معمول ۶–۸ ماه (اطلاعیهٔ رسمی)</t>
        </is>
      </c>
      <c r="B42" s="111" t="inlineStr">
        <is>
          <t>https://www.studierendenwerk-stuttgart.de/ueber-uns/presse/pressemitteilungen/mitteilung/wohnraum-fuer-studierende-in-der-hochschulregion-stuttgart</t>
        </is>
      </c>
    </row>
    <row r="43">
      <c r="A43" s="69" t="inlineStr">
        <is>
          <t>مسکن – Radboud: کمک مسکن (فرم PAS تا ۱ ژوئن)، بدون تضمین، گاهی ۳ ماه پیش‌پرداخت</t>
        </is>
      </c>
      <c r="B43" s="115" t="inlineStr">
        <is>
          <t>https://www.ru.nl/en/students/international-students/housing/housing-options/apply-for-help-with-housing</t>
        </is>
      </c>
    </row>
    <row r="44">
      <c r="A44" s="69" t="inlineStr">
        <is>
          <t>مسکن – Radboud بروشور 2026–27: اتاق مبلهٔ €370–650؛
زندگی €1,100–1,200</t>
        </is>
      </c>
      <c r="B44" s="111" t="inlineStr">
        <is>
          <t>https://www.timeshighereducation.com/cms-academic/sites/default/files/institution_downloads/2025-08/OM_BAMA_intbrochure_2026-2027_interactieve_3.pdf</t>
        </is>
      </c>
    </row>
    <row r="45">
      <c r="A45" s="69" t="inlineStr">
        <is>
          <t>مسکن – Utrecht: استودیوهای رزروشدهٔ ارشد €868 با قبوض، ودیعه €1,306؛
۲۸ می ۲۰۲۶ تمام شد</t>
        </is>
      </c>
      <c r="B45" s="115" t="inlineStr">
        <is>
          <t>https://www.uu.nl/en/education/welcome-to-utrecht/prepare-your-stay/arrange-housing/ways-to-find-housing/uu-reserved-accommodation-progamme/reserved-accommodation-for-masters-sep-26/reserved-housing-plaza</t>
        </is>
      </c>
    </row>
    <row r="46">
      <c r="A46" s="69" t="inlineStr">
        <is>
          <t>مسکن – Twente: اجاره €300–800؛
Roomspot؛
پیشنهاد برای دانشجویان ویزایی اول‌آمده‌اول‌گرفته</t>
        </is>
      </c>
      <c r="B46" s="111" t="inlineStr">
        <is>
          <t>https://issuu.com/utwente/docs/master_programmes_university_of_twente/s/16597294</t>
        </is>
      </c>
    </row>
    <row r="47">
      <c r="A47" s="69" t="inlineStr">
        <is>
          <t>مسکن – Uppsala: تضمین رسمی خوابگاه برای شهریه‌پردازها</t>
        </is>
      </c>
      <c r="B47" s="115" t="inlineStr">
        <is>
          <t>https://www.uu.se/en/study/masters-studies/living-in-sweden/housing</t>
        </is>
      </c>
    </row>
    <row r="48">
      <c r="A48" s="69" t="inlineStr">
        <is>
          <t>مسکن – Stockholm University: بدون تضمین؛
≈ ۶۰۰ واحد برای بین‌المللی‌ها</t>
        </is>
      </c>
      <c r="B48" s="111" t="inlineStr">
        <is>
          <t>https://medarbetare.su.se/en/education/first-and-second-level/internationalisation-for-students/housing-for-international-students</t>
        </is>
      </c>
    </row>
    <row r="49">
      <c r="A49" s="69" t="inlineStr">
        <is>
          <t>مسکن – AAU Copenhagen: صریحاً بدون تضمین؛
KKIK/CIU DKK 3,500–6,000؛
خوابگاه 5,000–9,000</t>
        </is>
      </c>
      <c r="B49" s="115" t="inlineStr">
        <is>
          <t>https://www.en.aau.dk/living-in-denmark/accommodation/international-students-in-copenhagen</t>
        </is>
      </c>
    </row>
    <row r="50">
      <c r="A50" s="69" t="inlineStr">
        <is>
          <t>مسکن – AAU Aalborg: دفتر مسکن بین‌الملل، ۲۲۰+ واحد مبله، «تقریباً ۱۰۰٪ تضمین»، DKK 3,200–4,700 (ثانویه + بروشور AAU)</t>
        </is>
      </c>
      <c r="B50" s="111" t="inlineStr">
        <is>
          <t>https://www.findunirooms.com/denmark/aalborg-university/</t>
        </is>
      </c>
    </row>
    <row r="51">
      <c r="A51" s="69" t="inlineStr">
        <is>
          <t>مسکن – York: تضمین PG تا ۳۱ ژوئیه؛
اجارهٔ 2026/27 £186–224/هفته (۵۱ هفته)</t>
        </is>
      </c>
      <c r="B51" s="115" t="inlineStr">
        <is>
          <t>https://www.york.ac.uk/study/accommodation/postgraduate/</t>
        </is>
      </c>
    </row>
    <row r="52">
      <c r="A52" s="69" t="inlineStr">
        <is>
          <t>مسکن – Newcastle: فهرست خوابگاه‌های PG 2026/27 (£117.60–239.75/هفته)</t>
        </is>
      </c>
      <c r="B52" s="111" t="inlineStr">
        <is>
          <t>https://www.ncl.ac.uk/accommodation/university/</t>
        </is>
      </c>
    </row>
    <row r="53">
      <c r="A53" s="69" t="inlineStr">
        <is>
          <t>مسکن – Durham: catered فقط برای کارشناسی (University College)؛
PG self-catered؛
راهنمای کالج PG</t>
        </is>
      </c>
      <c r="B53" s="115" t="inlineStr">
        <is>
          <t>https://www.durham.ac.uk/colleges-and-student-experience/colleges/university/accommodation/</t>
        </is>
      </c>
    </row>
    <row r="54">
      <c r="A54" s="69" t="inlineStr">
        <is>
          <t>مسکن – Durham قیمت 25/26: catered £10,233/سال، self-catered £7,146–7,801 (۳۹ هفته)، سهم غذا £3,087</t>
        </is>
      </c>
      <c r="B54" s="111" t="inlineStr">
        <is>
          <t>https://www.palatinate.org.uk/college-accommodation-prices-increase-by-5/</t>
        </is>
      </c>
    </row>
    <row r="55">
      <c r="A55" s="69" t="inlineStr">
        <is>
          <t>مسکن – Imperial: PG بدون تضمین؛
خوابگاه £210–410/هفته (۲۰۲۶)؛
طرح ضامن اجاره فقط UG/PhD؛
UCL طرح ضامن £50</t>
        </is>
      </c>
      <c r="B55" s="115" t="inlineStr">
        <is>
          <t>https://www.harveywjames.com/news-imperial-college-rent-guarantee-scheme-london</t>
        </is>
      </c>
    </row>
    <row r="56">
      <c r="A56" s="69" t="inlineStr">
        <is>
          <t>مسکن – SFS Bostadsrapport 2024: شهرهای سبز/زرد/قرمز سوئد (Linköping، Västerås، Karlskrona، Skövde سبز؛ Halmstad، Umeå، Uppsala، Stockholm، Göteborg قرمز)</t>
        </is>
      </c>
      <c r="B56" s="111" t="inlineStr">
        <is>
          <t>https://www.svt.se/nyheter/inrikes/rapport-flera-kommuner-med-bostadsgaranti-kan-inte-erbjuda-studenter-bostad</t>
        </is>
      </c>
    </row>
    <row r="57">
      <c r="A57" s="69" t="inlineStr">
        <is>
          <t>مسکن – SFS Bostadsrapport 2025: ۱۴ شهر سبز (از جمله Linköping، Västerås)، ۱۰ قرمز (Lund، Göteborg، Stockholm، Uppsala)</t>
        </is>
      </c>
      <c r="B57" s="115" t="inlineStr">
        <is>
          <t>https://www.kau.se/nyheter/karlstad-fortsatt-gront-i-studentbostadsrapport</t>
        </is>
      </c>
    </row>
    <row r="58">
      <c r="A58" s="69" t="inlineStr">
        <is>
          <t>مسکن – MLP Studentenwohnreport 2025: اجارهٔ اتاق WG به تفکیک شهر (München 790، Köln 641، Stuttgart 593، Darmstadt/Aachen 483، Saarbrücken 480، Tübingen 464، Dresden 435، Magdeburg 339، Chemnitz 274)</t>
        </is>
      </c>
      <c r="B58" s="111" t="inlineStr">
        <is>
          <t>https://de.marketscreener.com/boerse-nachrichten/mlp-studentenwohnreport-2025-wohnen-bleibt-fuer-studierende-zu-teuer-a-und-wird-zunehmend-zum-stan-ce7d5bd9d88ef62c</t>
        </is>
      </c>
    </row>
    <row r="59">
      <c r="A59" s="69" t="inlineStr">
        <is>
          <t>مسکن – Kences Landelijke Monitor 2026: کمبود ۲۰,۲۰۰؛
بیشترین فشار Amsterdam، Delft، Eindhoven، Leiden، Nijmegen، Utrecht؛
اتاق میانگین €540</t>
        </is>
      </c>
      <c r="B59" s="115" t="inlineStr">
        <is>
          <t>https://delta.tudelft.nl/en/article/kences-housing-shortage-remains-severe-delft-believes-it-has-found-a-solution</t>
        </is>
      </c>
    </row>
    <row r="60">
      <c r="A60" s="69" t="inlineStr">
        <is>
          <t>مسکن – Kamernet Q1 2025: Enschede ارزان‌ترین (€397)، Amsterdam گران‌ترین (€979)</t>
        </is>
      </c>
      <c r="B60" s="111" t="inlineStr">
        <is>
          <t>https://kamernet.nl/tips/verhuurders/huurprijs/kamernet-verhuurrapportage-q1-2025</t>
        </is>
      </c>
    </row>
    <row r="61">
      <c r="A61" s="69" t="inlineStr">
        <is>
          <t>مسکن – University of Manchester: تضمین خوابگاه برای هر PG بین‌المللی برای کل دوره (اقدام تا ۳۱ اوت)</t>
        </is>
      </c>
      <c r="B61" s="115" t="inlineStr">
        <is>
          <t>https://www.manchester.ac.uk/study/international/accommodation/guarantee/</t>
        </is>
      </c>
    </row>
    <row r="62">
      <c r="A62" s="69" t="inlineStr">
        <is>
          <t>مسکن – Statista/DSW: میانگین اجارهٔ خوابگاه هر Studierendenwerk ۲۰۲۳ با قبوض (Darmstadt €401 … Siegen €246؛ میانگین €306)</t>
        </is>
      </c>
      <c r="B62" s="111" t="inlineStr">
        <is>
          <t>https://de.statista.com/statistik/daten/studie/1447630/umfrage/durchschnittsmiete-in-studierendenwerken/</t>
        </is>
      </c>
    </row>
    <row r="63">
      <c r="A63" s="69" t="inlineStr">
        <is>
          <t>مسکن – Sheffield: اجاره‌های PG 2026/27 (Allen Court £194–209؛ ۴۲/۵۱ هفته)</t>
        </is>
      </c>
      <c r="B63" s="115" t="inlineStr">
        <is>
          <t>https://sheffield.ac.uk/accommodation/rents</t>
        </is>
      </c>
    </row>
    <row r="64">
      <c r="A64" s="69" t="inlineStr">
        <is>
          <t>مسکن – WOKO زوریخ: فهرست ساختمان‌ها و اجاره (CHF 295–1,180)</t>
        </is>
      </c>
      <c r="B64" s="111" t="inlineStr">
        <is>
          <t>https://www.woko.ch/unser-angebot/liegenschaften</t>
        </is>
      </c>
    </row>
    <row r="65">
      <c r="A65" s="151" t="inlineStr">
        <is>
          <t>انگلستان – Exeter MSc Advanced Computer Science: £30,100 برای 2027/28 (رسمی)؛
2:1؛
Profile B1</t>
        </is>
      </c>
      <c r="B65" s="115" t="inlineStr">
        <is>
          <t>https://www.exeter.ac.uk/study/postgraduate/courses/computerscience/advancedcsmsc/</t>
        </is>
      </c>
    </row>
    <row r="66">
      <c r="A66" s="151" t="inlineStr">
        <is>
          <t>انگلستان – Liverpool MSc Advanced Computer Science: £34,000 (2026/27، رسمی)؛
2:2؛
IELTS 6.5 (5.5)؛
مهلت بین‌المللی ۲۳ اوت ۲۰۲۷؛
فرم جایگزین برای ایران</t>
        </is>
      </c>
      <c r="B66" s="111" t="inlineStr">
        <is>
          <t>https://www.liverpool.ac.uk/courses/advanced-computer-science-msc</t>
        </is>
      </c>
    </row>
    <row r="67">
      <c r="A67" s="151" t="inlineStr">
        <is>
          <t>انگلستان – Sheffield MSc Advanced Computer Science 2027/28: £34,550 (رسمی، شهریهٔ ثابت)؛
2:1؛
IELTS 6.5 (6.0)</t>
        </is>
      </c>
      <c r="B67" s="115" t="inlineStr">
        <is>
          <t>https://www.sheffield.ac.uk/postgraduate/taught/courses/2027/advanced-computer-science-msc</t>
        </is>
      </c>
    </row>
    <row r="68">
      <c r="A68" s="151" t="inlineStr">
        <is>
          <t>انگلستان – Sheffield جدول رسمی ایران: First ۱۷/۲۰، 2:1 ۱۴/۲۰، 2:2 ۱۳/۲۰ (دانشگاه‌های دولتی)</t>
        </is>
      </c>
      <c r="B68" s="111" t="inlineStr">
        <is>
          <t>https://www.sheffield.ac.uk/international/entry-requirements/iran</t>
        </is>
      </c>
    </row>
    <row r="69">
      <c r="A69" s="151" t="inlineStr">
        <is>
          <t>انگلستان – Sheffield International Postgraduate Scholarship 2027 £7,000: فقط ۱۰ کشور (ایران نیست)</t>
        </is>
      </c>
      <c r="B69" s="115" t="inlineStr">
        <is>
          <t>https://www.sheffield.ac.uk/international/fees-and-funding/scholarships</t>
        </is>
      </c>
    </row>
    <row r="70">
      <c r="A70" s="151" t="inlineStr">
        <is>
          <t>انگلستان – York MSc Advanced Computer Science 2027/28: £32,900 (رسمی)؛
2:2؛
IELTS 6.5</t>
        </is>
      </c>
      <c r="B70" s="111" t="inlineStr">
        <is>
          <t>https://www.york.ac.uk/study/postgraduate-taught/courses/msc-advanced-computer-science/</t>
        </is>
      </c>
    </row>
    <row r="71">
      <c r="A71" s="151" t="inlineStr">
        <is>
          <t>انگلستان – York جدول رسمی ایران: 2:1 = ۱۵/۲۰، 2:2 = ۱۳/۲۰</t>
        </is>
      </c>
      <c r="B71" s="115" t="inlineStr">
        <is>
          <t>https://www.york.ac.uk/ (Study › International › Your country › Iran)</t>
        </is>
      </c>
    </row>
    <row r="72">
      <c r="A72" s="151" t="inlineStr">
        <is>
          <t>انگلستان – Southampton MSc Artificial Intelligence سپتامبر ۲۰۲۷: £36,800 (رسمی)؛
ودیعهٔ £2,000؛
Spärck AI Scholarship</t>
        </is>
      </c>
      <c r="B72" s="111" t="inlineStr">
        <is>
          <t>https://www.southampton.ac.uk/courses/artificial-intelligence-masters-msc</t>
        </is>
      </c>
    </row>
    <row r="73">
      <c r="A73" s="151" t="inlineStr">
        <is>
          <t>انگلستان – Southampton صفحهٔ ایران: آستانهٔ کارشناسی ۱۷ / ۱۵ / ۱۳ از ۲۰ بسته به دانشگاه</t>
        </is>
      </c>
      <c r="B73" s="115" t="inlineStr">
        <is>
          <t>https://www.southampton.ac.uk/ (International › Your country › Iran)</t>
        </is>
      </c>
    </row>
    <row r="74">
      <c r="A74" s="151" t="inlineStr">
        <is>
          <t>انگلستان – Nottingham MSc Advanced Computer Science / Advanced CS (AI) ۲۰۲۷: £34,800 بین‌المللی (رسمی)؛
2:1؛
IELTS 6.5 (6.0)</t>
        </is>
      </c>
      <c r="B74" s="111" t="inlineStr">
        <is>
          <t>https://www.nottingham.ac.uk/pgstudy/course/taught/computer-science-artificial-intelligence-msc</t>
        </is>
      </c>
    </row>
    <row r="75">
      <c r="A75" s="151" t="inlineStr">
        <is>
          <t>انگلستان – QMUL MSc Advanced Computer Science سپتامبر ۲۰۲۷: £36,950 overseas (رسمی)؛
ودیعهٔ £2,000</t>
        </is>
      </c>
      <c r="B75" s="115" t="inlineStr">
        <is>
          <t>https://www.qmul.ac.uk/postgraduate/taught/coursefinder/courses/advanced-computer-science-msc/</t>
        </is>
      </c>
    </row>
    <row r="76">
      <c r="A76" s="151" t="inlineStr">
        <is>
          <t>انگلستان – QMUL جدول رسمی ایران: 2:1 = ۱۵–۱۶/۲۰، 2:2 = ۱۳.۵–۱۴، First = ۱۷.۵–۱۸.۵</t>
        </is>
      </c>
      <c r="B76" s="111" t="inlineStr">
        <is>
          <t>https://www.qmul.ac.uk/ (International › Your country › Iran)</t>
        </is>
      </c>
    </row>
    <row r="77">
      <c r="A77" s="151" t="inlineStr">
        <is>
          <t>انگلستان – Leeds MSc Advanced Computer Science ۲۰۲۷: £34,600؛
2:1؛
IELTS 6.5 (6.0)؛
مهلت بین‌المللی ۳۰ ژوئیه ۲۰۲۷</t>
        </is>
      </c>
      <c r="B77" s="115" t="inlineStr">
        <is>
          <t>https://courses.leeds.ac.uk/</t>
        </is>
      </c>
    </row>
    <row r="78">
      <c r="A78" s="151" t="inlineStr">
        <is>
          <t>انگلستان – Manchester MSc Advanced Computer Science: 2026 = £39,400 (رسمی؛ ۲۰۲۷ اعلام نشده)؛
مهلت‌های مرحله‌ای؛
ودیعهٔ £2,500</t>
        </is>
      </c>
      <c r="B78" s="111" t="inlineStr">
        <is>
          <t>https://www.manchester.ac.uk/study/masters/courses/list/</t>
        </is>
      </c>
    </row>
    <row r="79">
      <c r="A79" s="151" t="inlineStr">
        <is>
          <t>انگلستان – Manchester صفحهٔ ایران: ارشد معمولاً ≥ ۱۴/۲۰ دانشگاه دولتی (۱۵ خصوصی)؛
Global Futures شامل ایران نیست</t>
        </is>
      </c>
      <c r="B79" s="115" t="inlineStr">
        <is>
          <t>https://www.manchester.ac.uk/ (Study › International › Country-specific information › Iran)</t>
        </is>
      </c>
    </row>
    <row r="80">
      <c r="A80" s="151" t="inlineStr">
        <is>
          <t>انگلستان – Newcastle MSc Advanced Computer Science ≈ £31,700 (ورودی ۲۰۲۶؛ به نقل از aggregator — صفحهٔ رسمی از ایران باز نشد)؛
ودیعهٔ £1,500</t>
        </is>
      </c>
      <c r="B80" s="111" t="inlineStr">
        <is>
          <t>https://www.ncl.ac.uk/postgraduate/</t>
        </is>
      </c>
    </row>
    <row r="81">
      <c r="A81" s="151" t="inlineStr">
        <is>
          <t>انگلستان – Newcastle بورس‌های ۲۰۲۷ (رسمی): VC International £8,000 خودکار (ودیعه تا ۲ اوت ۲۰۲۷)؛
VC Excellence تا ۵۰٪ (تا ۸ ژوئن ۲۰۲۷)</t>
        </is>
      </c>
      <c r="B81" s="115" t="inlineStr">
        <is>
          <t>https://www.ncl.ac.uk/study/global-scholarships/</t>
        </is>
      </c>
    </row>
    <row r="82">
      <c r="A82" s="151" t="inlineStr">
        <is>
          <t>انگلستان – Birmingham MSc Advanced Computer Science ≈ £34,740 (QS TopUniversities؛ صفحهٔ رسمی از ایران باز نشد)</t>
        </is>
      </c>
      <c r="B82" s="111" t="inlineStr">
        <is>
          <t>https://www.topuniversities.com/universities/university-birmingham</t>
        </is>
      </c>
    </row>
    <row r="83">
      <c r="A83" s="151" t="inlineStr">
        <is>
          <t>انگلستان – Exeter Excellence Scholarships (£3,000 / £5,000 / £10,000 برای دارندگان پیشنهاد بین‌المللی)</t>
        </is>
      </c>
      <c r="B83" s="115" t="inlineStr">
        <is>
          <t>https://www.exeter.ac.uk/study/funding/</t>
        </is>
      </c>
    </row>
    <row r="84">
      <c r="A84" s="151" t="inlineStr">
        <is>
          <t>انگلستان – Southampton Spärck AI Scholarship (بورس کامل + کمک‌هزینه؛ MSc AI)</t>
        </is>
      </c>
      <c r="B84" s="111" t="inlineStr">
        <is>
          <t>https://www.southampton.ac.uk/ (Spärck AI Scholarship)</t>
        </is>
      </c>
    </row>
    <row r="85">
      <c r="A85" s="151" t="inlineStr">
        <is>
          <t>انگلستان – Liverpool: نکتهٔ «فرم درخواست جایگزین» برای متقاضیان ایران در بخش How to apply صفحهٔ دوره</t>
        </is>
      </c>
      <c r="B85" s="115" t="inlineStr">
        <is>
          <t>https://www.liverpool.ac.uk/courses/advanced-computer-science-msc</t>
        </is>
      </c>
    </row>
    <row r="86">
      <c r="A86" s="63" t="inlineStr">
        <is>
          <t>Russell Group – فهرست رسمی ۲۴ عضو (۲۰ در انگلستان)</t>
        </is>
      </c>
      <c r="B86" s="111" t="inlineStr">
        <is>
          <t>https://russellgroup.ac.uk/about/our-universities/</t>
        </is>
      </c>
    </row>
    <row r="87">
      <c r="A87" s="151" t="inlineStr">
        <is>
          <t>انگلستان – Warwick: جدول رسمی تطبیق مدرک ایرانی (1st ۱۷/۲۰، 2:1 ۱۵/۲۰، 2:2 ۱۳/۲۰)</t>
        </is>
      </c>
      <c r="B87" s="115" t="inlineStr">
        <is>
          <t>https://warwick.ac.uk/study/international/countryinformation/middleeast/iran/</t>
        </is>
      </c>
    </row>
    <row r="88">
      <c r="A88" s="151" t="inlineStr">
        <is>
          <t>انگلستان – Durham MSc Advanced Computer Science: £34,500 (2026)؛
جدول ایران (2:1 = ۱۴–۱۶/۲۰؛ Ecctis)</t>
        </is>
      </c>
      <c r="B88" s="111" t="inlineStr">
        <is>
          <t>https://www.durham.ac.uk/study/courses/advanced-computer-science-g5t609/</t>
        </is>
      </c>
    </row>
    <row r="89">
      <c r="A89" s="151" t="inlineStr">
        <is>
          <t>انگلستان – KCL: جدول رسمی ایران (First ۱۸، high 2:1 ۱۷، 2:1 ۱۵، high 2:2 ۱۳ از ۲۰)؛
Advanced Computing high 2:1، £40,450 (2026)</t>
        </is>
      </c>
      <c r="B89" s="115" t="inlineStr">
        <is>
          <t>https://www.kcl.ac.uk/study-legacy/postgraduate/apply/entry-requirements/international</t>
        </is>
      </c>
    </row>
    <row r="90">
      <c r="A90" s="151" t="inlineStr">
        <is>
          <t>انگلستان – Imperial MSc Computing (AI &amp; ML): First-class؛
£46,000 (2026/27)</t>
        </is>
      </c>
      <c r="B90" s="111" t="inlineStr">
        <is>
          <t>https://www.imperial.ac.uk/study/courses/postgraduate-taught/computing-artificial-intelligence-msc/</t>
        </is>
      </c>
    </row>
    <row r="91">
      <c r="A91" s="151" t="inlineStr">
        <is>
          <t>انگلستان – UCL MSc Computer Science (تبدیلی): £42,700 (2026/27)، 2:1 در رشتهٔ غیر CS</t>
        </is>
      </c>
      <c r="B91" s="115" t="inlineStr">
        <is>
          <t>https://www.ucl.ac.uk/prospective-students/graduate/taught-degrees/computer-science-msc-2026</t>
        </is>
      </c>
    </row>
    <row r="92">
      <c r="A92" s="151" t="inlineStr">
        <is>
          <t>انگلستان – Bristol MSc Data Science: £37,900 (سپتامبر ۲۰۲۷)، strong 2:1 (۶۵٪)</t>
        </is>
      </c>
      <c r="B92" s="111" t="inlineStr">
        <is>
          <t>https://www.bristol.ac.uk/study/postgraduate/taught/msc-data-science/</t>
        </is>
      </c>
    </row>
    <row r="93">
      <c r="A93" s="151" t="inlineStr">
        <is>
          <t>انگلستان – Bristol صفحهٔ ایران: کارشناسی ۴ ساله با حداقل ۱۵/۲۰ از دانشگاه مورد تأیید</t>
        </is>
      </c>
      <c r="B93" s="115" t="inlineStr">
        <is>
          <t>https://www.bristol.ac.uk/international/countries/iran.html</t>
        </is>
      </c>
    </row>
    <row r="94">
      <c r="A94" s="151" t="inlineStr">
        <is>
          <t>انگلستان – High Fliers «The Graduate Market in 2026»: دانشگاه‌های هدف کارفرمایان (Manchester، Birmingham، Nottingham، Warwick، UCL)؛
استخدام فارغ‌التحصیل در پایین‌ترین سطح از ۲۰۱۲</t>
        </is>
      </c>
      <c r="B94" s="111" t="inlineStr">
        <is>
          <t>https://www.manchester.ac.uk/about/news/university-of-manchester-tops-uk-rankings-for-graduate-employer-interest/</t>
        </is>
      </c>
    </row>
    <row r="95">
      <c r="A95" s="151" t="inlineStr">
        <is>
          <t>انگلستان – LEO (DfE) درآمد ۵ سال بعد: Imperial Computing £79,600؛
Bristol Computing £70,300؛
میانهٔ کل بخش ≈ £31–34k (ثانویه: unilens/campusquant)</t>
        </is>
      </c>
      <c r="B95" s="115" t="inlineStr">
        <is>
          <t>https://unilens.co.uk/insights/highest-graduate-earnings-uk-universities-2026</t>
        </is>
      </c>
    </row>
    <row r="96">
      <c r="A96" s="151" t="inlineStr">
        <is>
          <t>انگلستان – Appendix ATAS: ارشد آموزشی CS/AI نیاز به ATAS ندارد (فقط پژوهشی/PhD در CS و ارشد آموزشی فیزیک/مواد/مکانیک/هوافضا/شیمی)</t>
        </is>
      </c>
      <c r="B96" s="111" t="inlineStr">
        <is>
          <t>https://www.gov.uk/guidance/immigration-rules/immigration-rules-appendix-atas-academic-technology-approval-scheme-atas</t>
        </is>
      </c>
    </row>
    <row r="97">
      <c r="A97" s="69" t="inlineStr">
        <is>
          <t>بورس – LiU International Scholarship: معمولاً ۵۰٪؛
شرط جدید ۲۰۲۶ (GPA ≥ 3.5/4 یا first/high second class)؛
فقط اولویت ۱</t>
        </is>
      </c>
      <c r="B97" s="115" t="inlineStr">
        <is>
          <t>https://liu.se/en/article/scholarships</t>
        </is>
      </c>
    </row>
    <row r="98">
      <c r="A98" s="69" t="inlineStr">
        <is>
          <t>بورس – Chalmers: بورس‌های شهریه‌پردازها (IPOET ۷۵٪ با حداقل معدل ۸۰٪، Avancez)</t>
        </is>
      </c>
      <c r="B98" s="111" t="inlineStr">
        <is>
          <t>https://www.chalmers.se/en/education/application-and-admission/scholarships-for-fee-paying-students/</t>
        </is>
      </c>
    </row>
    <row r="99">
      <c r="A99" s="69" t="inlineStr">
        <is>
          <t>بورس – Halmstad University Scholarship ۲۵٪/۵۰٪ برای غیر-EU (ثانویه؛ hh.se را چک کنید)</t>
        </is>
      </c>
      <c r="B99" s="115" t="inlineStr">
        <is>
          <t>https://www.mastersportal.com/scholarships/10077/halmstad-university-scholarships.html</t>
        </is>
      </c>
    </row>
    <row r="100">
      <c r="A100" s="69" t="inlineStr">
        <is>
          <t>بورس – MDU: بورس تا ۱۰۰٪ شهریه برای متقاضیان اولویت ۱ (ثانویه؛ mdu.se را چک کنید)</t>
        </is>
      </c>
      <c r="B100" s="111" t="inlineStr">
        <is>
          <t>https://daadscholarship.com/malardalen-university-scholarships-2026-to-study-for-free-in-sweden/</t>
        </is>
      </c>
    </row>
    <row r="101">
      <c r="A101" s="69" t="inlineStr">
        <is>
          <t>بورس – SI Scholarship for Global Professionals: ۳۴ کشور واجد شرایط — ایران نیست (رسمی)</t>
        </is>
      </c>
      <c r="B101" s="115" t="inlineStr">
        <is>
          <t>https://si.se/en/apply/scholarships/swedish-institute-scholarships-for-global-professionals/</t>
        </is>
      </c>
    </row>
    <row r="102">
      <c r="A102" s="69" t="inlineStr">
        <is>
          <t>بورس – NL Scholarship (سابقاً Holland Scholarship): €5,000 سال اول برای غیر-EEA، از طریق دانشگاه‌های عضو</t>
        </is>
      </c>
      <c r="B102" s="111" t="inlineStr">
        <is>
          <t>https://www.mastersportal.com/scholarships/988/holland-scholarship-for-non-eea-international-students.html</t>
        </is>
      </c>
    </row>
    <row r="103">
      <c r="A103" s="69" t="inlineStr">
        <is>
          <t>بورس – AAU: ≈ ۱۵ بورس دولتی در سال، معافیت شهریه + DKK 11,225/ماه (۲۰۲۶)، بررسی خودکار (رسمی)</t>
        </is>
      </c>
      <c r="B103" s="115" t="inlineStr">
        <is>
          <t>https://www.en.aau.dk/education/apply/master/finance-and-fees</t>
        </is>
      </c>
    </row>
    <row r="104">
      <c r="A104" s="69" t="inlineStr">
        <is>
          <t>بورس – ETH Excellence Scholarship &amp; Opportunity Programme: CHF 12,000/ترم + معافیت؛
۱۰٪ بالای کلاس؛
۱–۳۰ نوامبر</t>
        </is>
      </c>
      <c r="B104" s="111" t="inlineStr">
        <is>
          <t>https://ethz.ch/en/studies/financial/scholarships/excellencescholarship.html</t>
        </is>
      </c>
    </row>
    <row r="105">
      <c r="A105" s="69" t="inlineStr">
        <is>
          <t>بورس – USI: بورس‌های Fondazione per le Facoltà di Lugano (CHF 4,000؛ سال اول با معدل ≥ ۸۰/۱۰۰؛ سال دوم بهترینِ هر برنامه) — خبر رسمی USI</t>
        </is>
      </c>
      <c r="B105" s="115" t="inlineStr">
        <is>
          <t>https://www.eco.usi.ch/en/feeds/9861</t>
        </is>
      </c>
    </row>
    <row r="106">
      <c r="A106" s="69" t="inlineStr">
        <is>
          <t>بورس – Chevening ۲۰۲۷/۲۸ (رسمی): پنجره ۴ اوت – ۶ اکتبر ۲۰۲۶ ساعت ۱۱:۰۰ UTC؛
۲,۸۰۰ ساعت سابقهٔ کار؛
پیشنهاد بدون شرط تا ۸ ژوئیه ۲۰۲۷؛
تعهد بازگشت ۲ ساله؛
ایران در فهرست</t>
        </is>
      </c>
      <c r="B106" s="111" t="inlineStr">
        <is>
          <t>https://www.chevening.org/scholarships/application-timeline/</t>
        </is>
      </c>
    </row>
    <row r="107">
      <c r="A107" s="69" t="inlineStr">
        <is>
          <t>بورس – Deutschlandstipendium €300/ماه (رسمی)</t>
        </is>
      </c>
      <c r="B107" s="115" t="inlineStr">
        <is>
          <t>https://www.deutschlandstipendium.de/</t>
        </is>
      </c>
    </row>
    <row r="108">
      <c r="A108" s="153" t="inlineStr">
        <is>
          <t>سوئیس – ETH: تاریخ‌های اپلای ارشد پاییز ۲۰۲۷ (۱–۳۰ نوامبر ۲۰۲۶؛ پاسخ تا پایان مارس؛ شروع ۲۰ سپتامبر ۲۰۲۷)</t>
        </is>
      </c>
      <c r="B108" s="111" t="inlineStr">
        <is>
          <t>https://ethz.ch/en/studies/master/application/dates.html</t>
        </is>
      </c>
    </row>
    <row r="109">
      <c r="A109" s="153" t="inlineStr">
        <is>
          <t>سوئیس – EPFL: شهریه CHF 2,240/ترم برای خارجی‌های غیرمقیم از پاییز ۲۰۲۵ (CHF 780 برای بقیه)</t>
        </is>
      </c>
      <c r="B109" s="115" t="inlineStr">
        <is>
          <t>https://www.epfl.ch/education/studies/en/rules-and-procedures/study-taxes/tuition-fee-other-fees/</t>
        </is>
      </c>
    </row>
    <row r="110">
      <c r="A110" s="153" t="inlineStr">
        <is>
          <t>سوئیس – EPFL: پنجره‌های اپلای ارشد (۱۵ دسامبر / ۳۱ مارس؛ یک برنامه در سال)</t>
        </is>
      </c>
      <c r="B110" s="111" t="inlineStr">
        <is>
          <t>https://www.epfl.ch/education/admission/admission-2/master-admission-criteria-application/online-application/</t>
        </is>
      </c>
    </row>
    <row r="111">
      <c r="A111" s="153" t="inlineStr">
        <is>
          <t>سوئیس – UZH: شهریه CHF 720 + 100 (خارجی، ارشد) + 59؛
هزینهٔ درخواست CHF 150</t>
        </is>
      </c>
      <c r="B111" s="115" t="inlineStr">
        <is>
          <t>https://www.uzh.ch/en/studies/application/fees.html</t>
        </is>
      </c>
    </row>
    <row r="112">
      <c r="A112" s="153" t="inlineStr">
        <is>
          <t>سوئیس – UZH: مهلت ویزایی‌ها ۲۸ فوریه / بدون ویزا ۳۰ آوریل (پاییز)</t>
        </is>
      </c>
      <c r="B112" s="111" t="inlineStr">
        <is>
          <t>https://www.oec.uzh.ch/en/studies/general/admission/master/faq-master-admission.html</t>
        </is>
      </c>
    </row>
    <row r="113">
      <c r="A113" s="153" t="inlineStr">
        <is>
          <t>سوئیس – USI MSc Informatics: CHF 4,000/ترم غیرمقیم، B2 در ورود → C1، مهلت غیر-EU ۳۰ آوریل</t>
        </is>
      </c>
      <c r="B113" s="115" t="inlineStr">
        <is>
          <t>https://www.usi.ch/en/education/master/informatics</t>
        </is>
      </c>
    </row>
    <row r="114">
      <c r="A114" s="153" t="inlineStr">
        <is>
          <t>سوئیس – USI MSc Artificial Intelligence: CHF 4,000/ترم، IELTS 6.5</t>
        </is>
      </c>
      <c r="B114" s="111" t="inlineStr">
        <is>
          <t>https://www.topuniversities.com/universities/usi-universita-della-svizzera-italiana/postgrad/master-science-artificial-intelligence</t>
        </is>
      </c>
    </row>
    <row r="115">
      <c r="A115" s="153" t="inlineStr">
        <is>
          <t>سوئیس – swissuniversities: شهریهٔ دانشگاه‌های علوم کاربردی 2026–27 (ZHAW 1,220؛ HSLU 1,300؛ OST 1,500؛ FHNW 1,000–5,000)</t>
        </is>
      </c>
      <c r="B115" s="115" t="inlineStr">
        <is>
          <t>https://www.swissuniversities.ch/en/themen/lehre-studium/information-on-studies/tuition-fees/tuition-fees-at-uas</t>
        </is>
      </c>
    </row>
    <row r="116">
      <c r="A116" s="153" t="inlineStr">
        <is>
          <t>سوئیس – ZHAW MSE: انگلیسی، 90 ECTS، پروفایل‌های CS/Data Science/Cyber، معدل A/B، مهلت پایان آوریل</t>
        </is>
      </c>
      <c r="B116" s="111" t="inlineStr">
        <is>
          <t>https://www.zhaw.ch/en/engineering/study/masters-degree-programme</t>
        </is>
      </c>
    </row>
    <row r="117">
      <c r="A117" s="153" t="inlineStr">
        <is>
          <t>سوئیس – HSLU MSc Applied Information &amp; Data Science: C1 (B2 مشروط)، آلمانی لازم نیست، هر کارشناسی</t>
        </is>
      </c>
      <c r="B117" s="115" t="inlineStr">
        <is>
          <t>https://www.hslu.ch/en/lucerne-school-of-business/degree-programmes/master/applied-information-and-data-science/haeufig-gestellte-fragen/</t>
        </is>
      </c>
    </row>
    <row r="118">
      <c r="A118" s="153" t="inlineStr">
        <is>
          <t>سوئیس – Bern: Swiss Joint MSc Computer Science (90 ECTS، انگلیسی، شرط کارشناسی CS)</t>
        </is>
      </c>
      <c r="B118" s="111" t="inlineStr">
        <is>
          <t>https://www.philnat.unibe.ch/studies/study_programs/master_s_in_computer_science/index_eng.html</t>
        </is>
      </c>
    </row>
    <row r="119">
      <c r="A119" s="153" t="inlineStr">
        <is>
          <t>سوئیس – Bern شهریه از پاییز ۲۰۲۶: CHF 850 + 1,700 اضافهٔ غیرسوئیسی‌ها + 34 + 25 در ترم (رسمی)</t>
        </is>
      </c>
      <c r="B119" s="115" t="inlineStr">
        <is>
          <t>https://www.unibe.ch/studies/organizational_matters/renewal_of_semester_registration/fees/index_eng.html</t>
        </is>
      </c>
    </row>
    <row r="120">
      <c r="A120" s="153" t="inlineStr">
        <is>
          <t>سوئیس – Joint MSc CS (Bern/Neuchâtel/Fribourg) FAQ رسمی: بدون آزمون زبان (B2 توصیه)، شرط کارشناسی CS یا معادل با حداکثر ۶۰ ECTS تکمیلی، مهلت‌های دیرهنگام</t>
        </is>
      </c>
      <c r="B120" s="111" t="inlineStr">
        <is>
          <t>https://mcs.unibnf.ch/faq/</t>
        </is>
      </c>
    </row>
    <row r="121">
      <c r="A121" s="153" t="inlineStr">
        <is>
          <t>سوئیس – Neuchâtel شهریهٔ خارجی‌ها CHF 790/ترم (رسمی)</t>
        </is>
      </c>
      <c r="B121" s="115" t="inlineStr">
        <is>
          <t>https://www.unine.ch/admission/taxes-universitaires/</t>
        </is>
      </c>
    </row>
    <row r="122">
      <c r="A122" s="153" t="inlineStr">
        <is>
          <t>سوئیس – Neuchâtel مهلت ارشد ۳۰ آوریل؛
خارجی‌ها یک ماه زودتر؛
هزینهٔ پرونده CHF 100 (رسمی)</t>
        </is>
      </c>
      <c r="B122" s="111" t="inlineStr">
        <is>
          <t>https://www.unine.ch/admission/admission-master/delais-et-frais-dinscription-pour-les-masters/</t>
        </is>
      </c>
    </row>
    <row r="123">
      <c r="A123" s="153" t="inlineStr">
        <is>
          <t>سوئیس – Fribourg شهریهٔ خارجی‌ها CHF 870 + 115 = 985/ترم (رسمی)</t>
        </is>
      </c>
      <c r="B123" s="115" t="inlineStr">
        <is>
          <t>https://www.unifr.ch/studies/en/organisation/administrative-services-unifr-students/university-fees/</t>
        </is>
      </c>
    </row>
    <row r="124">
      <c r="A124" s="153" t="inlineStr">
        <is>
          <t>سوئیس – Fribourg مهلت ارشد با مدرک خارجی: ویزایی‌ها ۱–۲۸ فوریه، بقیه تا ۳۰ آوریل (رسمی)</t>
        </is>
      </c>
      <c r="B124" s="111" t="inlineStr">
        <is>
          <t>https://www.unifr.ch/studies/en/admission/admission-master/admission-master-foreign.html</t>
        </is>
      </c>
    </row>
    <row r="125">
      <c r="A125" s="153" t="inlineStr">
        <is>
          <t>سوئیس – Basel MSc CS: 90 ECTS، انگلیسی، مهلت ۳۰ آوریل / ۳۰ نوامبر (رسمی)</t>
        </is>
      </c>
      <c r="B125" s="115" t="inlineStr">
        <is>
          <t>https://dmi.unibas.ch/en/studies/computer-science/masters/</t>
        </is>
      </c>
    </row>
    <row r="126">
      <c r="A126" s="153" t="inlineStr">
        <is>
          <t>سوئیس – Basel شهریه CHF 850/ترم برای همه + CHF 100 هزینهٔ درخواست (Uni Info 2026/27)</t>
        </is>
      </c>
      <c r="B126" s="111" t="inlineStr">
        <is>
          <t>https://www.unibas.ch/dam/jcr:28672e66-8562-4988-9e38-b1c944ed22bf/COMPUTER%20SCIENCE%202026.2026-02-05-09-53-32.pdf</t>
        </is>
      </c>
    </row>
    <row r="127">
      <c r="A127" s="153" t="inlineStr">
        <is>
          <t>سوئیس – HSLU MSc Applied Data Science and AI (نام جدید): مهلت ویزایی‌ها ۱ آوریل، CHF 1,300/ترم خارجی، CHF 250 درخواست، 120 ECTS (رسمی)</t>
        </is>
      </c>
      <c r="B127" s="115" t="inlineStr">
        <is>
          <t>https://www.hslu.ch/en/lucerne-school-of-business/degree-programmes/master/applied-data-science-and-ai/</t>
        </is>
      </c>
    </row>
    <row r="128">
      <c r="A128" s="153" t="inlineStr">
        <is>
          <t>سوئیس – USI مهلت‌های 2026/27: غیر-EU ۳۰ آوریل؛
هزینهٔ پرونده CHF 100 برای مدارک خارج از کنوانسیون لیسبون (رسمی)</t>
        </is>
      </c>
      <c r="B128" s="111" t="inlineStr">
        <is>
          <t>https://www.usi.ch/en/education/master/informatics/application</t>
        </is>
      </c>
    </row>
    <row r="129">
      <c r="A129" s="153" t="inlineStr">
        <is>
          <t>سوئیس – SEM FAQ: ۶ ماه جست‌وجوی کار برای فارغ‌التحصیلان؛
اولویت داخلی/EU؛
سهمیه</t>
        </is>
      </c>
      <c r="B129" s="115" t="inlineStr">
        <is>
          <t>https://www.sem.admin.ch/sem/en/home/themen/arbeit/faq.html</t>
        </is>
      </c>
    </row>
    <row r="130">
      <c r="A130" s="153" t="inlineStr">
        <is>
          <t>سوئیس – سهمیهٔ ۲۰۲۶ اتباع غیر-EU: ۴,۵۰۰ B + ۴,۰۰۰ L؛
شرایط FNIA</t>
        </is>
      </c>
      <c r="B130" s="111" t="inlineStr">
        <is>
          <t>https://goldblum.ch/knowledgebase/residence-permit-in-switzerland-obtain/</t>
        </is>
      </c>
    </row>
    <row r="131">
      <c r="A131" s="153" t="inlineStr">
        <is>
          <t>سوئیس – Art. 21(3) FNIA: معافیت از آزمون بازار کار ولی نه از سهمیه؛
طرح 22.067 اجرا نشده</t>
        </is>
      </c>
      <c r="B131" s="115" t="inlineStr">
        <is>
          <t>https://vshcherbakov.com/2025/06/26/Path-to-working-permit-for-Swiss-graduates/</t>
        </is>
      </c>
    </row>
    <row r="132">
      <c r="A132" s="153" t="inlineStr">
        <is>
          <t>سوئیس – اقامت تحصیلی ۲۰۲۶: CHF 21,000/سال، ۱۵ ساعت کار بعد از ۶ ماه، پردازش ۸–۱۲ هفته</t>
        </is>
      </c>
      <c r="B132" s="111" t="inlineStr">
        <is>
          <t>https://www.study-abroad.org/blog/ch-student-visa-guide/</t>
        </is>
      </c>
    </row>
    <row r="133">
      <c r="A133" s="153" t="inlineStr">
        <is>
          <t>سوئیس – کانتون زوریخ: تمکن فقط در بانک مستقر در سوئیس به نام خودتان یا ضامن مقیم (راهنمای ZHAW)</t>
        </is>
      </c>
      <c r="B133" s="115" t="inlineStr">
        <is>
          <t>https://www.zhaw.ch/storage/sml/master/msc-bf-pie-information-for-international-students.pdf</t>
        </is>
      </c>
    </row>
    <row r="134">
      <c r="A134" s="153" t="inlineStr">
        <is>
          <t>سوئیس – تفاوت کانتون‌ها: Basel CHF 24,000؛
زوریخ حساب سوئیسی</t>
        </is>
      </c>
      <c r="B134" s="111" t="inlineStr">
        <is>
          <t>https://gradpilot.com/news/switzerland-student-visa-motivation-letter-canton-guide</t>
        </is>
      </c>
    </row>
    <row r="135">
      <c r="A135" s="153" t="inlineStr">
        <is>
          <t>سوئیس – اجازهٔ C: ۱۰ سال برای اتباع کشور ثالث، A2 شفاهی/A1 کتبی؛
۵ سال با B1</t>
        </is>
      </c>
      <c r="B135" s="115" t="inlineStr">
        <is>
          <t>https://relofinder.ch/blog/swiss-c-permit-permanent-residence-2026-guide/</t>
        </is>
      </c>
    </row>
    <row r="136">
      <c r="A136" s="153" t="inlineStr">
        <is>
          <t>سوئیس – اجازهٔ C: احتساب سال‌های تحصیل و شرایط ادغام</t>
        </is>
      </c>
      <c r="B136" s="111" t="inlineStr">
        <is>
          <t>https://www.richmondchambers.ch/post/swiss-c-permit-eligibility-required-years-of-residence-integration-expectations-and-fast-track-pa</t>
        </is>
      </c>
    </row>
    <row r="137">
      <c r="A137" s="153" t="inlineStr">
        <is>
          <t>سوئیس – سفارت تهران: ویزای D با وقت قبلی، ویزای C فعلاً نه (۳۰ ژانویه ۲۰۲۶)</t>
        </is>
      </c>
      <c r="B137" s="115" t="inlineStr">
        <is>
          <t>https://www.eda.admin.ch/countries/iran/en/home.html</t>
        </is>
      </c>
    </row>
    <row r="138">
      <c r="A138" s="153" t="inlineStr">
        <is>
          <t>سوئیس – حقوق مهندس نرم‌افزار ۲۰۲۶ (جونیور CHF 85–105k؛ خالص زوریخ)</t>
        </is>
      </c>
      <c r="B138" s="111" t="inlineStr">
        <is>
          <t>https://whatisthesalary.com/it-salaries/software-engineer-salary-in-switzerland/</t>
        </is>
      </c>
    </row>
    <row r="139">
      <c r="A139" s="153" t="inlineStr">
        <is>
          <t>سوئیس – Glassdoor: میانهٔ Junior Software Engineer زوریخ CHF 92k</t>
        </is>
      </c>
      <c r="B139" s="115" t="inlineStr">
        <is>
          <t>https://www.glassdoor.com/Salaries/z%C3%BCrich-junior-software-engineer-salary-SRCH_IL.0,6_IC3297851_KO7,31.htm</t>
        </is>
      </c>
    </row>
    <row r="140">
      <c r="A140" s="153" t="inlineStr">
        <is>
          <t>سوئیس – بازهٔ حقوق زوریخ ۲۰۲۶ بر اساس نوع کارفرما</t>
        </is>
      </c>
      <c r="B140" s="111" t="inlineStr">
        <is>
          <t>https://upreer.ch/en/salaries/software-engineer-salary-zurich/</t>
        </is>
      </c>
    </row>
    <row r="141">
      <c r="A141" s="153" t="inlineStr">
        <is>
          <t>سوئیس – هزینهٔ زندگی زوریخ CHF 2,000–2,200/ماه (UZH)</t>
        </is>
      </c>
      <c r="B141" s="115" t="inlineStr">
        <is>
          <t>https://www.msfinance.uzh.ch/en/studyinginzurich/accommodation.html</t>
        </is>
      </c>
    </row>
    <row r="142">
      <c r="A142" s="153" t="inlineStr">
        <is>
          <t>سوئیس – QS 2027: ETH 8، EPFL 22، UZH 98، Basel 150، Bern 191، USI 456، Fribourg 670، ZHAW 851–900</t>
        </is>
      </c>
      <c r="B142" s="111" t="inlineStr">
        <is>
          <t>https://www.iamexpat.ch/education/education-news/eth-zurich-makes-top-universities-world</t>
        </is>
      </c>
    </row>
    <row r="143">
      <c r="A143" s="153" t="inlineStr">
        <is>
          <t>سوئیس – رد ابتکار «سوئیس ۱۰ میلیونی» SVP در ۱۴ ژوئن ۲۰۲۶ (۵۴.۸٪ نه)</t>
        </is>
      </c>
      <c r="B143" s="115" t="inlineStr">
        <is>
          <t>https://www.tagesanzeiger.ch/10-millionen-schweiz-resultate-der-svp-initiative-im-ticker-935664202454</t>
        </is>
      </c>
    </row>
    <row r="144">
      <c r="A144" s="153" t="inlineStr">
        <is>
          <t>سوئیس – EP27: کاهش ۷۸ میلیون فرانک بودجهٔ ETH؛
سناریوی چهاربرابر شدن شهریهٔ خارجی‌ها</t>
        </is>
      </c>
      <c r="B144" s="111" t="inlineStr">
        <is>
          <t>https://www.efd.admin.ch/de/entlastungspaket-27</t>
        </is>
      </c>
    </row>
    <row r="145">
      <c r="A145" s="153" t="inlineStr">
        <is>
          <t>سوئیس – بازار IT ۲۰۲۶: استخدام گزینشی‌تر، بیکاری ≈ ۳.۲٪، کمبود ساختاری ICT</t>
        </is>
      </c>
      <c r="B145" s="115" t="inlineStr">
        <is>
          <t>https://capiwell.ch/swiss-it-labour-market-2026-specialised-skills-slower-growth-and-new-openings-for-start-ups/</t>
        </is>
      </c>
    </row>
    <row r="146">
      <c r="A146" s="69" t="inlineStr">
        <is>
          <t>نرخ CHF/USD ۲۷ سپتامبر ۲۰۲۶ (1.207)</t>
        </is>
      </c>
      <c r="B146" s="111" t="inlineStr">
        <is>
          <t>https://www.xe.com/en-us/currencyconverter/convert/?Amount=1&amp;From=CHF&amp;To=USD</t>
        </is>
      </c>
    </row>
    <row r="147">
      <c r="A147" s="69" t="inlineStr">
        <is>
          <t>بریتانیا – Graduate visa ۱۸ ماه (از ژانویه ۲۰۲۷)</t>
        </is>
      </c>
      <c r="B147" s="115" t="inlineStr">
        <is>
          <t>https://students.leeds.ac.uk/visa-information-after-studies/doc/graduate-visas</t>
        </is>
      </c>
    </row>
    <row r="148">
      <c r="A148" s="69" t="inlineStr">
        <is>
          <t>بریتانیا – HC 584 (۳ سپتامبر ۲۰۲۶): تمکن £1,570 / £1,203 از ۳۰ نوامبر ۲۰۲۶</t>
        </is>
      </c>
      <c r="B148" s="111" t="inlineStr">
        <is>
          <t>https://www.gov.uk/government/publications/statement-of-changes-to-the-immigration-rules-hc-584-3-september-2026</t>
        </is>
      </c>
    </row>
    <row r="149">
      <c r="A149" s="69" t="inlineStr">
        <is>
          <t>بریتانیا – Skilled Worker نرخ شغل SOC 2134 £54,700</t>
        </is>
      </c>
      <c r="B149" s="115" t="inlineStr">
        <is>
          <t>https://withrowan.co.uk/guides/skilled-worker-software-engineers</t>
        </is>
      </c>
    </row>
    <row r="150">
      <c r="A150" s="69" t="inlineStr">
        <is>
          <t>بریتانیا – Earned Settlement (وضعیت سپتامبر ۲۰۲۶)</t>
        </is>
      </c>
      <c r="B150" s="111" t="inlineStr">
        <is>
          <t>https://www.ukimmigration.law/earned-settlement-ilr-uk-plans/</t>
        </is>
      </c>
    </row>
    <row r="151">
      <c r="A151" s="151" t="inlineStr">
        <is>
          <t>انگلستان – York MSc Advanced Computer Science 2026/27: £32,900، 2:2، IELTS 6.5</t>
        </is>
      </c>
      <c r="B151" s="115" t="inlineStr">
        <is>
          <t>https://www.york.ac.uk/study/postgraduate-taught/courses/msc-advanced-computer-science/</t>
        </is>
      </c>
    </row>
    <row r="152">
      <c r="A152" s="69" t="inlineStr">
        <is>
          <t>بریتانیا – عوارض £925 به ازای هر دانشجوی بین‌المللی (انگلستان، از 2028-29)</t>
        </is>
      </c>
      <c r="B152" s="111" t="inlineStr">
        <is>
          <t>https://www.researchprofessionalnews.com/rr-news-uk-politics-2025-11-international-levy-to-be-flat-fee-of-925-per-student/</t>
        </is>
      </c>
    </row>
    <row r="153">
      <c r="A153" s="69" t="inlineStr">
        <is>
          <t>بریتانیا – وضعیت VAC تهران</t>
        </is>
      </c>
      <c r="B153" s="115" t="inlineStr">
        <is>
          <t>https://livingintehran.com/2026/02/03/tehran-diplomatic-update-recent-embassy-reopenings-current-status-feb-2026/</t>
        </is>
      </c>
    </row>
    <row r="154">
      <c r="A154" s="63" t="inlineStr">
        <is>
          <t>QS WUR 2027 – TU Dresden</t>
        </is>
      </c>
      <c r="B154" s="111" t="inlineStr">
        <is>
          <t>https://tu-dresden.de/tu-dresden/newsportal/news/qs-ranking-2027-tud-gehoert-erneut-zu-den-zehn-besten-universitaeten-deutschlands-und-baut-internationalen-erfolg-weiter-aus</t>
        </is>
      </c>
    </row>
    <row r="155">
      <c r="A155" s="63" t="inlineStr">
        <is>
          <t>QS WUR 2027 – Stuttgart</t>
        </is>
      </c>
      <c r="B155" s="115" t="inlineStr">
        <is>
          <t>https://www.uni-stuttgart.de/en/university/news/all/QS-World-University-Rankings-2027-The-University-of-Stuttgart-is-recognized-for-its-strong-research-performance-and-commitment-to-sustainability/</t>
        </is>
      </c>
    </row>
    <row r="156">
      <c r="A156" s="63" t="inlineStr">
        <is>
          <t>QS WUR 2027 – Newcastle 149</t>
        </is>
      </c>
      <c r="B156" s="111" t="inlineStr">
        <is>
          <t>https://www.ncl.ac.uk/press/articles/latest/2026/06/qs2027/</t>
        </is>
      </c>
    </row>
    <row r="157">
      <c r="A157" s="63" t="inlineStr">
        <is>
          <t>QS WUR 2027 – York =158</t>
        </is>
      </c>
      <c r="B157" s="115" t="inlineStr">
        <is>
          <t>https://www.york.ac.uk/about/rankings/</t>
        </is>
      </c>
    </row>
    <row r="158">
      <c r="A158" s="63" t="inlineStr">
        <is>
          <t>QS WUR 2027 – سایر</t>
        </is>
      </c>
      <c r="B158" s="111" t="inlineStr">
        <is>
          <t>https://www.topuniversities.com/world-university-rankings</t>
        </is>
      </c>
    </row>
    <row r="159">
      <c r="A159" s="158" t="inlineStr">
        <is>
          <t>حداقل دستمزد ۲۰۲۶ هلند (€14.71)</t>
        </is>
      </c>
      <c r="B159" s="115" t="inlineStr">
        <is>
          <t>https://arlettipartners.com/new-increase-in-the-dutch-minimum-hourly-wage-from-january-1st-2026/</t>
        </is>
      </c>
    </row>
    <row r="160">
      <c r="A160" s="69" t="inlineStr">
        <is>
          <t>نرخ ارز (xe.com، ۲۷ سپتامبر ۲۰۲۶)</t>
        </is>
      </c>
      <c r="B160" s="111" t="inlineStr">
        <is>
          <t>https://www.xe.com/</t>
        </is>
      </c>
    </row>
    <row r="161">
      <c r="A161" s="69" t="inlineStr">
        <is>
          <t>بازار کار – LinkedIn/WEF ژانویه ۲۰۲۶: ۱.۳ میلیون شغل جدید AI؛
AI Engineer سریع‌ترین‌رشد</t>
        </is>
      </c>
      <c r="B161" s="115" t="inlineStr">
        <is>
          <t>https://www.weforum.org/stories/jobs-and-the-future-of-work/ai-has-already-added-1-3-million-new-jobs-according-to-linkedin-data/</t>
        </is>
      </c>
    </row>
    <row r="162">
      <c r="A162" s="69" t="inlineStr">
        <is>
          <t>بازار کار – Bitkom 2025: ۱۰۹ هزار جای خالی IT در آلمان، ۷.۷ ماه زمان پرکردن</t>
        </is>
      </c>
      <c r="B162" s="111" t="inlineStr">
        <is>
          <t>https://www.bitkom.org/Bitkom/Publikationen/Der-Arbeitsmarkt-fuer-IT-Fachkraefte</t>
        </is>
      </c>
    </row>
    <row r="163">
      <c r="A163" s="69" t="inlineStr">
        <is>
          <t>بازار کار – ISC2 Cybersecurity Workforce Study 2024/2025 (حذف عدد کمبود؛ کمبود بودجه دلیل اول؛ ۳۱٪ تیم‌ها بدون جونیور)</t>
        </is>
      </c>
      <c r="B163" s="115" t="inlineStr">
        <is>
          <t>https://www.isc2.org/research</t>
        </is>
      </c>
    </row>
    <row r="164">
      <c r="A164" s="69" t="inlineStr">
        <is>
          <t>بازار کار – اخراج‌های صنعت بازی ۲۰۲۲–۲۰۲۶ (≈۴۵ هزار؛ افت حقوق Unity)</t>
        </is>
      </c>
      <c r="B164" s="111" t="inlineStr">
        <is>
          <t>https://en.wikipedia.org/wiki/2022%E2%80%932026_video_game_industry_layoffs</t>
        </is>
      </c>
    </row>
    <row r="165">
      <c r="A165" s="69" t="inlineStr">
        <is>
          <t>بازار کار – آگهی‌های UX/UXR (Indeed تا Q4 2025)</t>
        </is>
      </c>
      <c r="B165" s="115" t="inlineStr">
        <is>
          <t>https://www.thevoiceofuser.com/everyone-knows-the-uxr-hiring-market-is-bad-how-bad-is-it-though/</t>
        </is>
      </c>
    </row>
    <row r="166">
      <c r="A166" s="69" t="inlineStr">
        <is>
          <t>بازار کار – اشباع جونیور علم داده ۲۰۲۶</t>
        </is>
      </c>
      <c r="B166" s="111" t="inlineStr">
        <is>
          <t>https://research.com/advice/are-too-many-students-choosing-data-science-oversaturation-competition-hiring-reality</t>
        </is>
      </c>
    </row>
    <row r="167">
      <c r="A167" s="154" t="inlineStr">
        <is>
          <t>آلمان – Saarland MSc Cybersecurity (C1، بدون شهریه)</t>
        </is>
      </c>
      <c r="B167" s="115" t="inlineStr">
        <is>
          <t>https://www.uni-saarland.de/en/study/programmes/master/cybersecurity.html</t>
        </is>
      </c>
    </row>
    <row r="168">
      <c r="A168" s="154" t="inlineStr">
        <is>
          <t>آلمان – Passau MSc AI Engineering (B2، معدل ≤ 2.7، A1 آلمانی سال اول)</t>
        </is>
      </c>
      <c r="B168" s="111" t="inlineStr">
        <is>
          <t>https://www.uni-passau.de/en/msc-ai-eng</t>
        </is>
      </c>
    </row>
    <row r="169">
      <c r="A169" s="154" t="inlineStr">
        <is>
          <t>آلمان – Cologne Game Lab MA Game Development &amp; Research (€2,500/ترم غیر-EU)</t>
        </is>
      </c>
      <c r="B169" s="115" t="inlineStr">
        <is>
          <t>https://colognegamelab.de/study-programs/post-graduate-programs/game-development-research-ma/faqs/</t>
        </is>
      </c>
    </row>
    <row r="170">
      <c r="A170" s="154" t="inlineStr">
        <is>
          <t>آلمان – Siegen MSc HCI (DAAD)</t>
        </is>
      </c>
      <c r="B170" s="111" t="inlineStr">
        <is>
          <t>https://www2.daad.de/deutschland/studienangebote/international-programmes/en/detail/4686/</t>
        </is>
      </c>
    </row>
    <row r="171">
      <c r="A171" s="154" t="inlineStr">
        <is>
          <t>آلمان – H-BRS MSc Autonomous Systems (B2+)</t>
        </is>
      </c>
      <c r="B171" s="115" t="inlineStr">
        <is>
          <t>https://www.h-brs.de/en/inf/admission-application-master-autonomous-systems</t>
        </is>
      </c>
    </row>
    <row r="172">
      <c r="A172" s="154" t="inlineStr">
        <is>
          <t>آلمان – RWTH MSc Software Systems Engineering</t>
        </is>
      </c>
      <c r="B172" s="111" t="inlineStr">
        <is>
          <t>https://sc.informatik.rwth-aachen.de/en/studium/master/sse/</t>
        </is>
      </c>
    </row>
    <row r="173">
      <c r="A173" s="154" t="inlineStr">
        <is>
          <t>آلمان – Tübingen MSc Machine Learning (IELTS 7، €1,500/ترم)</t>
        </is>
      </c>
      <c r="B173" s="115" t="inlineStr">
        <is>
          <t>https://uni-tuebingen.de/fakultaeten/mathematisch-naturwissenschaftliche-fakultaet/fachbereiche/informatik/studium/studierende/lehre-studienorganisation/studiengaenge/machine-learning/admission-and-application/</t>
        </is>
      </c>
    </row>
    <row r="174">
      <c r="A174" s="154" t="inlineStr">
        <is>
          <t>آلمان – TUM Informatics: €6,000 در ترم برای غیر-EU</t>
        </is>
      </c>
      <c r="B174" s="111" t="inlineStr">
        <is>
          <t>https://www.tum.de/en/studies/degree-programs/detail/informatics-master-of-science-msc</t>
        </is>
      </c>
    </row>
    <row r="175">
      <c r="A175" s="154" t="inlineStr">
        <is>
          <t>آلمان – FAU Autonomy Technologies (B2، IELTS 6.0)</t>
        </is>
      </c>
      <c r="B175" s="115" t="inlineStr">
        <is>
          <t>https://www.fau.eu/degree-program/autonomy-technologies-m-sc/</t>
        </is>
      </c>
    </row>
    <row r="176">
      <c r="A176" s="158" t="inlineStr">
        <is>
          <t>هلند – Twente Embedded Systems 2026/27: €21,700</t>
        </is>
      </c>
      <c r="B176" s="111" t="inlineStr">
        <is>
          <t>https://www.utwente.nl/en/education/master/programmes/embedded-systems/finance/</t>
        </is>
      </c>
    </row>
    <row r="177">
      <c r="A177" s="158" t="inlineStr">
        <is>
          <t>هلند – Leiden CS 2026/27: €22,500</t>
        </is>
      </c>
      <c r="B177" s="115" t="inlineStr">
        <is>
          <t>https://www.universiteitleiden.nl/en/education/study-programmes/master/computer-science/artificial-intelligence/admission-and-application/tuition-fees</t>
        </is>
      </c>
    </row>
    <row r="178">
      <c r="A178" s="158" t="inlineStr">
        <is>
          <t>هلند – Groningen AI 2026/27: €24,900</t>
        </is>
      </c>
      <c r="B178" s="111" t="inlineStr">
        <is>
          <t>https://www.rug.nl/masters/artificial-intelligence/?lang=en</t>
        </is>
      </c>
    </row>
    <row r="179">
      <c r="A179" s="158" t="inlineStr">
        <is>
          <t>هلند – Utrecht Game &amp; Media Technology 2026/27: €25,306</t>
        </is>
      </c>
      <c r="B179" s="115" t="inlineStr">
        <is>
          <t>https://www.uu.nl/en/masters/game-and-media-technology</t>
        </is>
      </c>
    </row>
    <row r="180">
      <c r="A180" s="158" t="inlineStr">
        <is>
          <t>هلند – QS 2027 فهرست دانشگاه‌های هلند</t>
        </is>
      </c>
      <c r="B180" s="111" t="inlineStr">
        <is>
          <t>https://dub.uu.nl/en/news/dutch-universities-fall-global-qs-rankings</t>
        </is>
      </c>
    </row>
    <row r="181">
      <c r="A181" s="152" t="inlineStr">
        <is>
          <t>سوئد – Gothenburg Game Design &amp; Technology: SEK 290,000 کل</t>
        </is>
      </c>
      <c r="B181" s="115" t="inlineStr">
        <is>
          <t>https://www.gu.se/en/study-gothenburg/game-design-technology-masters-programme-n2gdt</t>
        </is>
      </c>
    </row>
    <row r="182">
      <c r="A182" s="152" t="inlineStr">
        <is>
          <t>سوئد – KTH Machine Learning: ≈ SEK 180,000–190,000 (کل دوره 360k طبق راهنمای ۲۰۲۶؛ kth.se رقم را فقط در سامانه نشان می‌دهد)</t>
        </is>
      </c>
      <c r="B182" s="111" t="inlineStr">
        <is>
          <t>https://www.kth.se/en/studies/master/machine-learning</t>
        </is>
      </c>
    </row>
    <row r="183">
      <c r="A183" s="152" t="inlineStr">
        <is>
          <t>سوئد – Umeå AI: SEK 152,300</t>
        </is>
      </c>
      <c r="B183" s="115" t="inlineStr">
        <is>
          <t>https://www.umu.se/en/education/master/masters-programme-in-artificial-intelligence/</t>
        </is>
      </c>
    </row>
    <row r="184">
      <c r="A184" s="152" t="inlineStr">
        <is>
          <t>سوئد – QS 2027 فهرست دانشگاه‌های سوئد</t>
        </is>
      </c>
      <c r="B184" s="111" t="inlineStr">
        <is>
          <t>https://www.study.eu/best-universities/sweden</t>
        </is>
      </c>
    </row>
    <row r="185">
      <c r="A185" s="157" t="inlineStr">
        <is>
          <t>دانمارک – ITU شهریهٔ رسمی ورودی ۲۰۲۶: €8,250 در ترم = €16,500 در سال (رقم قدیمی €6,700 منسوخ)</t>
        </is>
      </c>
      <c r="B185" s="115" t="inlineStr">
        <is>
          <t>https://en.itu.dk/Programmes/MSc-Programmes/Applying-to-a-MSc-programme/Non-EU-EOES</t>
        </is>
      </c>
    </row>
    <row r="186">
      <c r="A186" s="157" t="inlineStr">
        <is>
          <t>دانمارک – AAU Cyber Security / Medialogy €7,455 در ترم</t>
        </is>
      </c>
      <c r="B186" s="111" t="inlineStr">
        <is>
          <t>https://studyindenmark.dk/portal/aalborg-university-aau/copenhagen/cyber-security-msc-in-engineering</t>
        </is>
      </c>
    </row>
    <row r="187">
      <c r="A187" s="157" t="inlineStr">
        <is>
          <t>دانمارک – DTU €15,000 (Human-Centered AI / Autonomous Systems)</t>
        </is>
      </c>
      <c r="B187" s="115" t="inlineStr">
        <is>
          <t>https://www.dtu.dk/english/education/graduate/msc-programmes/autonomous-systems/prerequisites</t>
        </is>
      </c>
    </row>
    <row r="188">
      <c r="A188" s="157" t="inlineStr">
        <is>
          <t>دانمارک – Aarhus CS €17,300</t>
        </is>
      </c>
      <c r="B188" s="111" t="inlineStr">
        <is>
          <t>https://masters.au.dk/computerscience</t>
        </is>
      </c>
    </row>
    <row r="189">
      <c r="A189" s="157" t="inlineStr">
        <is>
          <t>دانمارک – QS 2027 فهرست دانشگاه‌های دانمارک</t>
        </is>
      </c>
      <c r="B189" s="115" t="inlineStr">
        <is>
          <t>https://leapscholar.com/blog/top-universities-in-denmark/</t>
        </is>
      </c>
    </row>
    <row r="190">
      <c r="A190" s="151" t="inlineStr">
        <is>
          <t>انگلستان – York MSc Human-Centred Interactive Technologies £32,900</t>
        </is>
      </c>
      <c r="B190" s="111" t="inlineStr">
        <is>
          <t>https://www.york.ac.uk/study/postgraduate-taught/courses/msc-human-centred-interactive-technologies/</t>
        </is>
      </c>
    </row>
    <row r="191">
      <c r="A191" s="154" t="inlineStr">
        <is>
          <t>آلمان – FAU: شهریهٔ غیر-EU از ترم تابستان ۲۰۲۷ (AI/CS €4,000، Autonomy Tech €2,000 در ترم؛ BayHIG §13)</t>
        </is>
      </c>
      <c r="B191" s="115" t="inlineStr">
        <is>
          <t>https://www.fau.eu/studying/international-students/application-and-enrollment-for-international-applicants/tuition-fees-for-students-from-non-eu-states/</t>
        </is>
      </c>
    </row>
    <row r="192">
      <c r="A192" s="154" t="inlineStr">
        <is>
          <t>آلمان – Passau: «فعلاً» بدون شهریه برای غیر-EU (اعلام رسمی)</t>
        </is>
      </c>
      <c r="B192" s="111" t="inlineStr">
        <is>
          <t>https://www.uni-passau.de/en/study/news/news/no-tuition-fees-for-international-students-at-the-university-of-passau</t>
        </is>
      </c>
    </row>
    <row r="193">
      <c r="A193" s="157" t="inlineStr">
        <is>
          <t>دانمارک – Aarhus نرخ رسمی 2026/27: Computer Science / Data Science / Computer Engineering €17,300</t>
        </is>
      </c>
      <c r="B193" s="115" t="inlineStr">
        <is>
          <t>https://masters.au.dk/tuitionfees/current-tuition-fee-rates</t>
        </is>
      </c>
    </row>
    <row r="194">
      <c r="A194" s="157" t="inlineStr">
        <is>
          <t>دانمارک – AAU Computer Science (IT): شرط رسمی ≥ ۱۵۰ ECTS دروس CS؛
معیار رتبه‌بندی ۲۰۲۷ شامل سابقهٔ کار</t>
        </is>
      </c>
      <c r="B194" s="111" t="inlineStr">
        <is>
          <t>https://www.en.aau.dk/education/master/computer-science-it</t>
        </is>
      </c>
    </row>
    <row r="195">
      <c r="A195" s="152" t="inlineStr">
        <is>
          <t>سوئد – Chalmers شهریهٔ استاندارد 2026/27 ≈ SEK 175,000 (collegedunia به نقل از صفحهٔ شهریهٔ Chalmers)</t>
        </is>
      </c>
      <c r="B195" s="115" t="inlineStr">
        <is>
          <t>https://collegedunia.com/sweden/university/769-chalmers-university-of-technology-gothenburg/programs?stream_id=48&amp;degree_type=Master</t>
        </is>
      </c>
    </row>
    <row r="196">
      <c r="A196" s="151" t="inlineStr">
        <is>
          <t>انگلستان – Newcastle MSc Computer Game Engineering £32,300، شرط 2:2 (QS TopUniversities)</t>
        </is>
      </c>
      <c r="B196" s="111" t="inlineStr">
        <is>
          <t>https://www.topuniversities.com/universities/newcastle-university/postgrad/msc-computer-game-engineering</t>
        </is>
      </c>
    </row>
    <row r="197">
      <c r="A197" s="158" t="inlineStr">
        <is>
          <t>هلند – TU/e شهریهٔ رسمی 2026/27 €21,700 (2027/28: €22,400)</t>
        </is>
      </c>
      <c r="B197" s="115" t="inlineStr">
        <is>
          <t>https://www.tue.nl/en/education/become-a-tue-student/tuition-fees</t>
        </is>
      </c>
    </row>
    <row r="198">
      <c r="A198" s="69" t="inlineStr">
        <is>
          <t>ایران – توقف برگزاری IELTS در ایران از ۳۱ ژانویه ۲۰۲۶ (اعلام IDP)</t>
        </is>
      </c>
      <c r="B198" s="111" t="inlineStr">
        <is>
          <t>https://wanaen.com/ielts-testing-to-be-suspended-in-iran/</t>
        </is>
      </c>
    </row>
    <row r="199">
      <c r="A199" s="69" t="inlineStr">
        <is>
          <t>ایران – وضعیت IELTS شهریور ۱۴۰۵: در ایران برگزار نمی‌شود؛
آزمون در کشور دیگر</t>
        </is>
      </c>
      <c r="B199" s="115" t="inlineStr">
        <is>
          <t>https://www.jahantahsil.com/%D8%A2%D8%B2%D9%85%D9%88%D9%86-%D8%A2%DB%8C%D9%84%D8%AA%D8%B3-ielts-%DA%86%DB%8C%D8%B3%D8%AA-%D9%88-%DA%A9%D8%AC%D8%A7-%D8%A8%D8%B1%DA%AF%D8%B2%D8%A7%D8%B1-%D9%85%DB%8C%D8%B4%D9%88%D8%AF/</t>
        </is>
      </c>
    </row>
    <row r="200">
      <c r="A200" s="69" t="inlineStr">
        <is>
          <t>ایران – توقف TOEFL در ایران (وضعیت شهریور ۱۴۰۵)</t>
        </is>
      </c>
      <c r="B200" s="111" t="inlineStr">
        <is>
          <t>https://zandienglish.ir/toefl-in-iran/</t>
        </is>
      </c>
    </row>
    <row r="201">
      <c r="A201" s="69" t="inlineStr">
        <is>
          <t>ایران – وثیقهٔ خروج تحصیلی مشمولان ۲۰۰ میلیون تومان (سامانهٔ سخا، تیر ۱۴۰۵)</t>
        </is>
      </c>
      <c r="B201" s="115" t="inlineStr">
        <is>
          <t>https://www.zoomit.ir/iran-news/464136-exit-permit-bond-sakha-1405/</t>
        </is>
      </c>
    </row>
    <row r="202">
      <c r="A202" s="152" t="inlineStr">
        <is>
          <t>سوئد – تاریخ‌های کلیدی ورودی پاییز ۲۰۲۷ (۱۶ اکتبر – ۱۵ ژانویه؛ مدارک ۱ فوریه؛ دور دوم ۱۵ آوریل)</t>
        </is>
      </c>
      <c r="B202" s="111" t="inlineStr">
        <is>
          <t>https://www.umu.se/en/education/application-and-admission/key-dates-and-deadlines/</t>
        </is>
      </c>
    </row>
    <row r="203">
      <c r="A203" s="154" t="inlineStr">
        <is>
          <t>آلمان – Stuttgart MSc CS: بازهٔ اپلای ترم زمستان ۱۵ نوامبر – ۱۵ ژانویه؛
انگلیسی C1</t>
        </is>
      </c>
      <c r="B203" s="115" t="inlineStr">
        <is>
          <t>https://www.uni-stuttgart.de/en/study/study-programs/Computer-Science-M.Sc.-00001/</t>
        </is>
      </c>
    </row>
    <row r="204">
      <c r="A204" s="154" t="inlineStr">
        <is>
          <t>آلمان – Passau: بازهٔ اپلای AI Engineering ۱ آوریل – ۳۱ می</t>
        </is>
      </c>
      <c r="B204" s="111" t="inlineStr">
        <is>
          <t>https://www.uni-passau.de/en/apply/apply-with-intl-qualifications</t>
        </is>
      </c>
    </row>
    <row r="205">
      <c r="A205" s="157" t="inlineStr">
        <is>
          <t>دانمارک – AAU: مهلت شهریه‌پردازها ۱۵ ژانویه (EU: ۱ مارس)؛
پورتال از اواسط دسامبر</t>
        </is>
      </c>
      <c r="B205" s="115" t="inlineStr">
        <is>
          <t>https://www.en.aau.dk/education/apply/master/how-and-when-to-apply</t>
        </is>
      </c>
    </row>
    <row r="206">
      <c r="A206" s="157" t="inlineStr">
        <is>
          <t>دانمارک – SDU Computer Science: مهلت غیر-EU ۱ فوریه؛
شهریه یک سال پیش‌پرداخت</t>
        </is>
      </c>
      <c r="B206" s="111" t="inlineStr">
        <is>
          <t>https://www.sdu.dk/en/uddannelse/kandidat/datalogi</t>
        </is>
      </c>
    </row>
    <row r="207">
      <c r="A207" s="158" t="inlineStr">
        <is>
          <t>هلند – Radboud: مهلت غیر-EU ۱ آوریل، بورس ۳۱ ژانویه، ثبت‌نام ۱ ژوئن</t>
        </is>
      </c>
      <c r="B207" s="115" t="inlineStr">
        <is>
          <t>https://www.ru.nl/en/education/application-and-admission/application-procedure-masters/deadlines</t>
        </is>
      </c>
    </row>
    <row r="208">
      <c r="A208" s="151" t="inlineStr">
        <is>
          <t>انگلستان – National Living Wage £12.71 از ۱ آوریل ۲۰۲۶ (Low Pay Commission)</t>
        </is>
      </c>
      <c r="B208" s="111" t="inlineStr">
        <is>
          <t>https://www.gov.uk/government/news/national-living-wage-increases-to-1271-per-hour</t>
        </is>
      </c>
    </row>
    <row r="209">
      <c r="A209" s="158" t="inlineStr">
        <is>
          <t>هلند – IND: مبلغ لازم برای اقامت تحصیلی ۲۰۲۶، €1,130.77 در ماه (hbo/دانشگاه)</t>
        </is>
      </c>
      <c r="B209" s="115" t="inlineStr">
        <is>
          <t>https://ind.nl/en/required-amounts-income-requirements</t>
        </is>
      </c>
    </row>
    <row r="210">
      <c r="A210" s="157" t="inlineStr">
        <is>
          <t>دانمارک – SIRI: تمکن DKK 7,426 در ماه (سطح ۲۰۲۶، حداکثر ۱۲ ماه)؛
با پرداخت شهریه لازم نیست</t>
        </is>
      </c>
      <c r="B210" s="111" t="inlineStr">
        <is>
          <t>https://www.nyidanmark.dk/pl-PL/Words-and-concepts/SIRI/Self-support---SIRI</t>
        </is>
      </c>
    </row>
    <row r="211">
      <c r="A211" s="154" t="inlineStr">
        <is>
          <t>آلمان – Mindestlohn €13.90 (۲۰۲۶) → €14.60 از ۱ ژانویه ۲۰۲۷؛
Werkstudent ۲۰ ساعت در ترم (WirtschaftsWoche)</t>
        </is>
      </c>
      <c r="B211" s="115" t="inlineStr">
        <is>
          <t>https://www.wiwo.de/erfolg/trends/werkstudenten-rechner-2026-brutto-netto-gehalt-online-berechnen-wiwo/28979742.html</t>
        </is>
      </c>
    </row>
    <row r="212">
      <c r="A212" s="153" t="inlineStr">
        <is>
          <t>سوئیس – کف دستمزد کانتونی ۲۰۲۶: Basel-Stadt CHF 22.20، Neuchâtel 21.35، Ticino 20.00–20.50، Genève 24.59 (خلاصهٔ غیررسمی؛ قانون کانتونی)</t>
        </is>
      </c>
      <c r="B212" s="111" t="inlineStr">
        <is>
          <t>https://checkeverything.ch/de/blog/mindestlohn-schweiz-2026</t>
        </is>
      </c>
    </row>
    <row r="213">
      <c r="A213" s="153" t="inlineStr">
        <is>
          <t>سوئیس – شهر لوسرن: کف دستمزد شهری از ۱ ژانویه ۲۰۲۶، ابقا در همه‌پرسی ۲۷ سپتامبر ۲۰۲۶ (cash.ch)</t>
        </is>
      </c>
      <c r="B213" s="115" t="inlineStr">
        <is>
          <t>https://www.cash.ch/news/stadt-luzern-behalt-kommunalen-mindestlohn-bei-971917</t>
        </is>
      </c>
    </row>
    <row r="214">
      <c r="A214" s="153" t="inlineStr">
        <is>
          <t>سوئیس – Art. 21 Abs. 3 AIG: فارغ‌التحصیلان سوئیس معاف از اولویت نیروی داخلی؛
سهمیه باقی است (SEM Weisungen §4.2؛ زوریخ ۲۰۲۵: ۳۹۹ L + ۲۴۹ B)</t>
        </is>
      </c>
      <c r="B214" s="111" t="inlineStr">
        <is>
          <t>https://www.fedlex.admin.ch/eli/cc/2007/758/en#art_21</t>
        </is>
      </c>
    </row>
    <row r="215">
      <c r="A215" s="158" t="inlineStr">
        <is>
          <t>هلند – UvA شهریهٔ نهادی 2026/27 (دانشکدهٔ علوم، غیر-EEA: ارشد یک‌ساله €34,300، دوساله €26,000، CS مشترک با VU €24,150)</t>
        </is>
      </c>
      <c r="B215" s="115" t="inlineStr">
        <is>
          <t>https://www.uva.nl/en/education/fees-and-funding/tuition-fees/tuition-fees.html</t>
        </is>
      </c>
    </row>
    <row r="216">
      <c r="A216" s="158" t="inlineStr">
        <is>
          <t>هلند – UvA MSc Software Engineering: 60 ECTS، ۱۲ ماه، انگلیسی</t>
        </is>
      </c>
      <c r="B216" s="111" t="inlineStr">
        <is>
          <t>https://www.uva.nl/en/programmes/masters/software-engineering/software-engineering.html</t>
        </is>
      </c>
    </row>
    <row r="217">
      <c r="A217" s="158" t="inlineStr">
        <is>
          <t>هلند – Twente: مهلت غیر-EEA ۱ می ۲۰۲۷؛
بورس UTS ۱۵ اکتبر ۲۰۲۶ – ۱ آوریل ۲۰۲۷</t>
        </is>
      </c>
      <c r="B217" s="115" t="inlineStr">
        <is>
          <t>https://collegedunia.com/netherlands/university/749-university-of-twente-enschede/admission</t>
        </is>
      </c>
    </row>
    <row r="218">
      <c r="A218" s="156" t="inlineStr">
        <is>
          <t>فنلاند – Migri: مجوز اقامت تحصیلی (تمکن €800/ماه = €9,600، کار ۳۰ ساعت میانگین، بیمه، مجوز برای کل دوره)</t>
        </is>
      </c>
      <c r="B218" s="111" t="inlineStr">
        <is>
          <t>https://migri.fi/en/studying-in-finland</t>
        </is>
      </c>
    </row>
    <row r="219">
      <c r="A219" s="156" t="inlineStr">
        <is>
          <t>فنلاند – Migri: کارمزدها از ۱ ژانویه ۲۰۲۶ (تحصیلی آنلاین €600 / کاغذی €750)</t>
        </is>
      </c>
      <c r="B219" s="115" t="inlineStr">
        <is>
          <t>https://migri.fi/en/-/changes-to-finnish-immigration-service-processing-fees-as-of-1-january-2026</t>
        </is>
      </c>
    </row>
    <row r="220">
      <c r="A220" s="156" t="inlineStr">
        <is>
          <t>فنلاند – Migri: ویزای D (€95 آنلاین) برای ورود بعد از صدور مجوز</t>
        </is>
      </c>
      <c r="B220" s="111" t="inlineStr">
        <is>
          <t>https://migri.fi/en/d-visa</t>
        </is>
      </c>
    </row>
    <row r="221">
      <c r="A221" s="156" t="inlineStr">
        <is>
          <t>فنلاند – Migri: مجوز اقامت برای کاریابی بعد از مدرک (۲ سال، تا ۵ سال بعد، €800/ماه)</t>
        </is>
      </c>
      <c r="B221" s="115" t="inlineStr">
        <is>
          <t>https://migri.fi/en/residence-permit-to-look-for-work</t>
        </is>
      </c>
    </row>
    <row r="222">
      <c r="A222" s="156" t="inlineStr">
        <is>
          <t>فنلاند – Migri: کف درآمد ویزای کار ۲۰۲۶ (مجوز کار €1,600 یا توافق جمعی؛ متخصص/Blue Card €3,937)</t>
        </is>
      </c>
      <c r="B222" s="111" t="inlineStr">
        <is>
          <t>https://migri.fi/en/working-in-finland/income-requirement</t>
        </is>
      </c>
    </row>
    <row r="223">
      <c r="A223" s="156" t="inlineStr">
        <is>
          <t>فنلاند – Migri: اقامت دائم از ۸ ژانویه ۲۰۲۶ (مسیر «مدرک عالی فنلاندی» بدون شرط سال + A2؛ ۴ سال با €40,000؛ ۶ سال + B1)</t>
        </is>
      </c>
      <c r="B223" s="115" t="inlineStr">
        <is>
          <t>https://migri.fi/en/permanent-residence-permit</t>
        </is>
      </c>
    </row>
    <row r="224">
      <c r="A224" s="156" t="inlineStr">
        <is>
          <t>فنلاند – Migri: شرط سال‌های اقامت برای PR (مسیرها)</t>
        </is>
      </c>
      <c r="B224" s="111" t="inlineStr">
        <is>
          <t>https://migri.fi/en/period-of-residence-requirement</t>
        </is>
      </c>
    </row>
    <row r="225">
      <c r="A225" s="156" t="inlineStr">
        <is>
          <t>فنلاند – Migri: تابعیت (۸ سال / ۵ سال با زبان؛ تأمین معاش از ۱۷ دسامبر ۲۰۲۵؛ آزمون تابعیت از ۱ مارس ۲۰۲۷)</t>
        </is>
      </c>
      <c r="B225" s="115" t="inlineStr">
        <is>
          <t>https://migri.fi/en/faq-finnish-citizenship</t>
        </is>
      </c>
    </row>
    <row r="226">
      <c r="A226" s="156" t="inlineStr">
        <is>
          <t>فنلاند – سفارت فنلاند در تهران / VFS: اولویت دانشجویان از ۷ ژوئن ۲۰۲۶، نوبت الکترونیکی از ۱۵ ژوئن ۲۰۲۶</t>
        </is>
      </c>
      <c r="B226" s="111" t="inlineStr">
        <is>
          <t>https://finlandabroad.fi/web/irn/frontpage</t>
        </is>
      </c>
    </row>
    <row r="227">
      <c r="A227" s="156" t="inlineStr">
        <is>
          <t>فنلاند – Tampere University: CSEE / AI-native Software، شهریه €12,000 (2026/27)</t>
        </is>
      </c>
      <c r="B227" s="115" t="inlineStr">
        <is>
          <t>https://www.tuni.fi/en/tau/masters-programmes/ai-native-software-computing-sciences-and-electrical-engineering</t>
        </is>
      </c>
    </row>
    <row r="228">
      <c r="A228" s="156" t="inlineStr">
        <is>
          <t>فنلاند – University of Oulu: CSE €10,000، درخواست ۷–۲۱ ژانویه ۲۰۲۷، ۳۰٪ معافیت سال دوم</t>
        </is>
      </c>
      <c r="B228" s="111" t="inlineStr">
        <is>
          <t>https://www.oulu.fi/en/apply/masters-computer-science-and-engineering</t>
        </is>
      </c>
    </row>
    <row r="229">
      <c r="A229" s="156" t="inlineStr">
        <is>
          <t>فنلاند – University of Turku: ICT (Cyber Security / Software Engineering) €12,000، شروع اوت ۲۰۲۷</t>
        </is>
      </c>
      <c r="B229" s="115" t="inlineStr">
        <is>
          <t>https://www.utu.fi/en/study-at-utu/masters-degree-programme-in-information-and-communication-technology-cyber-security</t>
        </is>
      </c>
    </row>
    <row r="230">
      <c r="A230" s="156" t="inlineStr">
        <is>
          <t>فنلاند – University of Turku: Early-bird €2,000 و بورس ۵۰٪ سال دوم با ۵۵ واحد</t>
        </is>
      </c>
      <c r="B230" s="111" t="inlineStr">
        <is>
          <t>https://www.utu.fi/en/study-at-utu/scholarships-and-tuition-fees</t>
        </is>
      </c>
    </row>
    <row r="231">
      <c r="A231" s="156" t="inlineStr">
        <is>
          <t>فنلاند – Aalto: پنجرهٔ ۷ دسامبر ۲۰۲۶ – ۵ ژانویه ۲۰۲۷؛
فناوری €17,000</t>
        </is>
      </c>
      <c r="B231" s="115" t="inlineStr">
        <is>
          <t>https://www.aalto.fi/en/study-at-aalto/apply-to-masters-programmes</t>
        </is>
      </c>
    </row>
    <row r="232">
      <c r="A232" s="156" t="inlineStr">
        <is>
          <t>فنلاند – Aalto / Studyinfo: Game Design and Development MSc (Tech) €17,000، ۸ جای تحصیل</t>
        </is>
      </c>
      <c r="B232" s="111" t="inlineStr">
        <is>
          <t>https://opintopolku.fi/konfo/en/toteutus/1.2.246.562.17.00000000000000008124</t>
        </is>
      </c>
    </row>
    <row r="233">
      <c r="A233" s="156" t="inlineStr">
        <is>
          <t>فنلاند – University of Helsinki: MSc Computer Science €15,000، درخواست ۵–۱۹ ژانویه ۲۰۲۷</t>
        </is>
      </c>
      <c r="B233" s="115" t="inlineStr">
        <is>
          <t>https://www.helsinki.fi/en/degree-programmes/computer-science-masters-programme</t>
        </is>
      </c>
    </row>
    <row r="234">
      <c r="A234" s="156" t="inlineStr">
        <is>
          <t>فنلاند – LUT: برنامه‌های ارشد (Software Engineering €15,000)</t>
        </is>
      </c>
      <c r="B234" s="111" t="inlineStr">
        <is>
          <t>https://www.lut.fi/en/studies/masters-programmes</t>
        </is>
      </c>
    </row>
    <row r="235">
      <c r="A235" s="156" t="inlineStr">
        <is>
          <t>فنلاند – Study in Finland: QS 2027 (Helsinki 123، Aalto 126، Oulu 360، LUT 390، Turku 398، Tampere 436)</t>
        </is>
      </c>
      <c r="B235" s="115" t="inlineStr">
        <is>
          <t>https://www.studyinfinland.fi/news-events/qs-world-university-rankings-2027</t>
        </is>
      </c>
    </row>
    <row r="236">
      <c r="A236" s="156" t="inlineStr">
        <is>
          <t>فنلاند – Glassdoor: Junior Software Developer فنلاند ۲۰۲۶ (میانه €3,167/ماه) — برآورد</t>
        </is>
      </c>
      <c r="B236" s="111" t="inlineStr">
        <is>
          <t>https://www.glassdoor.com/Salaries/finland-junior-software-developer-salary-SRCH_IL.0,7_IN79_KO8,33_IP2.htm</t>
        </is>
      </c>
    </row>
    <row r="237">
      <c r="A237" s="156" t="inlineStr">
        <is>
          <t>فنلاند – Trading Economics: بیکاری ۹.۱٪ (اوت ۲۰۲۶)</t>
        </is>
      </c>
      <c r="B237" s="115" t="inlineStr">
        <is>
          <t>https://tradingeconomics.com/finland/unemployment-rate</t>
        </is>
      </c>
    </row>
    <row r="238">
      <c r="A238" s="156" t="inlineStr">
        <is>
          <t>فنلاند – Edunation / بنیادهای خوابگاهی: اجارهٔ TOAS / PSOAS / TYS / HOAS ۲۰۲۶ — ≈</t>
        </is>
      </c>
      <c r="B238" s="111" t="inlineStr">
        <is>
          <t>https://www.edunation.co/how-much-does-it-cost-to-study-and-live-in-finland-2026-guide/</t>
        </is>
      </c>
    </row>
    <row r="239">
      <c r="A239" s="155" t="inlineStr">
        <is>
          <t>کانادا – IRCC: تمکن مالی مجوز تحصیل CAD 23,448 (خارج کبک، از ۱ سپتامبر ۲۰۲۶)</t>
        </is>
      </c>
      <c r="B239" s="115" t="inlineStr">
        <is>
          <t>https://www.canada.ca/en/immigration-refugees-citizenship/services/study-canada/study-permit/get-documents/financial-support.html</t>
        </is>
      </c>
    </row>
    <row r="240">
      <c r="A240" s="155" t="inlineStr">
        <is>
          <t>کانادا – IRCC: کار خارج از کمپوس ۲۴ ساعت/هفته در ترم، تمام‌وقت در تعطیلات</t>
        </is>
      </c>
      <c r="B240" s="111" t="inlineStr">
        <is>
          <t>https://www.canada.ca/en/immigration-refugees-citizenship/services/study-canada/work/work-off-campus.html</t>
        </is>
      </c>
    </row>
    <row r="241">
      <c r="A241" s="155" t="inlineStr">
        <is>
          <t>کانادا – IRCC: PGWP (ارشد → تا ۳ سال؛ CLB 7؛ معافیت مدرک دانشگاهی از شرط رشته)</t>
        </is>
      </c>
      <c r="B241" s="115" t="inlineStr">
        <is>
          <t>https://www.canada.ca/en/immigration-refugees-citizenship/services/study-canada/work/after-graduation/eligibility.html</t>
        </is>
      </c>
    </row>
    <row r="242">
      <c r="A242" s="155" t="inlineStr">
        <is>
          <t>کانادا – IRCC: سقف مجوز تحصیلی ۲۰۲۶ و معافیت ارشد/دکتری از PAL</t>
        </is>
      </c>
      <c r="B242" s="111" t="inlineStr">
        <is>
          <t>https://www.canada.ca/en/immigration-refugees-citizenship/services/study-canada/study-permit/provincial-attestation-letter.html</t>
        </is>
      </c>
    </row>
    <row r="243">
      <c r="A243" s="155" t="inlineStr">
        <is>
          <t>کانادا – IRCC: دورهای Express Entry (CEC ۲۰۲۶: ۵۰۷–۵۲۳)</t>
        </is>
      </c>
      <c r="B243" s="115" t="inlineStr">
        <is>
          <t>https://www.canada.ca/en/immigration-refugees-citizenship/corporate/mandate/policies-operational-instructions-agreements/ministerial-instructions/express-entry-rounds.html</t>
        </is>
      </c>
    </row>
    <row r="244">
      <c r="A244" s="155" t="inlineStr">
        <is>
          <t>کانادا – IRCC: زمان پردازش مجوز تحصیل (ایران)</t>
        </is>
      </c>
      <c r="B244" s="111" t="inlineStr">
        <is>
          <t>https://www.canada.ca/en/immigration-refugees-citizenship/services/application/check-processing-times.html</t>
        </is>
      </c>
    </row>
    <row r="245">
      <c r="A245" s="155" t="inlineStr">
        <is>
          <t>کانادا – Memorial: Minimum Expense Form 2026–27 (Plan A CAD 1,611 × ۶؛ MAI/MASc SE CAD 29,948؛ خوابگاه و زندگی)</t>
        </is>
      </c>
      <c r="B245" s="115" t="inlineStr">
        <is>
          <t>https://www.mun.ca/sgs/media/production/memorial/academic/school-of-graduate-studies/school-of-graduate-studies/media-library/MinimumExpense.pdf</t>
        </is>
      </c>
    </row>
    <row r="246">
      <c r="A246" s="155" t="inlineStr">
        <is>
          <t>کانادا – Manitoba: شهریهٔ ارشد 2025–26 (CAD 6,909.96/ترم سال اول + ادامه CAD 675)</t>
        </is>
      </c>
      <c r="B246" s="111" t="inlineStr">
        <is>
          <t>https://umanitoba.ca/registrar/tuition-fees/2025-2026-graduate-tuition-and-fees-archive</t>
        </is>
      </c>
    </row>
    <row r="247">
      <c r="A247" s="155" t="inlineStr">
        <is>
          <t>کانادا – Manitoba: شرایط بین‌المللی (ایران ۱۵/۲۰ در دو سال آخر)</t>
        </is>
      </c>
      <c r="B247" s="115" t="inlineStr">
        <is>
          <t>https://umanitoba.ca/graduate-studies/admissions/requirements/international</t>
        </is>
      </c>
    </row>
    <row r="248">
      <c r="A248" s="155" t="inlineStr">
        <is>
          <t>کانادا – Saskatchewan: شهریهٔ ارشد 2026–27 (CAD 4,279/ترم)</t>
        </is>
      </c>
      <c r="B248" s="111" t="inlineStr">
        <is>
          <t>https://grad.usask.ca/funding/tuition.php</t>
        </is>
      </c>
    </row>
    <row r="249">
      <c r="A249" s="155" t="inlineStr">
        <is>
          <t>کانادا – Saskatchewan: اجارهٔ خوابگاه 2026–27 (Graduate House، Seager Wheeler)</t>
        </is>
      </c>
      <c r="B249" s="115" t="inlineStr">
        <is>
          <t>https://livewithus.usask.ca/currentstudents/rates.php</t>
        </is>
      </c>
    </row>
    <row r="250">
      <c r="A250" s="155" t="inlineStr">
        <is>
          <t>کانادا – Alberta: شهریهٔ بین‌المللی ارشد (thesis CAD 10,518.72؛ course-based CAD 826.36/واحد)</t>
        </is>
      </c>
      <c r="B250" s="111" t="inlineStr">
        <is>
          <t>https://www.ualberta.ca/en/graduate-studies/fees-funding/tuition-fees/instructional-fees-international.html</t>
        </is>
      </c>
    </row>
    <row r="251">
      <c r="A251" s="155" t="inlineStr">
        <is>
          <t>کانادا – Alberta: افزایش/کاهش شهریهٔ 2026–27 و 2027 (thesis −۵.۵٪)</t>
        </is>
      </c>
      <c r="B251" s="115" t="inlineStr">
        <is>
          <t>https://www.ualberta.ca/en/registrar/costs-tuition-fees/tuition-increases.html</t>
        </is>
      </c>
    </row>
    <row r="252">
      <c r="A252" s="155" t="inlineStr">
        <is>
          <t>کانادا – Alberta CS: مهلت ۱۵ دسامبر و فاندینگ TA/RA (FAQ)</t>
        </is>
      </c>
      <c r="B252" s="111" t="inlineStr">
        <is>
          <t>https://www.ualberta.ca/en/computing-science/graduate-studies/programs-and-admissions/applications-and-admissions/frequently-asked-questions.html</t>
        </is>
      </c>
    </row>
    <row r="253">
      <c r="A253" s="155" t="inlineStr">
        <is>
          <t>کانادا – Calgary: شهریهٔ پایان‌نامه‌ای 2026–27 (CAD 2,858.55/ترم)</t>
        </is>
      </c>
      <c r="B253" s="115" t="inlineStr">
        <is>
          <t>https://calendar.ucalgary.ca/pages/bdf3d650a14247e4912def1671b7ba09</t>
        </is>
      </c>
    </row>
    <row r="254">
      <c r="A254" s="155" t="inlineStr">
        <is>
          <t>کانادا – Calgary: حداقل فاندینگ تضمینی ارشد پایان‌نامه‌ای بین‌المللی CAD 25,455</t>
        </is>
      </c>
      <c r="B254" s="111" t="inlineStr">
        <is>
          <t>https://grad.ucalgary.ca/awards-and-funding/funding-TB-students</t>
        </is>
      </c>
    </row>
    <row r="255">
      <c r="A255" s="155" t="inlineStr">
        <is>
          <t>کانادا – Calgary: اجارهٔ خوابگاه 2026–27 (Crowsnest Hall)</t>
        </is>
      </c>
      <c r="B255" s="115" t="inlineStr">
        <is>
          <t>https://www.ucalgary.ca/ancillary/residence/live-us/places-live/rates-2026-2027</t>
        </is>
      </c>
    </row>
    <row r="256">
      <c r="A256" s="155" t="inlineStr">
        <is>
          <t>کانادا – Victoria: شهریهٔ ارشد بین‌المللی (≈ CAD 2,746/قسط، FAQ)</t>
        </is>
      </c>
      <c r="B256" s="111" t="inlineStr">
        <is>
          <t>https://www.uvic.ca/science/physics/prospective/graduate/FAQ/index.php</t>
        </is>
      </c>
    </row>
    <row r="257">
      <c r="A257" s="155" t="inlineStr">
        <is>
          <t>کانادا – Carleton: شهریهٔ بین‌المللی پاییز ۲۰۲۶ (MCS CAD 9,668.99/ترم)</t>
        </is>
      </c>
      <c r="B257" s="115" t="inlineStr">
        <is>
          <t>https://carleton.ca/studentaccounts/tuition-fees/grad-per-cred_f26w27_intl/</t>
        </is>
      </c>
    </row>
    <row r="258">
      <c r="A258" s="155" t="inlineStr">
        <is>
          <t>کانادا – Toronto MScAC: هزینهٔ کل ۱۶ ماه CAD 90,050 (۲۰۲۶)</t>
        </is>
      </c>
      <c r="B258" s="111" t="inlineStr">
        <is>
          <t>https://mscac.utoronto.ca/apply/</t>
        </is>
      </c>
    </row>
    <row r="259">
      <c r="A259" s="155" t="inlineStr">
        <is>
          <t>کانادا – Waterloo: جدول شهریهٔ ارشد/دکتری بین‌المللی پاییز ۲۰۲۶ (Master's Research CAD 7,696/ترم؛ MDSAI CAD 6,272/درس) — نسخهٔ ۳.۱۳</t>
        </is>
      </c>
      <c r="B259" s="115" t="inlineStr">
        <is>
          <t>https://uwaterloo.ca/finance/masters-and-phd-program-tuition-fall-2026-international-0</t>
        </is>
      </c>
    </row>
    <row r="260">
      <c r="A260" s="155" t="inlineStr">
        <is>
          <t>کانادا – Waterloo MDSAI: ۹ درس، ساختار ۴ ترم با co-op</t>
        </is>
      </c>
      <c r="B260" s="111" t="inlineStr">
        <is>
          <t>https://uwaterloo.ca/data-science/current-graduate-students/courses</t>
        </is>
      </c>
    </row>
    <row r="261">
      <c r="A261" s="155" t="inlineStr">
        <is>
          <t>کانادا – Waterloo MMath CS: ۲۴ ماه، پذیرش فقط پایان‌نامه‌ای</t>
        </is>
      </c>
      <c r="B261" s="115" t="inlineStr">
        <is>
          <t>https://uwaterloo.ca/future-graduate-students/programs/by-faculty/math/computer-science-master-math-mmath</t>
        </is>
      </c>
    </row>
    <row r="262">
      <c r="A262" s="155" t="inlineStr">
        <is>
          <t>کانادا – Dalhousie: جدول شهریهٔ ارشد 2026/27 (CS CAD 11,303 + بین‌المللی CAD 8,079 پایان‌نامه‌ای / CAD 24,685 غیرپایان‌نامه‌ای) — نسخهٔ ۳.۱۳</t>
        </is>
      </c>
      <c r="B262" s="111" t="inlineStr">
        <is>
          <t>https://www.dal.ca/content/dam/www/admissions/cost-and-payment/tuition-and-fee-schedules/masters-tuition-fee-schedule.pdf</t>
        </is>
      </c>
    </row>
    <row r="263">
      <c r="A263" s="155" t="inlineStr">
        <is>
          <t>کانادا – Dalhousie: صفحهٔ شهریهٔ تحصیلات تکمیلی (ساختار برنامه‌محور / درس‌محور)</t>
        </is>
      </c>
      <c r="B263" s="115" t="inlineStr">
        <is>
          <t>https://www.dal.ca/admissions/cost-and-payment/tuition/graduate-program-tuition.html</t>
        </is>
      </c>
    </row>
    <row r="264">
      <c r="A264" s="155" t="inlineStr">
        <is>
          <t>کانادا – Ontario Tech: شهریهٔ بین‌المللی تحصیلات تکمیلی 2026/27 (MSc CAD 20,124.30؛ MITS CAD 4,834.52/درس) — نسخهٔ ۳.۱۳</t>
        </is>
      </c>
      <c r="B264" s="111" t="inlineStr">
        <is>
          <t>https://registrar.ontariotechu.ca/fees-and-payment/international-student-tuition/graduate-international-tuition-2026-2027.php</t>
        </is>
      </c>
    </row>
    <row r="265">
      <c r="A265" s="155" t="inlineStr">
        <is>
          <t>کانادا – Regina: جدول شهریهٔ تحصیلات تکمیلی پاییز ۲۰۲۶ (CAD 365.50/واحد + سورشارژ بین‌المللی CAD 1,487.25/ترم) — نسخهٔ ۳.۱۳</t>
        </is>
      </c>
      <c r="B265" s="115" t="inlineStr">
        <is>
          <t>https://www.uregina.ca/financial-services/assets/pdf/fee-schedules/202630-grad-studies-tuition-schedule-may-15.pdf</t>
        </is>
      </c>
    </row>
    <row r="266">
      <c r="A266" s="155" t="inlineStr">
        <is>
          <t>کانادا – Regina MSc CS thesis: ۱۵ واحد درس + ۱۵ واحد پایان‌نامه = ۳۰ واحد</t>
        </is>
      </c>
      <c r="B266" s="111" t="inlineStr">
        <is>
          <t>https://www.uregina.ca/science/computer-science/graduate-programs/msc-cs-thesis.html</t>
        </is>
      </c>
    </row>
    <row r="267">
      <c r="A267" s="155" t="inlineStr">
        <is>
          <t>کانادا – حداقل دستمزد نوا اسکوشیا ۲۰۲۶ (CAD 16.75 آوریل → CAD 17.00 اکتبر)</t>
        </is>
      </c>
      <c r="B267" s="115" t="inlineStr">
        <is>
          <t>https://www.mcinnescooper.com/publications/2026-minimum-wage-increases-in-atlantic-canada/</t>
        </is>
      </c>
    </row>
    <row r="268">
      <c r="A268" s="155" t="inlineStr">
        <is>
          <t>کانادا – Halifax Index 2026: اجارهٔ یک‌خوابه CAD 1,539 (CMHC ۲۰۲۵)</t>
        </is>
      </c>
      <c r="B268" s="111" t="inlineStr">
        <is>
          <t>https://halifaxpartnership.com/research-strategy/halifax-index/real-estate/</t>
        </is>
      </c>
    </row>
    <row r="269">
      <c r="A269" s="155" t="inlineStr">
        <is>
          <t>کانادا – Toronto SGS: معادل‌سازی ایران (حداقل ۱۵/۲۰؛ B+ = ۱۶؛ A− = ۱۷)</t>
        </is>
      </c>
      <c r="B269" s="115" t="inlineStr">
        <is>
          <t>https://www.sgs.utoronto.ca/future-students/admission-application-requirements/international-credentials-equivalencies/</t>
        </is>
      </c>
    </row>
    <row r="270">
      <c r="A270" s="155" t="inlineStr">
        <is>
          <t>کانادا – UBC: معادل‌سازی ایران (۱۶/۲۰ روی کل دوره — بسته)</t>
        </is>
      </c>
      <c r="B270" s="111" t="inlineStr">
        <is>
          <t>https://www.grad.ubc.ca/prospective-students/application-admission/country/iran</t>
        </is>
      </c>
    </row>
    <row r="271">
      <c r="A271" s="155" t="inlineStr">
        <is>
          <t>کانادا – Windsor: برآوردگر شهریه (MAC — صفحهٔ شهریهٔ برنامه حذف شده)</t>
        </is>
      </c>
      <c r="B271" s="115" t="inlineStr">
        <is>
          <t>https://www.uwindsor.ca/finance/fee-estimator</t>
        </is>
      </c>
    </row>
    <row r="272">
      <c r="A272" s="155" t="inlineStr">
        <is>
          <t>کانادا – حداقل دستمزد استان‌ها ۲۰۲۶ (AB 15 · SK 15.70 · MB 16.40 · NL 16.35 · ON 17.95 · BC 18.25)</t>
        </is>
      </c>
      <c r="B272" s="111" t="inlineStr">
        <is>
          <t>https://www.workforce.com/ca/resources/minimum-wage-by-province-canada</t>
        </is>
      </c>
    </row>
    <row r="273">
      <c r="A273" s="155" t="inlineStr">
        <is>
          <t>کانادا – CMHC: اجارهٔ یک‌خوابه اکتبر ۲۰۲۵ (StatCan 34-10-0133-01)</t>
        </is>
      </c>
      <c r="B273" s="115" t="inlineStr">
        <is>
          <t>https://www150.statcan.gc.ca/t1/tbl1/en/tv.action?pid=3410013301</t>
        </is>
      </c>
    </row>
    <row r="274">
      <c r="A274" s="155" t="inlineStr">
        <is>
          <t>کانادا – StatCan LFS اوت ۲۰۲۶ (بیکاری ۶.۴٪، جوانان ۱۲.۹٪)</t>
        </is>
      </c>
      <c r="B274" s="111" t="inlineStr">
        <is>
          <t>https://www150.statcan.gc.ca/n1/daily-quotidien/260904/dq260904a-eng.htm</t>
        </is>
      </c>
    </row>
    <row r="275">
      <c r="A275" s="155" t="inlineStr">
        <is>
          <t>کانادا – Glassdoor: Junior Software Developer CAD 62,095 میانه (۲۰۲۶)</t>
        </is>
      </c>
      <c r="B275" s="115" t="inlineStr">
        <is>
          <t>https://www.glassdoor.ca/Salaries/junior-software-developer-salary-SRCH_KO0,25.htm</t>
        </is>
      </c>
    </row>
    <row r="276">
      <c r="A276" s="155" t="inlineStr">
        <is>
          <t>کانادا – WorkBC: NOC 21232 (Software developers) میانه CAD 52.40/ساعت</t>
        </is>
      </c>
      <c r="B276" s="111" t="inlineStr">
        <is>
          <t>https://www.workbc.ca/career-profiles/software-developers-and-programmers</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 xmlns:r="http://schemas.openxmlformats.org/officeDocument/2006/relationships" ref="B239" r:id="rId238"/>
    <hyperlink xmlns:r="http://schemas.openxmlformats.org/officeDocument/2006/relationships" ref="B240" r:id="rId239"/>
    <hyperlink xmlns:r="http://schemas.openxmlformats.org/officeDocument/2006/relationships" ref="B241" r:id="rId240"/>
    <hyperlink xmlns:r="http://schemas.openxmlformats.org/officeDocument/2006/relationships" ref="B242" r:id="rId241"/>
    <hyperlink xmlns:r="http://schemas.openxmlformats.org/officeDocument/2006/relationships" ref="B243" r:id="rId242"/>
    <hyperlink xmlns:r="http://schemas.openxmlformats.org/officeDocument/2006/relationships" ref="B244" r:id="rId243"/>
    <hyperlink xmlns:r="http://schemas.openxmlformats.org/officeDocument/2006/relationships" ref="B245" r:id="rId244"/>
    <hyperlink xmlns:r="http://schemas.openxmlformats.org/officeDocument/2006/relationships" ref="B246" r:id="rId245"/>
    <hyperlink xmlns:r="http://schemas.openxmlformats.org/officeDocument/2006/relationships" ref="B247" r:id="rId246"/>
    <hyperlink xmlns:r="http://schemas.openxmlformats.org/officeDocument/2006/relationships" ref="B248" r:id="rId247"/>
    <hyperlink xmlns:r="http://schemas.openxmlformats.org/officeDocument/2006/relationships" ref="B249" r:id="rId248"/>
    <hyperlink xmlns:r="http://schemas.openxmlformats.org/officeDocument/2006/relationships" ref="B250" r:id="rId249"/>
    <hyperlink xmlns:r="http://schemas.openxmlformats.org/officeDocument/2006/relationships" ref="B251" r:id="rId250"/>
    <hyperlink xmlns:r="http://schemas.openxmlformats.org/officeDocument/2006/relationships" ref="B252" r:id="rId251"/>
    <hyperlink xmlns:r="http://schemas.openxmlformats.org/officeDocument/2006/relationships" ref="B253" r:id="rId252"/>
    <hyperlink xmlns:r="http://schemas.openxmlformats.org/officeDocument/2006/relationships" ref="B254" r:id="rId253"/>
    <hyperlink xmlns:r="http://schemas.openxmlformats.org/officeDocument/2006/relationships" ref="B255" r:id="rId254"/>
    <hyperlink xmlns:r="http://schemas.openxmlformats.org/officeDocument/2006/relationships" ref="B256" r:id="rId255"/>
    <hyperlink xmlns:r="http://schemas.openxmlformats.org/officeDocument/2006/relationships" ref="B257" r:id="rId256"/>
    <hyperlink xmlns:r="http://schemas.openxmlformats.org/officeDocument/2006/relationships" ref="B258" r:id="rId257"/>
    <hyperlink xmlns:r="http://schemas.openxmlformats.org/officeDocument/2006/relationships" ref="B259" r:id="rId258"/>
    <hyperlink xmlns:r="http://schemas.openxmlformats.org/officeDocument/2006/relationships" ref="B260" r:id="rId259"/>
    <hyperlink xmlns:r="http://schemas.openxmlformats.org/officeDocument/2006/relationships" ref="B261" r:id="rId260"/>
    <hyperlink xmlns:r="http://schemas.openxmlformats.org/officeDocument/2006/relationships" ref="B262" r:id="rId261"/>
    <hyperlink xmlns:r="http://schemas.openxmlformats.org/officeDocument/2006/relationships" ref="B263" r:id="rId262"/>
    <hyperlink xmlns:r="http://schemas.openxmlformats.org/officeDocument/2006/relationships" ref="B264" r:id="rId263"/>
    <hyperlink xmlns:r="http://schemas.openxmlformats.org/officeDocument/2006/relationships" ref="B265" r:id="rId264"/>
    <hyperlink xmlns:r="http://schemas.openxmlformats.org/officeDocument/2006/relationships" ref="B266" r:id="rId265"/>
    <hyperlink xmlns:r="http://schemas.openxmlformats.org/officeDocument/2006/relationships" ref="B267" r:id="rId266"/>
    <hyperlink xmlns:r="http://schemas.openxmlformats.org/officeDocument/2006/relationships" ref="B268" r:id="rId267"/>
    <hyperlink xmlns:r="http://schemas.openxmlformats.org/officeDocument/2006/relationships" ref="B269" r:id="rId268"/>
    <hyperlink xmlns:r="http://schemas.openxmlformats.org/officeDocument/2006/relationships" ref="B270" r:id="rId269"/>
    <hyperlink xmlns:r="http://schemas.openxmlformats.org/officeDocument/2006/relationships" ref="B271" r:id="rId270"/>
    <hyperlink xmlns:r="http://schemas.openxmlformats.org/officeDocument/2006/relationships" ref="B272" r:id="rId271"/>
    <hyperlink xmlns:r="http://schemas.openxmlformats.org/officeDocument/2006/relationships" ref="B273" r:id="rId272"/>
    <hyperlink xmlns:r="http://schemas.openxmlformats.org/officeDocument/2006/relationships" ref="B274" r:id="rId273"/>
    <hyperlink xmlns:r="http://schemas.openxmlformats.org/officeDocument/2006/relationships" ref="B275" r:id="rId274"/>
    <hyperlink xmlns:r="http://schemas.openxmlformats.org/officeDocument/2006/relationships" ref="B276" r:id="rId275"/>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2026-09-29T14:49:06Z</dcterms:created>
  <dcterms:modified xsi:type="dcterms:W3CDTF">2026-09-29T14:49:07Z</dcterms:modified>
</cp:coreProperties>
</file>