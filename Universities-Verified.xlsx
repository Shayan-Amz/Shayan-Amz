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جدول اصلاح‌شده" sheetId="1" state="visible" r:id="rId1"/>
    <sheet name="مقایسه با فایل قبلی" sheetId="2" state="visible" r:id="rId2"/>
    <sheet name="مسیرهای جایگزین" sheetId="3" state="visible" r:id="rId3"/>
    <sheet name="منابع" sheetId="4" state="visible" r:id="rId4"/>
    <sheet name="مفروضات و هشدارها" sheetId="5" state="visible"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Tahoma"/>
      <b val="1"/>
      <color rgb="001F3864"/>
      <sz val="16"/>
    </font>
    <font>
      <name val="Tahoma"/>
      <color rgb="00404040"/>
      <sz val="10"/>
    </font>
    <font>
      <name val="Tahoma"/>
      <b val="1"/>
      <color rgb="00FFFFFF"/>
      <sz val="11"/>
    </font>
    <font>
      <name val="Tahoma"/>
      <b val="1"/>
      <sz val="11"/>
    </font>
    <font>
      <name val="Tahoma"/>
      <sz val="11"/>
    </font>
    <font>
      <name val="Tahoma"/>
      <i val="1"/>
      <color rgb="007F0000"/>
      <sz val="10"/>
    </font>
    <font>
      <name val="Tahoma"/>
      <sz val="10"/>
    </font>
  </fonts>
  <fills count="8">
    <fill>
      <patternFill/>
    </fill>
    <fill>
      <patternFill patternType="gray125"/>
    </fill>
    <fill>
      <patternFill patternType="solid">
        <fgColor rgb="001F3864"/>
      </patternFill>
    </fill>
    <fill>
      <patternFill patternType="solid">
        <fgColor rgb="00F2F2F2"/>
      </patternFill>
    </fill>
    <fill>
      <patternFill patternType="solid">
        <fgColor rgb="00C6EFCE"/>
      </patternFill>
    </fill>
    <fill>
      <patternFill patternType="solid">
        <fgColor rgb="00FFC7CE"/>
      </patternFill>
    </fill>
    <fill>
      <patternFill patternType="solid">
        <fgColor rgb="00FFEB9C"/>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applyAlignment="1" pivotButton="0" quotePrefix="0" xfId="0">
      <alignment horizontal="right" vertical="center"/>
    </xf>
    <xf numFmtId="0" fontId="2" fillId="0" borderId="0" applyAlignment="1" pivotButton="0" quotePrefix="0" xfId="0">
      <alignment horizontal="right" vertical="top" wrapText="1"/>
    </xf>
    <xf numFmtId="0" fontId="3" fillId="2" borderId="1" applyAlignment="1" pivotButton="0" quotePrefix="0" xfId="0">
      <alignment horizontal="center" vertical="center" wrapText="1"/>
    </xf>
    <xf numFmtId="0" fontId="4" fillId="0" borderId="1" applyAlignment="1" pivotButton="0" quotePrefix="0" xfId="0">
      <alignment horizontal="right" vertical="top" wrapText="1"/>
    </xf>
    <xf numFmtId="0" fontId="5" fillId="0" borderId="1" applyAlignment="1" pivotButton="0" quotePrefix="0" xfId="0">
      <alignment horizontal="right" vertical="top" wrapText="1"/>
    </xf>
    <xf numFmtId="0" fontId="5" fillId="4" borderId="1" applyAlignment="1" pivotButton="0" quotePrefix="0" xfId="0">
      <alignment horizontal="right" vertical="top" wrapText="1"/>
    </xf>
    <xf numFmtId="0" fontId="4" fillId="3" borderId="1" applyAlignment="1" pivotButton="0" quotePrefix="0" xfId="0">
      <alignment horizontal="right" vertical="top" wrapText="1"/>
    </xf>
    <xf numFmtId="0" fontId="5" fillId="3" borderId="1" applyAlignment="1" pivotButton="0" quotePrefix="0" xfId="0">
      <alignment horizontal="right" vertical="top" wrapText="1"/>
    </xf>
    <xf numFmtId="0" fontId="5" fillId="5" borderId="1" applyAlignment="1" pivotButton="0" quotePrefix="0" xfId="0">
      <alignment horizontal="right" vertical="top" wrapText="1"/>
    </xf>
    <xf numFmtId="0" fontId="6" fillId="0" borderId="0" applyAlignment="1" pivotButton="0" quotePrefix="0" xfId="0">
      <alignment horizontal="right" vertical="top" wrapText="1"/>
    </xf>
    <xf numFmtId="0" fontId="5" fillId="6" borderId="1" applyAlignment="1" pivotButton="0" quotePrefix="0" xfId="0">
      <alignment horizontal="right" vertical="top" wrapText="1"/>
    </xf>
    <xf numFmtId="0" fontId="7" fillId="0" borderId="1" applyAlignment="1" pivotButton="0" quotePrefix="0" xfId="0">
      <alignment horizontal="right" vertical="top" wrapText="1"/>
    </xf>
    <xf numFmtId="0" fontId="5" fillId="7" borderId="1" applyAlignment="1" pivotButton="0" quotePrefix="0" xfId="0">
      <alignment horizontal="right" vertical="top" wrapText="1"/>
    </xf>
    <xf numFmtId="0" fontId="7" fillId="3"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3"/>
  <sheetViews>
    <sheetView rightToLeft="1"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26" customWidth="1" min="2" max="2"/>
    <col width="20" customWidth="1" min="3" max="3"/>
    <col width="40" customWidth="1" min="4" max="4"/>
    <col width="34" customWidth="1" min="5" max="5"/>
    <col width="13" customWidth="1" min="6" max="6"/>
    <col width="30" customWidth="1" min="7" max="7"/>
    <col width="30" customWidth="1" min="8" max="8"/>
    <col width="22" customWidth="1" min="9" max="9"/>
    <col width="26" customWidth="1" min="10" max="10"/>
    <col width="26" customWidth="1" min="11" max="11"/>
    <col width="20" customWidth="1" min="12" max="12"/>
    <col width="30" customWidth="1" min="13" max="13"/>
  </cols>
  <sheetData>
    <row r="1" ht="30" customHeight="1">
      <c r="A1" s="1" t="inlineStr">
        <is>
          <t>جدول اصلاح‌شده و راستی‌آزمی‌شده — ۷ دانشگاه کانادا (نسخهٔ معتبر)</t>
        </is>
      </c>
    </row>
    <row r="2" ht="42" customHeight="1">
      <c r="A2" s="2" t="inlineStr">
        <is>
          <t>۱ اکتبر ۲۰۲۶ · ورودی هدف سپتامبر ۲۰۲۷ · بودجه $40,000 کل دوره در دو گام (گام۱ = شهریهٔ کل دوره + تمکن رسمی $16,500 آنچه سفارت می‌بیند؛ گام۲ = زندگی واقعی + کار ۲۴ ساعت/هفته) · نرخ ارز CAD 1 = USD 0.705 · رتبه‌ها: QS 2027 (ژوئن ۲۰۲۶) · «≈» یعنی رقم از منبع ثانویه است و قبل از اپلای باید با صفحهٔ رسمی چک شود · درصدهای ستون شانس با * خام و کالیبره‌نشده‌اند (مثل چک‌لیست کانادا) و فقط برای مقایسه‌اند.</t>
        </is>
      </c>
    </row>
    <row r="4" ht="34" customHeight="1">
      <c r="A4" s="3" t="inlineStr">
        <is>
          <t>ردیف</t>
        </is>
      </c>
      <c r="B4" s="3" t="inlineStr">
        <is>
          <t>دانشگاه و استان</t>
        </is>
      </c>
      <c r="C4" s="3" t="inlineStr">
        <is>
          <t>رتبهٔ رسمی (ادعای فایل ← درست)</t>
        </is>
      </c>
      <c r="D4" s="3" t="inlineStr">
        <is>
          <t>برنامهٔ درست (نام رسمی، نوع، مدت)</t>
        </is>
      </c>
      <c r="E4" s="3" t="inlineStr">
        <is>
          <t>کوآپ / اینترنشیپ — وضعیت واقعی</t>
        </is>
      </c>
      <c r="F4" s="3" t="inlineStr">
        <is>
          <t>آیلتس رسمی</t>
        </is>
      </c>
      <c r="G4" s="3" t="inlineStr">
        <is>
          <t>کف پذیرش و مبنای معدل (شما کجایید)</t>
        </is>
      </c>
      <c r="H4" s="3" t="inlineStr">
        <is>
          <t>شهریهٔ بین‌المللی (CAD) و وضع منبع</t>
        </is>
      </c>
      <c r="I4" s="3" t="inlineStr">
        <is>
          <t>هزینهٔ کل سال اول (شهریه+زندگی) USD</t>
        </is>
      </c>
      <c r="J4" s="3" t="inlineStr">
        <is>
          <t>گام۱ مدل $40k و حکم بودجه</t>
        </is>
      </c>
      <c r="K4" s="3" t="inlineStr">
        <is>
          <t>مسیر جایگزینِ داخل بودجه</t>
        </is>
      </c>
      <c r="L4" s="3" t="inlineStr">
        <is>
          <t>شانس پذیرش (خام*)</t>
        </is>
      </c>
      <c r="M4" s="3" t="inlineStr">
        <is>
          <t>ددلاین و نکات ۲۰۲۷</t>
        </is>
      </c>
    </row>
    <row r="5" ht="170" customHeight="1">
      <c r="A5" s="4" t="inlineStr">
        <is>
          <t>۱</t>
        </is>
      </c>
      <c r="B5" s="4" t="inlineStr">
        <is>
          <t>Alberta — ادمونتون، آلبرتا</t>
        </is>
      </c>
      <c r="C5" s="5" t="inlineStr">
        <is>
          <t>96 (فایل: ~۱۱۰ ← قدیمی/اشتباه)</t>
        </is>
      </c>
      <c r="D5" s="5" t="inlineStr">
        <is>
          <t>ادعای «M.Eng + اینترنشیپ صنعتی IIP» غلط است: ارشد درسی کامپیوتر از ژوئیه ۲۰۲۱ برای همیشه متوقف شده؛ مسیر واقعی و ارزان: MSc Computing Science پایان‌نامه‌ای (۲ سال). ارشد با اینترنشیپ فقط در دو برنامهٔ فرعیِ این دانشگاه هست: MSc مالتی‌مدیا و MSc اینترنت‌ورکینگ. (در دپارتمان برق، MEng با حوزهٔ نرم‌افزار/سیستم‌های هوشمند هست ولی اینترنشیپ ندارد.)</t>
        </is>
      </c>
      <c r="E5" s="5" t="inlineStr">
        <is>
          <t>کوآپی در کار نیست. مسیر پایان‌نامه‌ای معمولاً با کمک‌هزینهٔ تدریس/پژوهش همراه است؛ واژهٔ «IIP» در منابع رسمی دانشگاه پیدا نشد.</t>
        </is>
      </c>
      <c r="F5" s="5" t="inlineStr">
        <is>
          <t>6.5 (6.0) برای MSc کامپیوتر؛ صفحهٔ ثبت‌نام برای MEng برق نمرهٔ 7.0 نشان می‌دهد — موقع اپلای چک شود</t>
        </is>
      </c>
      <c r="G5" s="5" t="inlineStr">
        <is>
          <t>کف رسمی: معدل 3.0 روی ۶۰ واحد آخر (≈ دو سال آخر). شما: دو سال آخر ۱۶.۹۲ ≈ 3.3 ✓ → بالاتر از کف، ولی رقابتی → Target. معدل کل ۱۵.۷۷ اینجا سنجیده نمی‌شود؛ «فقط سال آخر» هم معیار نیست.</t>
        </is>
      </c>
      <c r="H5" s="5" t="inlineStr">
        <is>
          <t>شهریهٔ ارشد بین‌المللی تقریباً ثابت: CAD 10,518.72/سال (ورودی ۲۰۲۶، رسمی)؛ برای ورودی ۲۰۲۷ با کاهش ۵.۵٪ ≈ CAD 9,940 (رسمی)</t>
        </is>
      </c>
      <c r="I5" s="5" t="inlineStr">
        <is>
          <t>21,500–24,000 (فایل گفته بود ۲۶–۲۸.۵ هزار ← حدود ۳–۵ هزار زیاد نوشته بود)</t>
        </is>
      </c>
      <c r="J5" s="6" t="inlineStr">
        <is>
          <t>شهریهٔ کل ≈ $14,000 + تمکن $16,500 = $30,500 ✅ (بدون احتساب درآمد کار/فاندینگ)</t>
        </is>
      </c>
      <c r="K5" s="5" t="inlineStr">
        <is>
          <t>خودش مسیر درست است: پایان‌نامه‌ای با احتمال فاندینگ — ایمیل استاد از نوامبر–دسامبر ۲۰۲۶</t>
        </is>
      </c>
      <c r="L5" s="5" t="inlineStr">
        <is>
          <t>۴۰–۶۰٪* (Target؛ ددلاین فاندینگ رقابتی‌تر است)</t>
        </is>
      </c>
      <c r="M5" s="5" t="inlineStr">
        <is>
          <t>⛔ ۱۵ دسامبر ۲۰۲۶ (ددلاین فاندینگ) / ۱۵ ژانویه ۲۰۲۷. در لیست ایمیل استادهای تحلیل قبلی هست.</t>
        </is>
      </c>
    </row>
    <row r="6" ht="175" customHeight="1">
      <c r="A6" s="7" t="inlineStr">
        <is>
          <t>۲</t>
        </is>
      </c>
      <c r="B6" s="7" t="inlineStr">
        <is>
          <t>Calgary — کلگری، آلبرتا</t>
        </is>
      </c>
      <c r="C6" s="8" t="inlineStr">
        <is>
          <t>249 (فایل: ~۱۸۰ ← خطای بزرگ؛ از ۱۹۸ در ۲۰۲۵ به ۲۴۹ رسیده)</t>
        </is>
      </c>
      <c r="D6" s="8" t="inlineStr">
        <is>
          <t>نام درست: MEng برق و کامپیوتر با گرایش نرم‌افزار (نه «Master of Software Engineering»). درسی، ۱۰–۱۳ درس + یک پروژهٔ تیمی، فشرده ۸–۱۲ ماه یا تا ۲ سال؛ بدون استاد راهنما؛ خودگردان (بدون فاندینگ).</t>
        </is>
      </c>
      <c r="E6" s="8" t="inlineStr">
        <is>
          <t>اینترنشیپ واقعی است ولی مشخصاتش در فایل غلط بود: ۸ تا ۱۶ ماه (نه ۸–۱۲)، با حقوق، ظرفیت محدود، فقط بعد از یک سال تحصیل + گواهی آمادگی شغلی؛ با اینترنشیپ طول دوره به ۳ سال می‌رسد. نخستین برنامهٔ این‌چنینی در آلبرتا.</t>
        </is>
      </c>
      <c r="F6" s="8" t="inlineStr">
        <is>
          <t>6.5 (هیچ بخشی زیر 6.0 نباشد)</t>
        </is>
      </c>
      <c r="G6" s="8" t="inlineStr">
        <is>
          <t>کف رسمی: 3.0 در دو سال آخر. شما: ۱۶.۹۲ ✓ → واجد شرایط؛ به‌علاوه برای شروع سپتامبر باید سابقهٔ آموزشی نرم‌افزاری‌تان تأیید شود (۱۰ درس یا معافیت از ۳ درس پایه) → با توجه به معدل کل، در عمل بین Target و Reach</t>
        </is>
      </c>
      <c r="H6" s="8" t="inlineStr">
        <is>
          <t>رسمی به‌صورت درسی: ≈ CAD 3,989.16 برای هر درس ۳ واحدی بین‌المللی (۲۰۲۶، از جدول شهریه) → ۱۰ درس ≈ CAD 39,900 ≈ $28,100 کل ⚠️ صفحهٔ برنامه عدد قدیمی‌تری هم دارد (سال اول ≈ CAD 18,070) که احتمالاً منسوخ است — حتماً قبل از اپلای از دفتر برنامه استعلام بگیرید</t>
        </is>
      </c>
      <c r="I6" s="8" t="inlineStr">
        <is>
          <t>با نرخ درسی ۲۰۲۶: 43,000–46,000 · با نرخ قدیمی صفحهٔ برنامه: 28,000–31,000 (فایل گفته بود ۲۶–۲۹ ← فقط در سناریوی نرخ قدیمی درست است)</t>
        </is>
      </c>
      <c r="J6" s="9" t="inlineStr">
        <is>
          <t>با نرخ ۲۰۲۶: $28,100 + $16,500 = $44,600 ❌ · با نرخ قدیمی: ≈ $29,200 ✅ → تا استعلام رسمی، خارج بودجه فرض شود</t>
        </is>
      </c>
      <c r="K6" s="8" t="inlineStr">
        <is>
          <t>✅ مسیر پایان‌نامه‌ای: MSc کامپیوتر شهریهٔ رسمی فقط CAD 8,576/سال (۲۰۲۶/۲۷) + فاندینگ تضمینی رسمی CAD 25,455/سال برای بین‌المللی‌ها → گام۱ با نامهٔ فاندینگ فقط $16,500 ✅✅</t>
        </is>
      </c>
      <c r="L6" s="8" t="inlineStr">
        <is>
          <t>۲۵–۴۵٪* برای نرم‌افزار (پایین‌تر از ۸۰٪ فایل)</t>
        </is>
      </c>
      <c r="M6" s="8" t="inlineStr">
        <is>
          <t>مهلت عمومی ≈ ۱۵ آوریل ۲۰۲۷؛ برای متقاضیان ویزا معمولاً زودتر — چرخهٔ ۲۰۲۷ چک شود. مسیر پایان‌نامه‌ای: ایمیل استاد از نوامبر، مهلت ≈ ژانویه.</t>
        </is>
      </c>
    </row>
    <row r="7" ht="135" customHeight="1">
      <c r="A7" s="4" t="inlineStr">
        <is>
          <t>۳</t>
        </is>
      </c>
      <c r="B7" s="4" t="inlineStr">
        <is>
          <t>uOttawa — اتاوا، انتاریو</t>
        </is>
      </c>
      <c r="C7" s="5">
        <f>228 (فایل: ~۱۸۰–۲۰۰ ← قدیمی؛ از ~۱۸۹ در ۲۰۲۶ افت کرده)</f>
        <v/>
      </c>
      <c r="D7" s="5" t="inlineStr">
        <is>
          <t>MEng برق و کامپیوتر (درسی، ~۲ سال) با گزینهٔ کوآپ اختیاری ✓؛ گزینهٔ «هوش مصنوعی کاربردی» هم دارد. «M.Eng در CS» به این شکل تأیید نشد (ارشد کامپیوتر اتاوا بیشتر پژوهش‌محور است).</t>
        </is>
      </c>
      <c r="E7" s="5" t="inlineStr">
        <is>
          <t>کوآپ ارشد واقعی ولی اختیاری است: ظرفیت محدود، پذیرش با رقابت معدل (هر کس معدل بالاتر، زودتر)؛ باید تمام‌وقت بمانید. «رتبهٔ ۲ انتاریو» ادعای رسمی خود دانشگاه است اما دربارهٔ اندازهٔ کوآپ کارشناسی است، نه ارشد.</t>
        </is>
      </c>
      <c r="F7" s="5" t="inlineStr">
        <is>
          <t>≈ 6.5 (چک شود؛ حداقل عمومی تحصیلات تکمیلی اتاوا برای بیشتر برنامه‌های مهندسی)</t>
        </is>
      </c>
      <c r="G7" s="5" t="inlineStr">
        <is>
          <t>معادل ایرانی حدود ۱۵–۱۶/۲۰ (چک شود). شما: دو سال آخر ۱۶.۹۲ ✓ → بالای کف → Target</t>
        </is>
      </c>
      <c r="H7" s="5" t="inlineStr">
        <is>
          <t>≈ CAD 25,594 سال اول (منبع ثانویهٔ پلتفرم اپلای، ۲۰۲۶؛ با صفحهٔ رسمی تطبیق داده شود) — ارشد پژوهشی برق سال اول ≈ CAD 29,033</t>
        </is>
      </c>
      <c r="I7" s="5" t="inlineStr">
        <is>
          <t>29,700–32,100 (فایل گفته بود ۳۵–۳۷ ← کمی زیاد، در همان حوالی)</t>
        </is>
      </c>
      <c r="J7" s="9" t="inlineStr">
        <is>
          <t>شهریهٔ کل ۲ سال ≈ $36,100 + $16,500 = $52,600 ❌</t>
        </is>
      </c>
      <c r="K7" s="5" t="inlineStr">
        <is>
          <t>❌ مسیرهای پژوهشی اتاوا هم گران‌اند (سال اول ≈ $20,400)؛ با بودجهٔ شما نمی‌خواند</t>
        </is>
      </c>
      <c r="L7" s="5" t="inlineStr">
        <is>
          <t>۵۰–۷۰٪* (فایل گفته بود ~۸۰٪)</t>
        </is>
      </c>
      <c r="M7" s="5" t="inlineStr">
        <is>
          <t>پذیرش چرخشی؛ برای سپتامبر ۲۰۲۷ معمولاً تا بهار فرصت هست ولی زودتر = شانس کوآپ بیشتر. کوآپ هزینهٔ جداگانه دارد.</t>
        </is>
      </c>
    </row>
    <row r="8" ht="135" customHeight="1">
      <c r="A8" s="7" t="inlineStr">
        <is>
          <t>۴</t>
        </is>
      </c>
      <c r="B8" s="7" t="inlineStr">
        <is>
          <t>McMaster — همیلتون، انتاریو</t>
        </is>
      </c>
      <c r="C8" s="8">
        <f>174 (فایل: ~۱۸۰ ← تقریباً درست)</f>
        <v/>
      </c>
      <c r="D8" s="8" t="inlineStr">
        <is>
          <t>MEng Computing and Software — درسی + پروژه، ~۲ سال ✓ (نام درست است)</t>
        </is>
      </c>
      <c r="E8" s="8" t="inlineStr">
        <is>
          <t>در سطح ارشد مهندسی واقعی است: دانشجویان تمام‌وقت دانشکدهٔ مهندسی می‌توانند در کوآپ با حقوق (۴–۱۲ ماه) یا «تجربهٔ کاری» ثبت‌نام کنند — با اجازهٔ دانشکده، بدون شهریه در ترم کار، و طول دوره تا یک سال بیشتر می‌شود. مخفف «ECCS» در منابع رسمی با همین شکل تأیید نشد (نام دفتر را از دانشکده بپرسید).</t>
        </is>
      </c>
      <c r="F8" s="8" t="inlineStr">
        <is>
          <t>6.5 (یک منبع ثانویه حداقل بخش‌ها را 5.5 نوشته؛ معمولاً 6.0 — چک شود)</t>
        </is>
      </c>
      <c r="G8" s="8" t="inlineStr">
        <is>
          <t>کف: معیار دانشگاهی ~B− (≈ ۷۲٪). معدلتان روی دو سال آخر ۱۶.۹۲ = ۸۴.۶٪ ✓ ولی اگر معدل کل (۱۵.۷۷) سنجیده شود ریسک دارد؛ نمرهٔ الگوریتم (۱۱.۵) هم در بررسی درسی‌های مرتبط دیده می‌شود → بین Target و Reach</t>
        </is>
      </c>
      <c r="H8" s="8" t="inlineStr">
        <is>
          <t>≈ CAD 27,498/سال (دو منبع ثانویه هم‌راستا؛ یک منبع ۲۰,۹۶۳ سال اول) — با صفحهٔ رسمی رجیسترار تطبیق داده شود</t>
        </is>
      </c>
      <c r="I8" s="8" t="inlineStr">
        <is>
          <t>28,600–30,500 (فایل گفته بود ۳۶–۳۸.۵ ← حدود ۵–۸ هزار زیاد)</t>
        </is>
      </c>
      <c r="J8" s="9" t="inlineStr">
        <is>
          <t>شهریهٔ کل ≈ $38,800 + $16,500 = $55,300 ❌</t>
        </is>
      </c>
      <c r="K8" s="8" t="inlineStr">
        <is>
          <t>❌ شهریهٔ ارشد پژوهشی هم در منبع ثانویه ≈ همین سالانه است (غیرعادی گران به نظر می‌رسد) — قبل از نتیجه‌گیری از صفحهٔ رسمی چک شود؛ فعلاً داخل بودجه فرض نشود</t>
        </is>
      </c>
      <c r="L8" s="8" t="inlineStr">
        <is>
          <t>۲۰–۴۰٪* (فایل گفته بود ۷۰–۷۵٪ — بسیار خوش‌بینانه)</t>
        </is>
      </c>
      <c r="M8" s="8" t="inlineStr">
        <is>
          <t>در چرخهٔ پاییز ۲۰۲۶ مهلت ≈ ۲۸ فوریه بود؛ چرخهٔ ۲۰۲۷ چک شود. اپلیکیشن‌فی ≈ CAD 110–150.</t>
        </is>
      </c>
    </row>
    <row r="9" ht="150" customHeight="1">
      <c r="A9" s="4" t="inlineStr">
        <is>
          <t>۵</t>
        </is>
      </c>
      <c r="B9" s="4" t="inlineStr">
        <is>
          <t>Dalhousie — هالیفاکس، نوا اسکوشیا</t>
        </is>
      </c>
      <c r="C9" s="5" t="inlineStr">
        <is>
          <t>298 (فایل: ~۲۷۰ ← کمی قدیمی)</t>
        </is>
      </c>
      <c r="D9" s="5" t="inlineStr">
        <is>
          <t>مک‌آپ‌سی (MACS) — ارشد کاربردی کامپیوتر، درسی، ۱۶ ماه ✓</t>
        </is>
      </c>
      <c r="E9" s="5" t="inlineStr">
        <is>
          <t>«کوآپ اجباری با حقوق» که فایل گفته غلط است: سه استریم دارد — کارآموزی صنعتی با حقوق / ترم کارآفرینی / پروژهٔ تحقیقاتی — و کارآموزی فقط یکی از گزینه‌هاست، نه اجباری و نه تضمین‌شده (جایابی با رقابت است).</t>
        </is>
      </c>
      <c r="F9" s="5" t="inlineStr">
        <is>
          <t>7.0 (فایل درست گفته بود — بالاترین نمرهٔ زبان این جدول)</t>
        </is>
      </c>
      <c r="G9" s="5" t="inlineStr">
        <is>
          <t>کف رسمی: 3.0 (معدل B) در ۶۰ واحد آخر. شما: ۱۶.۹۲ ✓ → بالاتر از کف → مایل به Safe</t>
        </is>
      </c>
      <c r="H9" s="5" t="inlineStr">
        <is>
          <t>رسمی ۲۰۲۶/۲۷: شهریهٔ برنامه CAD 3,767.67 + فوق‌العادهٔ بین‌المللی درسی‌ها CAD 8,228.33 = CAD 11,996 در هر ترم × ۴ ترم = CAD 47,984 کل ≈ $33,800</t>
        </is>
      </c>
      <c r="I9" s="5" t="inlineStr">
        <is>
          <t>40,600–43,600 (فایل گفته بود ۲۹.۵–۳۳ ← حدود ۹ هزار دلار کمتر از واقعیت نوشته؛ جهت خطرناک)</t>
        </is>
      </c>
      <c r="J9" s="9" t="inlineStr">
        <is>
          <t>$33,800 + $16,500 = $50,300 ❌</t>
        </is>
      </c>
      <c r="K9" s="5" t="inlineStr">
        <is>
          <t>⚠️ مسیر پایان‌نامه‌ای مک‌سی‌اس: شهریه رسمی ≈ $27,300 کل → گام۱ $43,800 که بیرون بودجه است ولی با نامهٔ فاندینگ ≈ $3,840 کسری پوشش می‌گیرد</t>
        </is>
      </c>
      <c r="L9" s="5" t="inlineStr">
        <is>
          <t>۵۵–۷۵٪* (فایل گفته بود ~۸۵٪؛ آیلتس ۷ گلوگاه اصلی است)</t>
        </is>
      </c>
      <c r="M9" s="5" t="inlineStr">
        <is>
          <t>مهلت چرخه‌های اخیر سپتامبر تا ≈ ۱ ژانویه؛ چرخهٔ ۲۰۲۷ چک شود. اپلیکیشن‌فی ≈ CAD 115.</t>
        </is>
      </c>
    </row>
    <row r="10" ht="135" customHeight="1">
      <c r="A10" s="7" t="inlineStr">
        <is>
          <t>۶</t>
        </is>
      </c>
      <c r="B10" s="7" t="inlineStr">
        <is>
          <t>UVic — ویکتوریا، بریتیش کلمبیا</t>
        </is>
      </c>
      <c r="C10" s="8">
        <f>370 (فایل: ~۳۵۰–۴۰۰ ← درست)</f>
        <v/>
      </c>
      <c r="D10" s="8" t="inlineStr">
        <is>
          <t>MEng برق و کامپیوتر — درسی، ~۲ سال ✓ (دو برنامهٔ مشابه هم دارد: ارشد مخابرات و امنیت اطلاعات، و ارشد علم دادهٔ کاربردی)</t>
        </is>
      </c>
      <c r="E10" s="8" t="inlineStr">
        <is>
          <t>کوآپ برای ارشد هست ولی اختیاری (نه تضمینی) ✓؛ «قوی‌ترین‌های غرب» ادعای قابل‌سنجش نیست ولی کوآپ یوویک بزرگ و جاافتاده است.</t>
        </is>
      </c>
      <c r="F10" s="8" t="inlineStr">
        <is>
          <t>6.5</t>
        </is>
      </c>
      <c r="G10" s="8" t="inlineStr">
        <is>
          <t>کف: معدل ≥ B در دو سال آخر (≈ ۶۰–۶۶٪). شما: ۱۶.۹۲ = ۸۴.۶٪ ✓✓ بالاتر از کف با فاصله → مایل به Safe</t>
        </is>
      </c>
      <c r="H10" s="8" t="inlineStr">
        <is>
          <t>بسیار ارزان: ≈ CAD 5,600–8,400 در سال (منابع ثانویه/آی‌دی‌پی؛ خود دانشگاه شهریهٔ ارشد را در جدول‌هایش تأیید کند — حتی با ۵۰٪ خطا هم ارزان‌ترین این جدول است) + ودیعهٔ غیرقابل‌استرداد CAD 2,000</t>
        </is>
      </c>
      <c r="I10" s="8" t="inlineStr">
        <is>
          <t>22,400–26,600 (فایل گفته بود ۳۱–۳۳.۵ ← حدود ۵–۹ هزار زیاد؛ برخلاف فایل، از ارزان‌ترین‌های کاناداست)</t>
        </is>
      </c>
      <c r="J10" s="6" t="inlineStr">
        <is>
          <t>شهریهٔ کل ≈ $10,000–11,800 + $16,500 = $26,500–28,300 ✅✅</t>
        </is>
      </c>
      <c r="K10" s="8" t="inlineStr">
        <is>
          <t>✅ خود مسیر درسی‌اش داخل بودجه است؛ مسیر پایان‌نامه‌ای هم ≈ $28,100 گام۱ ✅ — فقط گام۲ (زندگی گران ویکتوریا) با کار ۲۴ ساعت/هفته بسته می‌شود</t>
        </is>
      </c>
      <c r="L10" s="8" t="inlineStr">
        <is>
          <t>۶۰–۸۰٪* (فایل گفته بود ۸۵–۹۰٪؛ با این کف معدل، در بالاترین حدِ واقع‌بینانه)</t>
        </is>
      </c>
      <c r="M10" s="8" t="inlineStr">
        <is>
          <t>پذیرش در چند نوبت (سپتامبر/ژانویه/می)؛ مهلت سپتامبر ۲۰۲۷ را از صفحهٔ دپارتمان بگیرید. برای سپتامبر معمولاً ژانویه–فوریه.</t>
        </is>
      </c>
    </row>
    <row r="11" ht="125" customHeight="1">
      <c r="A11" s="4" t="inlineStr">
        <is>
          <t>۷</t>
        </is>
      </c>
      <c r="B11" s="4" t="inlineStr">
        <is>
          <t>Carleton — اتاوا، انتاریو</t>
        </is>
      </c>
      <c r="C11" s="5" t="inlineStr">
        <is>
          <t>≈ 550–600 (فایل: ~۵۰۰ ← کمی خوش‌بینانه؛ در QS 2026 = 560)</t>
        </is>
      </c>
      <c r="D11" s="5" t="inlineStr">
        <is>
          <t>MEng برق و کامپیوتر — درسی، ۱۰ درس، ~۲ سال ✓؛ «همجواری با هاب تک کاناتا» هم واقعیت دارد ✓. (ارشد کامپیوتر کارلتون با نام‌های دیگر ارائه می‌شود و درسیِ صرف آن را از صفحهٔ دانشکده چک کنید.)</t>
        </is>
      </c>
      <c r="E11" s="5" t="inlineStr">
        <is>
          <t>کوآپ ارشد در بعضی برنامه‌ها هست (تا ۸ ماه در برنامه‌های کامپیوتر طبق صفحهٔ رسمی دوره)؛ در فایل ادعای کوآپ نبود — فقط «همجواری با هاب» نوشته بود که درست است.</t>
        </is>
      </c>
      <c r="F11" s="5" t="inlineStr">
        <is>
          <t>6.5</t>
        </is>
      </c>
      <c r="G11" s="5" t="inlineStr">
        <is>
          <t>کف: ≈ B تا B+ (۶۵–۷۵٪ بسته به منبع). شما: دو سال آخر ۱۶.۹۲ = ۸۴.۶٪ ✓ → بالای کف → مایل به Safe</t>
        </is>
      </c>
      <c r="H11" s="5" t="inlineStr">
        <is>
          <t>≈ CAD 30,331–30,981 در سال بین‌المللی (منابع ثانویهٔ ۲۰۲۶، هم‌راستا با هم؛ تطبیق با صفحهٔ رسمی توصیه می‌شود) — گران‌ترین شهریهٔ این جدول</t>
        </is>
      </c>
      <c r="I11" s="5" t="inlineStr">
        <is>
          <t>32,800–35,900 (فایل گفته بود ۳۵–۳۸ ← تقریباً درست، لبهٔ بالا)</t>
        </is>
      </c>
      <c r="J11" s="9" t="inlineStr">
        <is>
          <t>شهریهٔ کل ≈ $42,800 + $16,500 = $59,300 ❌ (بدترین گام۱ بین این هفت‌تا)</t>
        </is>
      </c>
      <c r="K11" s="5" t="inlineStr">
        <is>
          <t>❌ مسیر پژوهشی هم گران است (مک‌اس ≈ $37,500–40,900 کل؛ فقط با نامهٔ فاندینگ سنگین ممکن)</t>
        </is>
      </c>
      <c r="L11" s="5" t="inlineStr">
        <is>
          <t>۶۰–۷۵٪* (فایل گفته بود ۸۵–۹۰٪)</t>
        </is>
      </c>
      <c r="M11" s="5" t="inlineStr">
        <is>
          <t>پذیرش چرخشی برای پاییز و زمستان. اپلیکیشن‌فی ≈ CAD 120.</t>
        </is>
      </c>
    </row>
    <row r="13" ht="46" customHeight="1">
      <c r="A13" s="10" t="inlineStr">
        <is>
          <t>راهنما: ✅ داخل بودجه در گام۱ (آنچه سفارت می‌بیند) · ❌ بیرون بودجه در گام۱ · ⚠️ مشروط/نیازمند تأیید. ستون «مسیر جایگزین» مهم‌ترین ستون این فایل است: در کانادا مسیر پایان‌نامه‌ای (با فاندینگ) معمولاً ارزان‌تر از مسیر درسیِ همین دانشگاه است — چیزی که فایل قبلی شما کلاً نداشت. بودجهٔ نهایی شما $40,000 برای کل دوره است، نه ۳۲ هزار دلار در سال که فایل قبلی فرض کرده بود.</t>
        </is>
      </c>
    </row>
  </sheetData>
  <mergeCells count="3">
    <mergeCell ref="A13:M13"/>
    <mergeCell ref="A2:M2"/>
    <mergeCell ref="A1:M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3"/>
  <sheetViews>
    <sheetView rightToLeft="1" workbookViewId="0">
      <pane ySplit="4" topLeftCell="A5" activePane="bottomLeft" state="frozen"/>
      <selection pane="bottomLeft" activeCell="A1" sqref="A1"/>
    </sheetView>
  </sheetViews>
  <sheetFormatPr baseColWidth="8" defaultRowHeight="15"/>
  <cols>
    <col width="22" customWidth="1" min="1" max="1"/>
    <col width="16" customWidth="1" min="2" max="2"/>
    <col width="40" customWidth="1" min="3" max="3"/>
    <col width="44" customWidth="1" min="4" max="4"/>
    <col width="26" customWidth="1" min="5" max="5"/>
  </cols>
  <sheetData>
    <row r="1" ht="30" customHeight="1">
      <c r="A1" s="1" t="inlineStr">
        <is>
          <t>مقایسهٔ سلول‌به‌سلول با Universities.xlsx قبلی — چه چیزی درست بود، چه چیزی نه</t>
        </is>
      </c>
    </row>
    <row r="2" ht="42" customHeight="1">
      <c r="A2" s="2" t="inlineStr">
        <is>
          <t>فقط ادعاهایی که راستی‌آزمی‌پذیر بودند. ستون «وضع» خلاصهٔ حکم است.</t>
        </is>
      </c>
    </row>
    <row r="4" ht="34" customHeight="1">
      <c r="A4" s="3" t="inlineStr">
        <is>
          <t>دانشگاه</t>
        </is>
      </c>
      <c r="B4" s="3" t="inlineStr">
        <is>
          <t>ستون</t>
        </is>
      </c>
      <c r="C4" s="3" t="inlineStr">
        <is>
          <t>آنچه فایل گفته</t>
        </is>
      </c>
      <c r="D4" s="3" t="inlineStr">
        <is>
          <t>واقعیتِ راستی‌آزمی‌شده</t>
        </is>
      </c>
      <c r="E4" s="3" t="inlineStr">
        <is>
          <t>وضع</t>
        </is>
      </c>
    </row>
    <row r="5">
      <c r="A5" s="5" t="inlineStr">
        <is>
          <t>Alberta</t>
        </is>
      </c>
      <c r="B5" s="5" t="inlineStr">
        <is>
          <t>رتبه</t>
        </is>
      </c>
      <c r="C5" s="5" t="inlineStr">
        <is>
          <t>~۱۱۰</t>
        </is>
      </c>
      <c r="D5" s="5" t="inlineStr">
        <is>
          <t>۹۶ در QS 2027 (ژوئن ۲۰۲۶)</t>
        </is>
      </c>
      <c r="E5" s="9" t="inlineStr">
        <is>
          <t>❌ قدیمی</t>
        </is>
      </c>
    </row>
    <row r="6">
      <c r="A6" s="8" t="inlineStr">
        <is>
          <t>Alberta</t>
        </is>
      </c>
      <c r="B6" s="8" t="inlineStr">
        <is>
          <t>نوع دوره</t>
        </is>
      </c>
      <c r="C6" s="8" t="inlineStr">
        <is>
          <t>M.Eng / اینترنشیپ صنعتی (IIP)</t>
        </is>
      </c>
      <c r="D6" s="8" t="inlineStr">
        <is>
          <t>ارشد درسی کامپیوتر از ژوئیه ۲۰۲۱ متوقف است؛ اینترنشیپ فقط در دو برنامهٔ فرعی (مالتی‌مدیا/اینترنت‌ورکینگ) هست؛ «IIP» در منابع رسمی پیدا نشد. مسیر اصلی: پایان‌نامه‌ای.</t>
        </is>
      </c>
      <c r="E6" s="9" t="inlineStr">
        <is>
          <t>❌ غلط</t>
        </is>
      </c>
    </row>
    <row r="7">
      <c r="A7" s="5" t="inlineStr">
        <is>
          <t>Alberta</t>
        </is>
      </c>
      <c r="B7" s="5" t="inlineStr">
        <is>
          <t>هزینه سال اول</t>
        </is>
      </c>
      <c r="C7" s="5" t="inlineStr">
        <is>
          <t>$۲۶–۲۸.۵k</t>
        </is>
      </c>
      <c r="D7" s="5" t="inlineStr">
        <is>
          <t>≈ $۲۱.۵–۲۴k (شهریه رسمی $۷.۴k + زندگی ادمونتون)</t>
        </is>
      </c>
      <c r="E7" s="11" t="inlineStr">
        <is>
          <t>⚠️ زیاد</t>
        </is>
      </c>
    </row>
    <row r="8">
      <c r="A8" s="8" t="inlineStr">
        <is>
          <t>Alberta</t>
        </is>
      </c>
      <c r="B8" s="8" t="inlineStr">
        <is>
          <t>شانس</t>
        </is>
      </c>
      <c r="C8" s="8" t="inlineStr">
        <is>
          <t>۷۵–۸۰٪ با معدل سال آخر</t>
        </is>
      </c>
      <c r="D8" s="8" t="inlineStr">
        <is>
          <t>کف روی ۶۰ واحد آخر (دو سال آخر شما ۱۶.۹۲) سنجیده می‌شود؛ بازهٔ واقع‌بینانه ۴۰–۶۰٪*</t>
        </is>
      </c>
      <c r="E8" s="11" t="inlineStr">
        <is>
          <t>⚠️ خوش‌بینانه</t>
        </is>
      </c>
    </row>
    <row r="9">
      <c r="A9" s="5" t="inlineStr">
        <is>
          <t>Calgary</t>
        </is>
      </c>
      <c r="B9" s="5" t="inlineStr">
        <is>
          <t>رتبه</t>
        </is>
      </c>
      <c r="C9" s="5" t="inlineStr">
        <is>
          <t>~۱۸۰</t>
        </is>
      </c>
      <c r="D9" s="5" t="inlineStr">
        <is>
          <t>۲۴۹ در QS 2027</t>
        </is>
      </c>
      <c r="E9" s="9" t="inlineStr">
        <is>
          <t>❌ خطای بزرگ</t>
        </is>
      </c>
    </row>
    <row r="10">
      <c r="A10" s="8" t="inlineStr">
        <is>
          <t>Calgary</t>
        </is>
      </c>
      <c r="B10" s="8" t="inlineStr">
        <is>
          <t>نام دوره</t>
        </is>
      </c>
      <c r="C10" s="8" t="inlineStr">
        <is>
          <t>Master of Software Eng</t>
        </is>
      </c>
      <c r="D10" s="8" t="inlineStr">
        <is>
          <t>MEng برق و کامپیوتر با گرایش نرم‌افزار</t>
        </is>
      </c>
      <c r="E10" s="11" t="inlineStr">
        <is>
          <t>⚠️ نادرست</t>
        </is>
      </c>
    </row>
    <row r="11">
      <c r="A11" s="5" t="inlineStr">
        <is>
          <t>Calgary</t>
        </is>
      </c>
      <c r="B11" s="5" t="inlineStr">
        <is>
          <t>اینترنشیپ</t>
        </is>
      </c>
      <c r="C11" s="5" t="inlineStr">
        <is>
          <t>۸ تا ۱۲ ماه</t>
        </is>
      </c>
      <c r="D11" s="5" t="inlineStr">
        <is>
          <t>۸ تا ۱۶ ماه، ظرفیت محدود، بعد از یک سال تحصیل؛ دوره را ۳ ساله می‌کند</t>
        </is>
      </c>
      <c r="E11" s="11" t="inlineStr">
        <is>
          <t>⚠️ نیمه‌درست</t>
        </is>
      </c>
    </row>
    <row r="12">
      <c r="A12" s="8" t="inlineStr">
        <is>
          <t>Calgary</t>
        </is>
      </c>
      <c r="B12" s="8" t="inlineStr">
        <is>
          <t>هزینه سال اول</t>
        </is>
      </c>
      <c r="C12" s="8" t="inlineStr">
        <is>
          <t>$۲۶–۲۹k</t>
        </is>
      </c>
      <c r="D12" s="8" t="inlineStr">
        <is>
          <t>با نرخ درسی رسمی ۲۰۲۶ (≈ $۲۸.۱k کل برنامه) سال اول $۴۳–۴۶k؛ فقط با نرخ قدیمیِ صفحهٔ برنامه به $۲۸–۳۱k می‌رسد — استعلام الزامی</t>
        </is>
      </c>
      <c r="E12" s="9" t="inlineStr">
        <is>
          <t>❌ احتمالاً کم</t>
        </is>
      </c>
    </row>
    <row r="13">
      <c r="A13" s="5" t="inlineStr">
        <is>
          <t>Calgary</t>
        </is>
      </c>
      <c r="B13" s="5" t="inlineStr">
        <is>
          <t>شانس</t>
        </is>
      </c>
      <c r="C13" s="5" t="inlineStr">
        <is>
          <t>~۸۰٪</t>
        </is>
      </c>
      <c r="D13" s="5" t="inlineStr">
        <is>
          <t>۲۵–۴۵٪* در چک‌لیست کانادای خودمان</t>
        </is>
      </c>
      <c r="E13" s="9" t="inlineStr">
        <is>
          <t>❌ خیلی خوش‌بینانه</t>
        </is>
      </c>
    </row>
    <row r="14">
      <c r="A14" s="8" t="inlineStr">
        <is>
          <t>uOttawa</t>
        </is>
      </c>
      <c r="B14" s="8" t="inlineStr">
        <is>
          <t>رتبه</t>
        </is>
      </c>
      <c r="C14" s="8" t="inlineStr">
        <is>
          <t>~۱۸۰–۲۰۰</t>
        </is>
      </c>
      <c r="D14" s="8">
        <f>۲۲۸ در QS 2027</f>
        <v/>
      </c>
      <c r="E14" s="9" t="inlineStr">
        <is>
          <t>❌ قدیمی</t>
        </is>
      </c>
    </row>
    <row r="15">
      <c r="A15" s="5" t="inlineStr">
        <is>
          <t>uOttawa</t>
        </is>
      </c>
      <c r="B15" s="5" t="inlineStr">
        <is>
          <t>کوآپ</t>
        </is>
      </c>
      <c r="C15" s="5" t="inlineStr">
        <is>
          <t>کوآپ رسمی، رتبهٔ ۲ انتاریو</t>
        </is>
      </c>
      <c r="D15" s="5" t="inlineStr">
        <is>
          <t>کوآپ ارشد اختیاری/ظرفیت محدود/رقابت معدل؛ «دوم انتاریو» ادعای خود دانشگاه دربارهٔ کوآپ کارشناسی است</t>
        </is>
      </c>
      <c r="E15" s="11" t="inlineStr">
        <is>
          <t>⚠️ گمراه‌کننده</t>
        </is>
      </c>
    </row>
    <row r="16">
      <c r="A16" s="8" t="inlineStr">
        <is>
          <t>uOttawa</t>
        </is>
      </c>
      <c r="B16" s="8" t="inlineStr">
        <is>
          <t>هزینه سال اول</t>
        </is>
      </c>
      <c r="C16" s="8" t="inlineStr">
        <is>
          <t>$۳۵–۳۷k</t>
        </is>
      </c>
      <c r="D16" s="8" t="inlineStr">
        <is>
          <t>≈ $۳۰–۳۲k با شهریه سال اول ~$۱۸.۱k و زندگی اتاوا</t>
        </is>
      </c>
      <c r="E16" s="11" t="inlineStr">
        <is>
          <t>⚠️ کمی زیاد</t>
        </is>
      </c>
    </row>
    <row r="17">
      <c r="A17" s="5" t="inlineStr">
        <is>
          <t>McMaster</t>
        </is>
      </c>
      <c r="B17" s="5" t="inlineStr">
        <is>
          <t>رتبه</t>
        </is>
      </c>
      <c r="C17" s="5" t="inlineStr">
        <is>
          <t>~۱۸۰</t>
        </is>
      </c>
      <c r="D17" s="5">
        <f>۱۷۴ در QS 2027</f>
        <v/>
      </c>
      <c r="E17" s="6" t="inlineStr">
        <is>
          <t>✅ تقریباً درست</t>
        </is>
      </c>
    </row>
    <row r="18">
      <c r="A18" s="8" t="inlineStr">
        <is>
          <t>McMaster</t>
        </is>
      </c>
      <c r="B18" s="8" t="inlineStr">
        <is>
          <t>کوآپ</t>
        </is>
      </c>
      <c r="C18" s="8" t="inlineStr">
        <is>
          <t>واحد کارآموزی (ECCS)</t>
        </is>
      </c>
      <c r="D18" s="8" t="inlineStr">
        <is>
          <t>کوآپ/تجربهٔ کاری ارشد مهندسی واقعی و با حقوق است (۴–۱۲ ماه، با اجازهٔ دانشکده)؛ نام دقیق دفتر تأیید نشد</t>
        </is>
      </c>
      <c r="E18" s="6" t="inlineStr">
        <is>
          <t>✅ با توضیح</t>
        </is>
      </c>
    </row>
    <row r="19">
      <c r="A19" s="5" t="inlineStr">
        <is>
          <t>McMaster</t>
        </is>
      </c>
      <c r="B19" s="5" t="inlineStr">
        <is>
          <t>هزینه سال اول</t>
        </is>
      </c>
      <c r="C19" s="5" t="inlineStr">
        <is>
          <t>$۳۶–۳۸.۵k</t>
        </is>
      </c>
      <c r="D19" s="5" t="inlineStr">
        <is>
          <t>≈ $۲۸.۶–۳۰.۵k</t>
        </is>
      </c>
      <c r="E19" s="11" t="inlineStr">
        <is>
          <t>⚠️ زیاد</t>
        </is>
      </c>
    </row>
    <row r="20">
      <c r="A20" s="8" t="inlineStr">
        <is>
          <t>McMaster</t>
        </is>
      </c>
      <c r="B20" s="8" t="inlineStr">
        <is>
          <t>شانس</t>
        </is>
      </c>
      <c r="C20" s="8" t="inlineStr">
        <is>
          <t>۷۰–۷۵٪ با معدل سال آخر</t>
        </is>
      </c>
      <c r="D20" s="8" t="inlineStr">
        <is>
          <t>اگر معدل کل سنجیده شود ۱۵.۷۷ است؛ بازهٔ ما ۲۰–۴۰٪*</t>
        </is>
      </c>
      <c r="E20" s="9" t="inlineStr">
        <is>
          <t>❌ خوش‌بینانه</t>
        </is>
      </c>
    </row>
    <row r="21">
      <c r="A21" s="5" t="inlineStr">
        <is>
          <t>Dalhousie</t>
        </is>
      </c>
      <c r="B21" s="5" t="inlineStr">
        <is>
          <t>رتبه</t>
        </is>
      </c>
      <c r="C21" s="5" t="inlineStr">
        <is>
          <t>~۲۷۰</t>
        </is>
      </c>
      <c r="D21" s="5" t="inlineStr">
        <is>
          <t>۲۹۸ در QS 2027</t>
        </is>
      </c>
      <c r="E21" s="11" t="inlineStr">
        <is>
          <t>⚠️ کمی قدیمی</t>
        </is>
      </c>
    </row>
    <row r="22">
      <c r="A22" s="8" t="inlineStr">
        <is>
          <t>Dalhousie</t>
        </is>
      </c>
      <c r="B22" s="8" t="inlineStr">
        <is>
          <t>کوآپ</t>
        </is>
      </c>
      <c r="C22" s="8" t="inlineStr">
        <is>
          <t>اجباری با حقوق</t>
        </is>
      </c>
      <c r="D22" s="8" t="inlineStr">
        <is>
          <t>یکی از سه استریم انتخابی (کارآموزی/کارآفرینی/پروژه)؛ نه اجباری نه تضمینی</t>
        </is>
      </c>
      <c r="E22" s="9" t="inlineStr">
        <is>
          <t>❌ غلط</t>
        </is>
      </c>
    </row>
    <row r="23">
      <c r="A23" s="5" t="inlineStr">
        <is>
          <t>Dalhousie</t>
        </is>
      </c>
      <c r="B23" s="5" t="inlineStr">
        <is>
          <t>آیلتس</t>
        </is>
      </c>
      <c r="C23" s="5" t="inlineStr">
        <is>
          <t>نیازمند ۷</t>
        </is>
      </c>
      <c r="D23" s="5" t="inlineStr">
        <is>
          <t>بله، رسمی 7.0 — تنها عدد کاملاً درستِ ستون شانس</t>
        </is>
      </c>
      <c r="E23" s="6" t="inlineStr">
        <is>
          <t>✅</t>
        </is>
      </c>
    </row>
    <row r="24">
      <c r="A24" s="8" t="inlineStr">
        <is>
          <t>Dalhousie</t>
        </is>
      </c>
      <c r="B24" s="8" t="inlineStr">
        <is>
          <t>هزینه سال اول</t>
        </is>
      </c>
      <c r="C24" s="8" t="inlineStr">
        <is>
          <t>$۲۹.۵–۳۳k</t>
        </is>
      </c>
      <c r="D24" s="8" t="inlineStr">
        <is>
          <t>≈ $۴۰.۶–۴۳.۶k (شهریه رسمی کل $۳۳.۸k طی ۱۶ ماه)</t>
        </is>
      </c>
      <c r="E24" s="9" t="inlineStr">
        <is>
          <t>❌ کم — جهت خطرناک</t>
        </is>
      </c>
    </row>
    <row r="25">
      <c r="A25" s="5" t="inlineStr">
        <is>
          <t>UVic</t>
        </is>
      </c>
      <c r="B25" s="5" t="inlineStr">
        <is>
          <t>رتبه</t>
        </is>
      </c>
      <c r="C25" s="5" t="inlineStr">
        <is>
          <t>~۳۵۰–۴۰۰</t>
        </is>
      </c>
      <c r="D25" s="5">
        <f>۳۷۰ در QS 2027</f>
        <v/>
      </c>
      <c r="E25" s="6" t="inlineStr">
        <is>
          <t>✅</t>
        </is>
      </c>
    </row>
    <row r="26">
      <c r="A26" s="8" t="inlineStr">
        <is>
          <t>UVic</t>
        </is>
      </c>
      <c r="B26" s="8" t="inlineStr">
        <is>
          <t>کوآپ</t>
        </is>
      </c>
      <c r="C26" s="8" t="inlineStr">
        <is>
          <t>از قوی‌ترین‌های غرب</t>
        </is>
      </c>
      <c r="D26" s="8" t="inlineStr">
        <is>
          <t>کوآپ ارشد اختیاری وجود دارد؛ «قوی‌ترین» قابل سنجش نیست ولی کوآپ بزرگی دارند</t>
        </is>
      </c>
      <c r="E26" s="11" t="inlineStr">
        <is>
          <t>⚠️ نیمه‌درست</t>
        </is>
      </c>
    </row>
    <row r="27">
      <c r="A27" s="5" t="inlineStr">
        <is>
          <t>UVic</t>
        </is>
      </c>
      <c r="B27" s="5" t="inlineStr">
        <is>
          <t>هزینه سال اول</t>
        </is>
      </c>
      <c r="C27" s="5" t="inlineStr">
        <is>
          <t>$۳۱–۳۳.۵k</t>
        </is>
      </c>
      <c r="D27" s="5" t="inlineStr">
        <is>
          <t>≈ $۲۲.۴–۲۶.۶k — برخلاف فایل، از ارزان‌ترین‌هاست</t>
        </is>
      </c>
      <c r="E27" s="9" t="inlineStr">
        <is>
          <t>❌ زیاد</t>
        </is>
      </c>
    </row>
    <row r="28">
      <c r="A28" s="8" t="inlineStr">
        <is>
          <t>Carleton</t>
        </is>
      </c>
      <c r="B28" s="8" t="inlineStr">
        <is>
          <t>رتبه</t>
        </is>
      </c>
      <c r="C28" s="8" t="inlineStr">
        <is>
          <t>~۵۰۰ (تاپ مهندسی سیستم)</t>
        </is>
      </c>
      <c r="D28" s="8" t="inlineStr">
        <is>
          <t>≈ ۵۵۰–۶۰۰ (در QS 2026 = ۵۶۰)؛ قدرت مهندسی سیستم درست است</t>
        </is>
      </c>
      <c r="E28" s="11" t="inlineStr">
        <is>
          <t>⚠️ کمی خوش‌بینانه</t>
        </is>
      </c>
    </row>
    <row r="29">
      <c r="A29" s="5" t="inlineStr">
        <is>
          <t>Carleton</t>
        </is>
      </c>
      <c r="B29" s="5" t="inlineStr">
        <is>
          <t>همجواری کاناتا</t>
        </is>
      </c>
      <c r="C29" s="5" t="inlineStr">
        <is>
          <t>درست</t>
        </is>
      </c>
      <c r="D29" s="5" t="inlineStr">
        <is>
          <t>بله، کاناتا هاب تک اتاواست</t>
        </is>
      </c>
      <c r="E29" s="6" t="inlineStr">
        <is>
          <t>✅</t>
        </is>
      </c>
    </row>
    <row r="30">
      <c r="A30" s="8" t="inlineStr">
        <is>
          <t>Carleton</t>
        </is>
      </c>
      <c r="B30" s="8" t="inlineStr">
        <is>
          <t>هزینه سال اول</t>
        </is>
      </c>
      <c r="C30" s="8" t="inlineStr">
        <is>
          <t>$۳۵–۳۸k</t>
        </is>
      </c>
      <c r="D30" s="8" t="inlineStr">
        <is>
          <t>≈ $۳۲.۸–۳۵.۹k</t>
        </is>
      </c>
      <c r="E30" s="6" t="inlineStr">
        <is>
          <t>✅ تقریباً</t>
        </is>
      </c>
    </row>
    <row r="31">
      <c r="A31" s="5" t="inlineStr">
        <is>
          <t>همه</t>
        </is>
      </c>
      <c r="B31" s="5" t="inlineStr">
        <is>
          <t>سقف بودجه</t>
        </is>
      </c>
      <c r="C31" s="5" t="inlineStr">
        <is>
          <t>$۳۲ هزار</t>
        </is>
      </c>
      <c r="D31" s="5" t="inlineStr">
        <is>
          <t>مدل نهایی ما $۴۰ هزار برای کل دوره در دو گام است (بخش ۲۱–۲۲ تحلیل اصلی)</t>
        </is>
      </c>
      <c r="E31" s="9" t="inlineStr">
        <is>
          <t>❌ منسوخ</t>
        </is>
      </c>
    </row>
    <row r="32">
      <c r="A32" s="8" t="inlineStr">
        <is>
          <t>همه</t>
        </is>
      </c>
      <c r="B32" s="8" t="inlineStr">
        <is>
          <t>مبنای معدل</t>
        </is>
      </c>
      <c r="C32" s="8" t="inlineStr">
        <is>
          <t>فقط سال آخر (~۱۷)</t>
        </is>
      </c>
      <c r="D32" s="8" t="inlineStr">
        <is>
          <t>هیچ‌کدام از این دانشگاه‌ها فقط سال آخر را نمی‌سنجند: آلبرتا/کلگری/دالهاوزی = ۶۰ واحد آخر (۱۶.۹۲ شما)، بقیه کل یا دو سال آخر</t>
        </is>
      </c>
      <c r="E32" s="9" t="inlineStr">
        <is>
          <t>❌ فرض غلط</t>
        </is>
      </c>
    </row>
    <row r="33">
      <c r="A33" s="5" t="inlineStr">
        <is>
          <t>همه</t>
        </is>
      </c>
      <c r="B33" s="5" t="inlineStr">
        <is>
          <t>ستون نمره‌دهی</t>
        </is>
      </c>
      <c r="C33" s="5" t="inlineStr">
        <is>
          <t>صفت‌هایی مثل «منصفانه و تعاملی»</t>
        </is>
      </c>
      <c r="D33" s="5" t="inlineStr">
        <is>
          <t>نه منبعی دارد نه تعریف مشخصی؛ قابل راستی‌آزمایی نیست و حذف شد</t>
        </is>
      </c>
      <c r="E33" s="9" t="inlineStr">
        <is>
          <t>❌ بی‌محتوا</t>
        </is>
      </c>
    </row>
  </sheetData>
  <mergeCells count="2">
    <mergeCell ref="A2:E2"/>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rightToLeft="1" workbookViewId="0">
      <pane ySplit="4" topLeftCell="A5" activePane="bottomLeft" state="frozen"/>
      <selection pane="bottomLeft" activeCell="A1" sqref="A1"/>
    </sheetView>
  </sheetViews>
  <sheetFormatPr baseColWidth="8" defaultRowHeight="15"/>
  <cols>
    <col width="22" customWidth="1" min="1" max="1"/>
    <col width="30" customWidth="1" min="2" max="2"/>
    <col width="24" customWidth="1" min="3" max="3"/>
    <col width="20" customWidth="1" min="4" max="4"/>
    <col width="20" customWidth="1" min="5" max="5"/>
    <col width="44" customWidth="1" min="6" max="6"/>
  </cols>
  <sheetData>
    <row r="1" ht="30" customHeight="1">
      <c r="A1" s="1" t="inlineStr">
        <is>
          <t>مسیرهای جایگزینِ داخل بودجه — ستون فراموش‌شدهٔ فایل قبلی</t>
        </is>
      </c>
    </row>
    <row r="2" ht="42" customHeight="1">
      <c r="A2" s="2" t="inlineStr">
        <is>
          <t>در کانادا معمولاً ارشد پایان‌نامه‌ای همان دانشگاه از نسخهٔ درسی‌اش ارزان‌تر و با فاندینگ همراه است. اعداد رسمی 2026/27 از تحلیل قبلی (بخش ۲۸) و منابع رسمی.</t>
        </is>
      </c>
    </row>
    <row r="4" ht="34" customHeight="1">
      <c r="A4" s="3" t="inlineStr">
        <is>
          <t>دانشگاه</t>
        </is>
      </c>
      <c r="B4" s="3" t="inlineStr">
        <is>
          <t>مسیر جایگزین</t>
        </is>
      </c>
      <c r="C4" s="3" t="inlineStr">
        <is>
          <t>شهریهٔ کل دوره</t>
        </is>
      </c>
      <c r="D4" s="3" t="inlineStr">
        <is>
          <t>گام۱ ($+ تمکن $16,500)</t>
        </is>
      </c>
      <c r="E4" s="3" t="inlineStr">
        <is>
          <t>فاندینگ</t>
        </is>
      </c>
      <c r="F4" s="3" t="inlineStr">
        <is>
          <t>ملاحظات</t>
        </is>
      </c>
    </row>
    <row r="5" ht="90" customHeight="1">
      <c r="A5" s="5" t="inlineStr">
        <is>
          <t>Alberta</t>
        </is>
      </c>
      <c r="B5" s="5" t="inlineStr">
        <is>
          <t>MSc Computing Science (پایان‌نامه‌ای)</t>
        </is>
      </c>
      <c r="C5" s="5" t="inlineStr">
        <is>
          <t>≈ $14,000 (رسمی؛ ۲۰۲۷ ≈ کمتر هم می‌شود)</t>
        </is>
      </c>
      <c r="D5" s="6" t="inlineStr">
        <is>
          <t>$30,500 ✅</t>
        </is>
      </c>
      <c r="E5" s="5" t="inlineStr">
        <is>
          <t>معمول با تأیید استاد (پنج ترم کمک‌هزینه طبق راهنمای دپارتمان)</t>
        </is>
      </c>
      <c r="F5" s="5" t="inlineStr">
        <is>
          <t>ددلاین فاندینگ ۱۵ دسامبر ۲۰۲۶ — مهم‌ترین اقدام همین حالا ایمیل استاد است. معدل دو سال آخر ۱۶.۹۲ بالای کف ۳.۰.</t>
        </is>
      </c>
    </row>
    <row r="6" ht="90" customHeight="1">
      <c r="A6" s="8" t="inlineStr">
        <is>
          <t>Calgary</t>
        </is>
      </c>
      <c r="B6" s="8" t="inlineStr">
        <is>
          <t>MSc Computer Science (پایان‌نامه‌ای)</t>
        </is>
      </c>
      <c r="C6" s="8" t="inlineStr">
        <is>
          <t>≈ $12,100 (رسمی: $8,576/سال)</t>
        </is>
      </c>
      <c r="D6" s="6" t="inlineStr">
        <is>
          <t>$28,600 ✅ و با نامهٔ فاندینگ $16,500 ✅✅</t>
        </is>
      </c>
      <c r="E6" s="8" t="inlineStr">
        <is>
          <t>فاندینگ تضمینی رسمی سالانه $25,455 برای بین‌المللی‌ها (از خود شهریه بیشتر است)</t>
        </is>
      </c>
      <c r="F6" s="8" t="inlineStr">
        <is>
          <t>تنها دانشگاه این جدول با فاندینگ تضمینیِ رسمی. گلوگاه فقط «بله»ی استاد + ویزا.</t>
        </is>
      </c>
    </row>
    <row r="7" ht="78" customHeight="1">
      <c r="A7" s="5" t="inlineStr">
        <is>
          <t>UVic</t>
        </is>
      </c>
      <c r="B7" s="5" t="inlineStr">
        <is>
          <t>MSc Computer Science (پایان‌نامه‌ای)</t>
        </is>
      </c>
      <c r="C7" s="5" t="inlineStr">
        <is>
          <t>≈ $11,600 (برآورد نزدیک به رسمی)</t>
        </is>
      </c>
      <c r="D7" s="6" t="inlineStr">
        <is>
          <t>$28,100 ✅</t>
        </is>
      </c>
      <c r="E7" s="5" t="inlineStr">
        <is>
          <t>وابسته به استاد؛ تضمینی نیست</t>
        </is>
      </c>
      <c r="F7" s="5" t="inlineStr">
        <is>
          <t>با مسیر درسی ارزانِ خود یوویک هر دو شدنی‌اند؛ فقط زندگی ویکتوریا گران است (گام۲ با کار ۲۴ ساعت بسته می‌شود).</t>
        </is>
      </c>
    </row>
    <row r="8" ht="90" customHeight="1">
      <c r="A8" s="8" t="inlineStr">
        <is>
          <t>Dalhousie</t>
        </is>
      </c>
      <c r="B8" s="8" t="inlineStr">
        <is>
          <t>MCSc (پایان‌نامه‌ای، ۲ سال)</t>
        </is>
      </c>
      <c r="C8" s="8" t="inlineStr">
        <is>
          <t>≈ $27,300 (رسمی 2026/27)</t>
        </is>
      </c>
      <c r="D8" s="9" t="inlineStr">
        <is>
          <t>$43,800 ❌ (کسری فقط $3,840)</t>
        </is>
      </c>
      <c r="E8" s="8" t="inlineStr">
        <is>
          <t>معمول با استاد؛ تضمینی نیست</t>
        </is>
      </c>
      <c r="F8" s="8" t="inlineStr">
        <is>
          <t>یک نامهٔ فاندینگ کوچک (≈ سالانه $4–7 هزار) آن را داخل بودجه می‌آورد؛ در کنار مک‌آپ‌سی به‌عنوان گزینهٔ دوم همان دپارتمان قابل اپلای است.</t>
        </is>
      </c>
    </row>
    <row r="9" ht="78" customHeight="1">
      <c r="A9" s="5" t="inlineStr">
        <is>
          <t>uOttawa</t>
        </is>
      </c>
      <c r="B9" s="5" t="inlineStr">
        <is>
          <t>ارشد پژوهشی برق/کامپیوتر</t>
        </is>
      </c>
      <c r="C9" s="5" t="inlineStr">
        <is>
          <t>سال اول ≈ $20,400 (منبع ثانویه)</t>
        </is>
      </c>
      <c r="D9" s="9" t="inlineStr">
        <is>
          <t>$56,000+ ❌</t>
        </is>
      </c>
      <c r="E9" s="5" t="inlineStr">
        <is>
          <t>ادعای فاندینگ تأیید نشد</t>
        </is>
      </c>
      <c r="F9" s="5" t="inlineStr">
        <is>
          <t>با بودجهٔ $40 هزار هم‌خوانی ندارد؛ اتاوا در این سبد فقط درسی و با بودجهٔ بیشتر توجیه دارد.</t>
        </is>
      </c>
    </row>
    <row r="10" ht="78" customHeight="1">
      <c r="A10" s="8" t="inlineStr">
        <is>
          <t>McMaster</t>
        </is>
      </c>
      <c r="B10" s="8" t="inlineStr">
        <is>
          <t>ارشد پژوهشی کامپیوتر</t>
        </is>
      </c>
      <c r="C10" s="8" t="inlineStr">
        <is>
          <t>تأیید نشده (منابع ثانویه گران می‌گویند)</t>
        </is>
      </c>
      <c r="D10" s="9" t="inlineStr">
        <is>
          <t>تأیید نشده — پیش‌فرض ❌</t>
        </is>
      </c>
      <c r="E10" s="8" t="inlineStr">
        <is>
          <t>نامشخص</t>
        </is>
      </c>
      <c r="F10" s="8" t="inlineStr">
        <is>
          <t>قبل از هر نتیجه‌گیری از صفحهٔ رسمی دانشکدهٔ مهندسی/کامپیوتر چک شود؛ تا آن موقع داخل بودجه فرض نشود.</t>
        </is>
      </c>
    </row>
    <row r="11" ht="78" customHeight="1">
      <c r="A11" s="5" t="inlineStr">
        <is>
          <t>Carleton</t>
        </is>
      </c>
      <c r="B11" s="5" t="inlineStr">
        <is>
          <t>MCS / MASc (پژوهشی)</t>
        </is>
      </c>
      <c r="C11" s="5" t="inlineStr">
        <is>
          <t>$37,500–40,900 (رسمی ۲۰۲۵/۲۶)</t>
        </is>
      </c>
      <c r="D11" s="9" t="inlineStr">
        <is>
          <t>$54,100–57,400 ❌</t>
        </is>
      </c>
      <c r="E11" s="5" t="inlineStr">
        <is>
          <t>فقط با نامهٔ فاندینگ سنگین</t>
        </is>
      </c>
      <c r="F11" s="5" t="inlineStr">
        <is>
          <t>کارلتون با بودجهٔ شما عملاً بیرون است؛ همجواری کاناتا ارزش رزومه دارد ولی جای بودجه را پر نمی‌کند.</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26"/>
  <sheetViews>
    <sheetView rightToLeft="1" workbookViewId="0">
      <pane ySplit="4" topLeftCell="A5" activePane="bottomLeft" state="frozen"/>
      <selection pane="bottomLeft" activeCell="A1" sqref="A1"/>
    </sheetView>
  </sheetViews>
  <sheetFormatPr baseColWidth="8" defaultRowHeight="15"/>
  <cols>
    <col width="30" customWidth="1" min="1" max="1"/>
    <col width="90" customWidth="1" min="2" max="2"/>
    <col width="18" customWidth="1" min="3" max="3"/>
  </cols>
  <sheetData>
    <row r="1" ht="30" customHeight="1">
      <c r="A1" s="1" t="inlineStr">
        <is>
          <t>منابع راستی‌آزمی (بازدید ۱ اکتبر ۲۰۲۶)</t>
        </is>
      </c>
    </row>
    <row r="2" ht="42" customHeight="1">
      <c r="A2" s="2" t="inlineStr">
        <is>
          <t>«رسمی» = صفحهٔ خود دانشگاه یا نهاد دولتی · «ثانویه» = سرویس‌های اپلای/اطلاعات دوره (شیکشا، مسترزپورتال، کالج‌دونیا، اپلای‌بورد، آی‌دی‌پی) — برای اپلای با صفحهٔ رسمی چک شود.</t>
        </is>
      </c>
    </row>
    <row r="4" ht="34" customHeight="1">
      <c r="A4" s="3" t="inlineStr">
        <is>
          <t>موضوع</t>
        </is>
      </c>
      <c r="B4" s="3" t="inlineStr">
        <is>
          <t>نشانی</t>
        </is>
      </c>
      <c r="C4" s="3" t="inlineStr">
        <is>
          <t>وضع منبع</t>
        </is>
      </c>
    </row>
    <row r="5">
      <c r="A5" s="5" t="inlineStr">
        <is>
          <t>رتبهٔ آلبرتا — ۹۶ (QS 2027)</t>
        </is>
      </c>
      <c r="B5" s="12" t="inlineStr">
        <is>
          <t>https://www.topuniversities.com/universities/university-alberta</t>
        </is>
      </c>
      <c r="C5" s="13" t="inlineStr">
        <is>
          <t>رسمیِ رتبه‌بند</t>
        </is>
      </c>
    </row>
    <row r="6">
      <c r="A6" s="8" t="inlineStr">
        <is>
          <t>رتبهٔ کلگری — ۲۴۹ (QS 2027)</t>
        </is>
      </c>
      <c r="B6" s="14" t="inlineStr">
        <is>
          <t>https://www.topuniversities.com/universities/university-calgary</t>
        </is>
      </c>
      <c r="C6" s="13" t="inlineStr">
        <is>
          <t>رسمیِ رتبه‌بند</t>
        </is>
      </c>
    </row>
    <row r="7">
      <c r="A7" s="5" t="inlineStr">
        <is>
          <t>رتبه‌های اتاوا/مک‌مستر/دالهاوزی/ویکتوریا (QS 2027)</t>
        </is>
      </c>
      <c r="B7" s="12" t="inlineStr">
        <is>
          <t>https://www.idp.com/vietnam/study-in-canada/top-universities-in-canada/?lang=en</t>
        </is>
      </c>
      <c r="C7" s="13" t="inlineStr">
        <is>
          <t>رسمیِ رتبه‌بند</t>
        </is>
      </c>
    </row>
    <row r="8">
      <c r="A8" s="8" t="inlineStr">
        <is>
          <t>اعلام رتبهٔ ۲۰۲۷ و افت کلگری</t>
        </is>
      </c>
      <c r="B8" s="14" t="inlineStr">
        <is>
          <t>https://dailyhive.com/calgary/university-of-calgary-top-universities-2027</t>
        </is>
      </c>
      <c r="C8" s="8" t="inlineStr">
        <is>
          <t>خبری</t>
        </is>
      </c>
    </row>
    <row r="9">
      <c r="A9" s="5" t="inlineStr">
        <is>
          <t>کلگری — صفحهٔ رسمی نرم‌افزار (ساختار، اینترنشیپ ۸–۱۶ ماهه، بدون استاد)</t>
        </is>
      </c>
      <c r="B9" s="12" t="inlineStr">
        <is>
          <t>https://grad.ucalgary.ca/future-students/graduate/discover-opportunities/explore-programs/electrical-and-computer-engineering-meng-software-course</t>
        </is>
      </c>
      <c r="C9" s="13" t="inlineStr">
        <is>
          <t>رسمی</t>
        </is>
      </c>
    </row>
    <row r="10">
      <c r="A10" s="8" t="inlineStr">
        <is>
          <t>کلگری — برنامهٔ اینترنشیپ شولیش</t>
        </is>
      </c>
      <c r="B10" s="14" t="inlineStr">
        <is>
          <t>https://schulich.ucalgary.ca/current-students/engineering-career-centre/meng-internship</t>
        </is>
      </c>
      <c r="C10" s="13" t="inlineStr">
        <is>
          <t>رسمی</t>
        </is>
      </c>
    </row>
    <row r="11">
      <c r="A11" s="5" t="inlineStr">
        <is>
          <t>کلگری — شهریهٔ رسمی 2026/27 (برای تطبیق نرخ درسی)</t>
        </is>
      </c>
      <c r="B11" s="12" t="inlineStr">
        <is>
          <t>https://calendar.ucalgary.ca/</t>
        </is>
      </c>
      <c r="C11" s="13" t="inlineStr">
        <is>
          <t>رسمی</t>
        </is>
      </c>
    </row>
    <row r="12">
      <c r="A12" s="8" t="inlineStr">
        <is>
          <t>آلبرتا — توقف ارشد درسی کامپیوتر از ۲۰۲۱ + ددلاین‌ها</t>
        </is>
      </c>
      <c r="B12" s="14" t="inlineStr">
        <is>
          <t>https://www.ualberta.ca/en/computing-science/graduate-studies/programs-and-admissions/applications-and-admissions/index.html</t>
        </is>
      </c>
      <c r="C12" s="13" t="inlineStr">
        <is>
          <t>رسمی</t>
        </is>
      </c>
    </row>
    <row r="13">
      <c r="A13" s="5" t="inlineStr">
        <is>
          <t>آلبرتا — ارشد مالتی‌مدیا با اینترنشیپ</t>
        </is>
      </c>
      <c r="B13" s="12" t="inlineStr">
        <is>
          <t>https://www.ualberta.ca/en/graduate-programs/master-of-science-in-computing-science-with-a-specialization-in-multimedia-computing-science.html</t>
        </is>
      </c>
      <c r="C13" s="13" t="inlineStr">
        <is>
          <t>رسمی</t>
        </is>
      </c>
    </row>
    <row r="14">
      <c r="A14" s="8" t="inlineStr">
        <is>
          <t>آلبرتا — شرایط پذیرش ارشد برق/نرم‌افزار (معدل ۳.۰ در ۶۰ واحد آخر)</t>
        </is>
      </c>
      <c r="B14" s="14" t="inlineStr">
        <is>
          <t>https://www.idp.com/universities-and-colleges/university-of-alberta/master-of-engineering-in-electrical-and-computer-engineering-software-engineering-and-intelligent-systems/PRG-CA-00458429/</t>
        </is>
      </c>
      <c r="C14" s="8" t="inlineStr">
        <is>
          <t>ثانویه</t>
        </is>
      </c>
    </row>
    <row r="15">
      <c r="A15" s="5" t="inlineStr">
        <is>
          <t>اتاوا — کوآپ ارشد اختیاری/ظرفیت محدود</t>
        </is>
      </c>
      <c r="B15" s="12" t="inlineStr">
        <is>
          <t>https://www.applyboard.com/schools/university-of-ottawa/programs/master-of-engineering-electrical-and-computer-engineering-course-optional-co-op</t>
        </is>
      </c>
      <c r="C15" s="8" t="inlineStr">
        <is>
          <t>ثانویه</t>
        </is>
      </c>
    </row>
    <row r="16">
      <c r="A16" s="8" t="inlineStr">
        <is>
          <t>اتاوا — ادعای «دومین کوآپ بزرگ انتاریو» (کارشناسی)</t>
        </is>
      </c>
      <c r="B16" s="14" t="inlineStr">
        <is>
          <t>https://www.uottawa.ca/faculty-engineering/undergraduate-studies/programs</t>
        </is>
      </c>
      <c r="C16" s="13" t="inlineStr">
        <is>
          <t>رسمی</t>
        </is>
      </c>
    </row>
    <row r="17">
      <c r="A17" s="5" t="inlineStr">
        <is>
          <t>مک‌مستر — کوآپ/تجربهٔ کاری ارشد مهندسی (۴–۱۲ ماه)</t>
        </is>
      </c>
      <c r="B17" s="12" t="inlineStr">
        <is>
          <t>https://academiccalendars.romcmaster.ca/preview_program.php?catoid=48&amp;poid=24729&amp;returnto=9558</t>
        </is>
      </c>
      <c r="C17" s="13" t="inlineStr">
        <is>
          <t>رسمی</t>
        </is>
      </c>
    </row>
    <row r="18">
      <c r="A18" s="8" t="inlineStr">
        <is>
          <t>مک‌مستر — شهریه و شرایط ارشد کامپیوتر</t>
        </is>
      </c>
      <c r="B18" s="14" t="inlineStr">
        <is>
          <t>https://www.mastersportal.com/studies/124712/computing-and-software.html</t>
        </is>
      </c>
      <c r="C18" s="8" t="inlineStr">
        <is>
          <t>ثانویه</t>
        </is>
      </c>
    </row>
    <row r="19">
      <c r="A19" s="5" t="inlineStr">
        <is>
          <t>دالهاوزی — جدول شهریهٔ ارشد 2026/27 (مبنای $47,984 مک‌آپ‌سی)</t>
        </is>
      </c>
      <c r="B19" s="12" t="inlineStr">
        <is>
          <t>https://www.dal.ca/admissions/graduate/tuition-fees.html</t>
        </is>
      </c>
      <c r="C19" s="13" t="inlineStr">
        <is>
          <t>رسمی</t>
        </is>
      </c>
    </row>
    <row r="20">
      <c r="A20" s="8" t="inlineStr">
        <is>
          <t>دالهاوزی — ساختار سه‌استریمی مک‌آپ‌سی و آیلتس ۷</t>
        </is>
      </c>
      <c r="B20" s="14" t="inlineStr">
        <is>
          <t>https://www.dal.ca/faculty/computerscience/graduate-programs/master-of-applied-computer-science.html</t>
        </is>
      </c>
      <c r="C20" s="13" t="inlineStr">
        <is>
          <t>رسمی</t>
        </is>
      </c>
    </row>
    <row r="21">
      <c r="A21" s="5" t="inlineStr">
        <is>
          <t>ویکتوریا — صفحهٔ ارشد برق و کامپیوتر (کوآپ اختیاری، کف معدل)</t>
        </is>
      </c>
      <c r="B21" s="12" t="inlineStr">
        <is>
          <t>https://www.topuniversities.com/universities/university-victoria-uvic/postgrad/electrical-computer-engineering-meng-taught</t>
        </is>
      </c>
      <c r="C21" s="8" t="inlineStr">
        <is>
          <t>ثانویه</t>
        </is>
      </c>
    </row>
    <row r="22">
      <c r="A22" s="8" t="inlineStr">
        <is>
          <t>ویکتوریا — شهریه/آیلتس/ددلاین</t>
        </is>
      </c>
      <c r="B22" s="14" t="inlineStr">
        <is>
          <t>https://collegedunia.com/canada/university/105-university-of-victoria-victoria/master-of-engineering-meng-electrical-and-computer-engineering-193222</t>
        </is>
      </c>
      <c r="C22" s="8" t="inlineStr">
        <is>
          <t>ثانویه</t>
        </is>
      </c>
    </row>
    <row r="23">
      <c r="A23" s="5" t="inlineStr">
        <is>
          <t>کارلتون — شهریهٔ ارشد برق و کامپیوتر</t>
        </is>
      </c>
      <c r="B23" s="12" t="inlineStr">
        <is>
          <t>https://collegedunia.com/canada/university/2-carleton-university-ottawa/master-of-engineering-meng-electrical-and-computer-engineering-15450</t>
        </is>
      </c>
      <c r="C23" s="8" t="inlineStr">
        <is>
          <t>ثانویه</t>
        </is>
      </c>
    </row>
    <row r="24">
      <c r="A24" s="8" t="inlineStr">
        <is>
          <t>کارلتون — کوآپ تا ۸ ماه در برنامه‌های کامپیوتر</t>
        </is>
      </c>
      <c r="B24" s="14" t="inlineStr">
        <is>
          <t>https://www.mastersportal.com/studies/61188/computer-science.html</t>
        </is>
      </c>
      <c r="C24" s="8" t="inlineStr">
        <is>
          <t>ثانویه</t>
        </is>
      </c>
    </row>
    <row r="25">
      <c r="A25" s="5" t="inlineStr">
        <is>
          <t>تمکن مالی مجوز تحصیل — $16,500 (سپتامبر ۲۰۲۶، خارج کبک)</t>
        </is>
      </c>
      <c r="B25" s="12" t="inlineStr">
        <is>
          <t>https://www.canada.ca/en/immigration-refugees-citizenship/services/study-canada/study-permit/prepare/proof-funds.html</t>
        </is>
      </c>
      <c r="C25" s="13" t="inlineStr">
        <is>
          <t>رسمی</t>
        </is>
      </c>
    </row>
    <row r="26">
      <c r="A26" s="8" t="inlineStr">
        <is>
          <t>تحلیل کامل قبلی (بخش ۲۸: کانادا با اعداد رسمی)</t>
        </is>
      </c>
      <c r="B26" s="14" t="inlineStr">
        <is>
          <t>Migration-Analysis.md در همین ریپو</t>
        </is>
      </c>
      <c r="C26" s="8" t="inlineStr">
        <is>
          <t>داخلی</t>
        </is>
      </c>
    </row>
  </sheetData>
  <mergeCells count="2">
    <mergeCell ref="A1:C1"/>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rightToLeft="1" workbookViewId="0">
      <pane ySplit="4" topLeftCell="A5" activePane="bottomLeft" state="frozen"/>
      <selection pane="bottomLeft" activeCell="A1" sqref="A1"/>
    </sheetView>
  </sheetViews>
  <sheetFormatPr baseColWidth="8" defaultRowHeight="15"/>
  <cols>
    <col width="26" customWidth="1" min="1" max="1"/>
    <col width="90" customWidth="1" min="2" max="2"/>
  </cols>
  <sheetData>
    <row r="1" ht="30" customHeight="1">
      <c r="A1" s="1" t="inlineStr">
        <is>
          <t>مفروضات محاسبات و هشدارهای تفسیر</t>
        </is>
      </c>
    </row>
    <row r="2" ht="42" customHeight="1">
      <c r="A2" s="2" t="inlineStr">
        <is>
          <t>این شیت را قبل از استفاده از اعداد بخوانید — همان استانداردی که روی Table_final.xlsx اعمال شد.</t>
        </is>
      </c>
    </row>
    <row r="4" ht="34" customHeight="1">
      <c r="A4" s="3" t="inlineStr">
        <is>
          <t>موضوع</t>
        </is>
      </c>
      <c r="B4" s="3" t="inlineStr">
        <is>
          <t>توضیح</t>
        </is>
      </c>
    </row>
    <row r="5" ht="86" customHeight="1">
      <c r="A5" s="4" t="inlineStr">
        <is>
          <t>بودجه</t>
        </is>
      </c>
      <c r="B5" s="5" t="inlineStr">
        <is>
          <t>بودجهٔ نهایی شما $40,000 برای کل دوره است (نه $32,000 در سال که فایل قبلی و نسخه‌های اولیهٔ تحلیل فرض کرده بودند). مدل دوگام: گام۱ = شهریهٔ کل دوره + تمکن رسمی سال اول (کانادا: $16,500 از ۱ سپتامبر ۲۰۲۶) ≤ $40,000؛ گام۲ = هزینهٔ واقعی زندگی در شهر مربوط + درآمد کار دانشجویی با حداکثر ۲۴ ساعت/هفته.</t>
        </is>
      </c>
    </row>
    <row r="6" ht="78" customHeight="1">
      <c r="A6" s="7" t="inlineStr">
        <is>
          <t>معدل</t>
        </is>
      </c>
      <c r="B6" s="8" t="inlineStr">
        <is>
          <t>کل ۱۵.۷۷ · دو سال آخر ۱۶.۹۲ · سال آخر ۱۷.۰۳ · سه سال آخر ۱۶.۱۹. هیچ‌یک از دانشگاه‌های این جدول «فقط سال آخر» را مبنا نمی‌دهند؛ آلبرتا، کلگری و دالهاوزی ۶۰ واحد آخر را می‌سنجند، بقیه کل یا دو سال آخر را. ستون شانس فایل قبلی که روی ۱۷ سال آخر بنا شده بود، برای همین از پایه باطل است.</t>
        </is>
      </c>
    </row>
    <row r="7" ht="62" customHeight="1">
      <c r="A7" s="4" t="inlineStr">
        <is>
          <t>درصدهای شانس</t>
        </is>
      </c>
      <c r="B7" s="5" t="inlineStr">
        <is>
          <t>بازه‌های ستاره‌دار (*) مثل چک‌لیست کانادای قبلی، قضاوت خام و کالیبره‌نشده‌اند؛ احتمال واقعی از دادهٔ تاریخی هم‌پروفایل محاسبه نشده و تضمینی وجود ندارد. فقط برای مقایسهٔ نسبیِ سبد به کار بروند.</t>
        </is>
      </c>
    </row>
    <row r="8" ht="46" customHeight="1">
      <c r="A8" s="7" t="inlineStr">
        <is>
          <t>زبان</t>
        </is>
      </c>
      <c r="B8" s="8" t="inlineStr">
        <is>
          <t>فرض: آیلتس آکادمیک ۷.۰ با هر بخش ≥ ۶.۵ که هنوز کسب نشده. دالهاوزی و آلبرتا (برای بعضی برنامه‌ها) دقیقاً ۷.۰ می‌خواهند؛ بقیه ۶.۵ کافی است.</t>
        </is>
      </c>
    </row>
    <row r="9" ht="46" customHeight="1">
      <c r="A9" s="4" t="inlineStr">
        <is>
          <t>نرخ ارز</t>
        </is>
      </c>
      <c r="B9" s="5" t="inlineStr">
        <is>
          <t>هر دلار کانادا = ۰.۷۰۵ دلار آمریکا (۲۹ سپتامبر ۲۰۲۶). شهریه‌های کانادا سالانه ۲–۵٪ گران می‌شوند؛ آلبرتا استثنائاً برای ورودی ۲۰۲۷ نرخ را ۵.۵٪ کم کرده است.</t>
        </is>
      </c>
    </row>
    <row r="10" ht="62" customHeight="1">
      <c r="A10" s="7" t="inlineStr">
        <is>
          <t>هزینهٔ زندگی</t>
        </is>
      </c>
      <c r="B10" s="8" t="inlineStr">
        <is>
          <t>بازه‌های ماهانهٔ شیت «خوابگاه و مسکن» تحلیل قبلی: ادمونتون $1,500–1,800 · کلگری $1,650–2,000 · اتاوا $1,800–2,200 · همیلتون $1,400–1,700 · هالیفاکس $1,650–2,000 · ویکتوریا $1,900–2,300 (دلار کانادا) × ۱۲ ماه.</t>
        </is>
      </c>
    </row>
    <row r="11" ht="62" customHeight="1">
      <c r="A11" s="4" t="inlineStr">
        <is>
          <t>وضع منابع</t>
        </is>
      </c>
      <c r="B11" s="5" t="inlineStr">
        <is>
          <t>«رسمی» یعنی عدد مستقیم از صفحهٔ دانشگاه/دولت گرفته شده؛ «≈» یعنی از منابع ثانویه است و باید قبل از اپلای با صفحهٔ رسمی تطبیق داده شود. اعداد علامت «نیازمند تأیید» را مبنای تصمیم نگذارید (مخصوصاً نرخ درسی کلگری).</t>
        </is>
      </c>
    </row>
    <row r="12" ht="62" customHeight="1">
      <c r="A12" s="7" t="inlineStr">
        <is>
          <t>ویزا</t>
        </is>
      </c>
      <c r="B12" s="8" t="inlineStr">
        <is>
          <t>سفارت کانادا در تهران بسته است؛ پرونده در آنکارا، بیومتریک در کشور همسایه؛ زمان رسمی ۱۴–۲۰ هفته ولی برای پاسپورت ایرانی معمولاً ۲۰–۳۰+ هفته. پرونده تا اواخر مارس ۲۰۲۷ ثبت شود و «ورودی ژانویه ۲۰۲۸» به‌عنوان برنامهٔ ب از اول کتباً گرفته شود.</t>
        </is>
      </c>
    </row>
    <row r="13" ht="46" customHeight="1">
      <c r="A13" s="4" t="inlineStr">
        <is>
          <t>کار حین تحصیل</t>
        </is>
      </c>
      <c r="B13" s="5" t="inlineStr">
        <is>
          <t>۲۴ ساعت در هفته خارج کمپوس (از نوامبر ۲۰۲۴) + تمام‌وقت در تعطیلات رسمی. مبنای درآمد در گام۲، حداقل دستمزد استان‌ها در اکتبر ۲۰۲۶ است.</t>
        </is>
      </c>
    </row>
    <row r="14" ht="62" customHeight="1">
      <c r="A14" s="7" t="inlineStr">
        <is>
          <t>آنچه این فایل نیست</t>
        </is>
      </c>
      <c r="B14" s="8" t="inlineStr">
        <is>
          <t>این فایل جایگزین چک‌لیست کانادا و شیت «تصمیم» در Table_final.xlsx نیست؛ فقط نسخهٔ اصلاح‌شدهٔ همان جدول ۷ ردیفی شماست. هشت درخواست اروپایی و مسیر پایان‌نامه‌ای موازات کانادا (تحلیل بخش ۲۸) سر جای خودشان باقی‌اند.</t>
        </is>
      </c>
    </row>
  </sheetData>
  <mergeCells count="2">
    <mergeCell ref="A2:B2"/>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2026-10-01T15:29:25Z</dcterms:created>
  <dcterms:modified xsi:type="dcterms:W3CDTF">2026-10-01T15:29:25Z</dcterms:modified>
</cp:coreProperties>
</file>