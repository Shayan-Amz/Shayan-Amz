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نهایی ۲۰۲۶" sheetId="1" state="visible" r:id="rId1"/>
    <sheet name="برنامه‌ها" sheetId="2" state="visible" r:id="rId2"/>
    <sheet name="حوزه‌ها و بازار کار" sheetId="3" state="visible" r:id="rId3"/>
    <sheet name="برنامهٔ زمانی ۲۰۲۷" sheetId="4" state="visible" r:id="rId4"/>
    <sheet name="جمع‌بندی" sheetId="5" state="visible" r:id="rId5"/>
    <sheet name="منابع" sheetId="6" state="visible" r:id="rId6"/>
  </sheets>
  <definedNames>
    <definedName name="_xlnm._FilterDatabase" localSheetId="1" hidden="1">'برنامه‌ها'!$A$1:$Q$105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555555"/>
      <sz val="9"/>
    </font>
    <font>
      <color rgb="000563C1"/>
      <sz val="9"/>
      <u val="single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E2F0D9"/>
      </patternFill>
    </fill>
    <fill>
      <patternFill patternType="solid">
        <fgColor rgb="00EAF5E1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 readingOrder="2"/>
    </xf>
    <xf numFmtId="0" fontId="0" fillId="0" borderId="1" applyAlignment="1" pivotButton="0" quotePrefix="0" xfId="0">
      <alignment horizontal="center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horizontal="right" vertical="top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2" fillId="0" borderId="0" pivotButton="0" quotePrefix="0" xfId="0"/>
    <xf numFmtId="0" fontId="2" fillId="4" borderId="1" applyAlignment="1" pivotButton="0" quotePrefix="0" xfId="0">
      <alignment horizontal="center" vertical="top" wrapText="1" readingOrder="2"/>
    </xf>
    <xf numFmtId="0" fontId="4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 readingOrder="2"/>
    </xf>
    <xf numFmtId="0" fontId="2" fillId="6" borderId="1" applyAlignment="1" pivotButton="0" quotePrefix="0" xfId="0">
      <alignment horizontal="center" vertical="top" wrapText="1" readingOrder="2"/>
    </xf>
    <xf numFmtId="0" fontId="2" fillId="7" borderId="1" applyAlignment="1" pivotButton="0" quotePrefix="0" xfId="0">
      <alignment horizontal="center" vertical="top" wrapText="1" readingOrder="2"/>
    </xf>
    <xf numFmtId="0" fontId="2" fillId="8" borderId="1" applyAlignment="1" pivotButton="0" quotePrefix="0" xfId="0">
      <alignment horizontal="center" vertical="top" wrapText="1" readingOrder="2"/>
    </xf>
    <xf numFmtId="0" fontId="0" fillId="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 vertical="top" wrapText="1" readingOrder="2"/>
    </xf>
    <xf numFmtId="0" fontId="2" fillId="8" borderId="1" applyAlignment="1" pivotButton="0" quotePrefix="0" xfId="0">
      <alignment horizontal="right" vertical="top" wrapText="1" readingOrder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ees.ac.uk/postgraduate_courses/computing_&amp;_cyber_security/msc_computer_science.cfm" TargetMode="External" Id="rId1" /><Relationship Type="http://schemas.openxmlformats.org/officeDocument/2006/relationships/hyperlink" Target="https://www.tees.ac.uk/postgraduate_courses/computing_&amp;_cyber_security/msc_artificial_intelligence.cfm" TargetMode="External" Id="rId2" /><Relationship Type="http://schemas.openxmlformats.org/officeDocument/2006/relationships/hyperlink" Target="https://www.tees.ac.uk/postgraduate_courses/computing_&amp;_cyber_security/msc_cyber_security.cfm" TargetMode="External" Id="rId3" /><Relationship Type="http://schemas.openxmlformats.org/officeDocument/2006/relationships/hyperlink" Target="https://www.northumbria.ac.uk/study-at-northumbria/courses/msc-advanced-computer-science-dtfava6/" TargetMode="External" Id="rId4" /><Relationship Type="http://schemas.openxmlformats.org/officeDocument/2006/relationships/hyperlink" Target="https://www.northumbria.ac.uk/study-at-northumbria/courses/msc-artificial-intelligence-dtfari6/" TargetMode="External" Id="rId5" /><Relationship Type="http://schemas.openxmlformats.org/officeDocument/2006/relationships/hyperlink" Target="https://www.ntu.ac.uk/study-and-courses/courses" TargetMode="External" Id="rId6" /><Relationship Type="http://schemas.openxmlformats.org/officeDocument/2006/relationships/hyperlink" Target="https://www.ntu.ac.uk/study-and-courses/courses" TargetMode="External" Id="rId7" /><Relationship Type="http://schemas.openxmlformats.org/officeDocument/2006/relationships/hyperlink" Target="https://www.mmu.ac.uk/study/postgraduate/course/msc-cyber-security" TargetMode="External" Id="rId8" /><Relationship Type="http://schemas.openxmlformats.org/officeDocument/2006/relationships/hyperlink" Target="https://www.essex.ac.uk/courses/pg00435/1/msc-advanced-computer-science" TargetMode="External" Id="rId9" /><Relationship Type="http://schemas.openxmlformats.org/officeDocument/2006/relationships/hyperlink" Target="https://www.essex.ac.uk/courses/pg00457/1/msc-artificial-intelligence" TargetMode="External" Id="rId10" /><Relationship Type="http://schemas.openxmlformats.org/officeDocument/2006/relationships/hyperlink" Target="https://le.ac.uk/courses/advanced-computer-science-msc/2026" TargetMode="External" Id="rId11" /><Relationship Type="http://schemas.openxmlformats.org/officeDocument/2006/relationships/hyperlink" Target="https://le.ac.uk/courses/artificial-intelligence-msc/2026" TargetMode="External" Id="rId12" /><Relationship Type="http://schemas.openxmlformats.org/officeDocument/2006/relationships/hyperlink" Target="https://le.ac.uk/courses/cloud-computing-msc/2026" TargetMode="External" Id="rId13" /><Relationship Type="http://schemas.openxmlformats.org/officeDocument/2006/relationships/hyperlink" Target="https://www.brunel.ac.uk/study/courses/artificial-intelligence-msc" TargetMode="External" Id="rId14" /><Relationship Type="http://schemas.openxmlformats.org/officeDocument/2006/relationships/hyperlink" Target="https://www.brunel.ac.uk/study/courses/data-science-and-analytics-msc" TargetMode="External" Id="rId15" /><Relationship Type="http://schemas.openxmlformats.org/officeDocument/2006/relationships/hyperlink" Target="https://www.kent.ac.uk/courses/postgraduate/1225/cyber-security" TargetMode="External" Id="rId16" /><Relationship Type="http://schemas.openxmlformats.org/officeDocument/2006/relationships/hyperlink" Target="https://www.royalholloway.ac.uk/studying-here/postgraduate/information-security/information-and-cyber-security/" TargetMode="External" Id="rId17" /><Relationship Type="http://schemas.openxmlformats.org/officeDocument/2006/relationships/hyperlink" Target="https://www.gold.ac.uk/pg/msc-computer-games-programming/" TargetMode="External" Id="rId18" /><Relationship Type="http://schemas.openxmlformats.org/officeDocument/2006/relationships/hyperlink" Target="https://www.surrey.ac.uk/postgraduate/artificial-intelligence-msc" TargetMode="External" Id="rId19" /><Relationship Type="http://schemas.openxmlformats.org/officeDocument/2006/relationships/hyperlink" Target="https://www.surrey.ac.uk/postgraduate/cyber-security-msc" TargetMode="External" Id="rId20" /><Relationship Type="http://schemas.openxmlformats.org/officeDocument/2006/relationships/hyperlink" Target="https://www.york.ac.uk/study/postgraduate-taught/courses/msc-advanced-computer-science/" TargetMode="External" Id="rId21" /><Relationship Type="http://schemas.openxmlformats.org/officeDocument/2006/relationships/hyperlink" Target="https://www.york.ac.uk/study/postgraduate-taught/courses/msc-human-centred-interactive-technologies/" TargetMode="External" Id="rId22" /><Relationship Type="http://schemas.openxmlformats.org/officeDocument/2006/relationships/hyperlink" Target="https://www.ncl.ac.uk/postgraduate/" TargetMode="External" Id="rId23" /><Relationship Type="http://schemas.openxmlformats.org/officeDocument/2006/relationships/hyperlink" Target="https://www.lancaster.ac.uk/study/postgraduate/postgraduate-courses/cyber-security-msc/2026/" TargetMode="External" Id="rId24" /><Relationship Type="http://schemas.openxmlformats.org/officeDocument/2006/relationships/hyperlink" Target="https://www.sheffield.ac.uk/postgraduate/taught/courses" TargetMode="External" Id="rId25" /><Relationship Type="http://schemas.openxmlformats.org/officeDocument/2006/relationships/hyperlink" Target="https://www.usi.ch/en/education/master/informatics" TargetMode="External" Id="rId26" /><Relationship Type="http://schemas.openxmlformats.org/officeDocument/2006/relationships/hyperlink" Target="https://www.usi.ch/en/education/master/artificial-intelligence" TargetMode="External" Id="rId27" /><Relationship Type="http://schemas.openxmlformats.org/officeDocument/2006/relationships/hyperlink" Target="https://www.usi.ch/en/education/master/software-and-data-engineering" TargetMode="External" Id="rId28" /><Relationship Type="http://schemas.openxmlformats.org/officeDocument/2006/relationships/hyperlink" Target="https://www.hslu.ch/en/lucerne-school-of-business/degree-programmes/master/applied-data-science-and-ai/" TargetMode="External" Id="rId29" /><Relationship Type="http://schemas.openxmlformats.org/officeDocument/2006/relationships/hyperlink" Target="https://www.philnat.unibe.ch/studies/study_programs/master_s_in_computer_science/index_eng.html" TargetMode="External" Id="rId30" /><Relationship Type="http://schemas.openxmlformats.org/officeDocument/2006/relationships/hyperlink" Target="https://mcs.unibnf.ch/" TargetMode="External" Id="rId31" /><Relationship Type="http://schemas.openxmlformats.org/officeDocument/2006/relationships/hyperlink" Target="https://www.unifr.ch/inf/en/" TargetMode="External" Id="rId32" /><Relationship Type="http://schemas.openxmlformats.org/officeDocument/2006/relationships/hyperlink" Target="https://dmi.unibas.ch/en/studies/computer-science/masters/" TargetMode="External" Id="rId33" /><Relationship Type="http://schemas.openxmlformats.org/officeDocument/2006/relationships/hyperlink" Target="https://www.ifi.uzh.ch/en/studies/master.html" TargetMode="External" Id="rId34" /><Relationship Type="http://schemas.openxmlformats.org/officeDocument/2006/relationships/hyperlink" Target="https://www.zhaw.ch/en/engineering/study/masters-degree-programme" TargetMode="External" Id="rId35" /><Relationship Type="http://schemas.openxmlformats.org/officeDocument/2006/relationships/hyperlink" Target="https://www.epfl.ch/education/master/programs/computer-science/" TargetMode="External" Id="rId36" /><Relationship Type="http://schemas.openxmlformats.org/officeDocument/2006/relationships/hyperlink" Target="https://www.epfl.ch/education/master/programs/data-science/" TargetMode="External" Id="rId37" /><Relationship Type="http://schemas.openxmlformats.org/officeDocument/2006/relationships/hyperlink" Target="https://ethz.ch/en/studies/master/degree-programmes/engineering-sciences/computer-science.html" TargetMode="External" Id="rId38" /><Relationship Type="http://schemas.openxmlformats.org/officeDocument/2006/relationships/hyperlink" Target="https://ethz.ch/en/studies/master/degree-programmes/engineering-sciences/cyber-security.html" TargetMode="External" Id="rId39" /><Relationship Type="http://schemas.openxmlformats.org/officeDocument/2006/relationships/hyperlink" Target="https://www.uni-stuttgart.de/en/study/study-programs/" TargetMode="External" Id="rId40" /><Relationship Type="http://schemas.openxmlformats.org/officeDocument/2006/relationships/hyperlink" Target="https://www.mygermanuniversity.com/master/information-technology-infotech/678" TargetMode="External" Id="rId41" /><Relationship Type="http://schemas.openxmlformats.org/officeDocument/2006/relationships/hyperlink" Target="https://www.fau.eu/degree-program/artificial-intelligence-m-sc/" TargetMode="External" Id="rId42" /><Relationship Type="http://schemas.openxmlformats.org/officeDocument/2006/relationships/hyperlink" Target="https://www.fau.eu/degree-program/autonomy-technologies-m-sc/" TargetMode="External" Id="rId43" /><Relationship Type="http://schemas.openxmlformats.org/officeDocument/2006/relationships/hyperlink" Target="https://www.tu-darmstadt.de/studieren/" TargetMode="External" Id="rId44" /><Relationship Type="http://schemas.openxmlformats.org/officeDocument/2006/relationships/hyperlink" Target="https://tu-dresden.de/studium/vor-dem-studium/studienangebot" TargetMode="External" Id="rId45" /><Relationship Type="http://schemas.openxmlformats.org/officeDocument/2006/relationships/hyperlink" Target="https://www.uni-saarland.de/en/study/programmes/master/cybersecurity.html" TargetMode="External" Id="rId46" /><Relationship Type="http://schemas.openxmlformats.org/officeDocument/2006/relationships/hyperlink" Target="https://www.uni-saarland.de/en/study/programmes/master/data-science.html" TargetMode="External" Id="rId47" /><Relationship Type="http://schemas.openxmlformats.org/officeDocument/2006/relationships/hyperlink" Target="https://www.mygermanuniversity.com/master/automotive-software-engineering/91" TargetMode="External" Id="rId48" /><Relationship Type="http://schemas.openxmlformats.org/officeDocument/2006/relationships/hyperlink" Target="https://www.uni-passau.de/en/msc-ai-eng" TargetMode="External" Id="rId49" /><Relationship Type="http://schemas.openxmlformats.org/officeDocument/2006/relationships/hyperlink" Target="https://www.dke.ovgu.de/" TargetMode="External" Id="rId50" /><Relationship Type="http://schemas.openxmlformats.org/officeDocument/2006/relationships/hyperlink" Target="https://colognegamelab.de/study-programs/post-graduate-programs/game-development-research-ma/faqs/" TargetMode="External" Id="rId51" /><Relationship Type="http://schemas.openxmlformats.org/officeDocument/2006/relationships/hyperlink" Target="https://www2.daad.de/deutschland/studienangebote/international-programmes/en/detail/4686/" TargetMode="External" Id="rId52" /><Relationship Type="http://schemas.openxmlformats.org/officeDocument/2006/relationships/hyperlink" Target="https://www.h-brs.de/en/inf/admission-application-master-autonomous-systems" TargetMode="External" Id="rId53" /><Relationship Type="http://schemas.openxmlformats.org/officeDocument/2006/relationships/hyperlink" Target="https://sc.informatik.rwth-aachen.de/en/studium/master/sse/" TargetMode="External" Id="rId54" /><Relationship Type="http://schemas.openxmlformats.org/officeDocument/2006/relationships/hyperlink" Target="https://uni-tuebingen.de/fakultaeten/mathematisch-naturwissenschaftliche-fakultaet/fachbereiche/informatik/studium/studierende/lehre-studienorganisation/studiengaenge/machine-learning/admission-and-application/" TargetMode="External" Id="rId55" /><Relationship Type="http://schemas.openxmlformats.org/officeDocument/2006/relationships/hyperlink" Target="https://www.tum.de/en/studies/degree-programs/detail/informatics-master-of-science-msc" TargetMode="External" Id="rId56" /><Relationship Type="http://schemas.openxmlformats.org/officeDocument/2006/relationships/hyperlink" Target="https://www.utwente.nl/en/education/master/programmes/computer-science/" TargetMode="External" Id="rId57" /><Relationship Type="http://schemas.openxmlformats.org/officeDocument/2006/relationships/hyperlink" Target="https://www.utwente.nl/en/education/master/programmes/embedded-systems/finance/" TargetMode="External" Id="rId58" /><Relationship Type="http://schemas.openxmlformats.org/officeDocument/2006/relationships/hyperlink" Target="https://www.utwente.nl/en/education/master/programmes/interaction-technology/" TargetMode="External" Id="rId59" /><Relationship Type="http://schemas.openxmlformats.org/officeDocument/2006/relationships/hyperlink" Target="https://www.ru.nl/en/education/masters/computing-science" TargetMode="External" Id="rId60" /><Relationship Type="http://schemas.openxmlformats.org/officeDocument/2006/relationships/hyperlink" Target="https://www.ru.nl/en/education/masters/artificial-intelligence" TargetMode="External" Id="rId61" /><Relationship Type="http://schemas.openxmlformats.org/officeDocument/2006/relationships/hyperlink" Target="https://www.universiteitleiden.nl/en/education/study-programmes/master/computer-science/artificial-intelligence/admission-and-application/tuition-fees" TargetMode="External" Id="rId62" /><Relationship Type="http://schemas.openxmlformats.org/officeDocument/2006/relationships/hyperlink" Target="https://www.rug.nl/masters/artificial-intelligence/?lang=en" TargetMode="External" Id="rId63" /><Relationship Type="http://schemas.openxmlformats.org/officeDocument/2006/relationships/hyperlink" Target="https://www.rug.nl/masters/computing-science/?lang=en" TargetMode="External" Id="rId64" /><Relationship Type="http://schemas.openxmlformats.org/officeDocument/2006/relationships/hyperlink" Target="https://www.uu.nl/en/masters/game-and-media-technology" TargetMode="External" Id="rId65" /><Relationship Type="http://schemas.openxmlformats.org/officeDocument/2006/relationships/hyperlink" Target="https://www.uu.nl/en/masters/artificial-intelligence" TargetMode="External" Id="rId66" /><Relationship Type="http://schemas.openxmlformats.org/officeDocument/2006/relationships/hyperlink" Target="https://www.uva.nl/en/programmes/masters/software-engineering/software-engineering.html" TargetMode="External" Id="rId67" /><Relationship Type="http://schemas.openxmlformats.org/officeDocument/2006/relationships/hyperlink" Target="https://www.uva.nl/en/programmes/masters/artificial-intelligence/artificial-intelligence.html" TargetMode="External" Id="rId68" /><Relationship Type="http://schemas.openxmlformats.org/officeDocument/2006/relationships/hyperlink" Target="https://www.tue.nl/en/education/graduate-school/master-data-science-and-artificial-intelligence" TargetMode="External" Id="rId69" /><Relationship Type="http://schemas.openxmlformats.org/officeDocument/2006/relationships/hyperlink" Target="https://www.tue.nl/en/education/graduate-school/master-embedded-systems" TargetMode="External" Id="rId70" /><Relationship Type="http://schemas.openxmlformats.org/officeDocument/2006/relationships/hyperlink" Target="https://www.tudelft.nl/onderwijs/opleidingen/masters/cs/msc-computer-science" TargetMode="External" Id="rId71" /><Relationship Type="http://schemas.openxmlformats.org/officeDocument/2006/relationships/hyperlink" Target="https://www.topuniversities.com/universities/breda-university-applied-sciences/postgrad/master-game-technology" TargetMode="External" Id="rId72" /><Relationship Type="http://schemas.openxmlformats.org/officeDocument/2006/relationships/hyperlink" Target="https://liu.se/en/education/program/6mics" TargetMode="External" Id="rId73" /><Relationship Type="http://schemas.openxmlformats.org/officeDocument/2006/relationships/hyperlink" Target="https://liu.se/en/education/program/f7msl" TargetMode="External" Id="rId74" /><Relationship Type="http://schemas.openxmlformats.org/officeDocument/2006/relationships/hyperlink" Target="https://www.hh.se/english/education/programmes.html" TargetMode="External" Id="rId75" /><Relationship Type="http://schemas.openxmlformats.org/officeDocument/2006/relationships/hyperlink" Target="https://www.bth.se/eng/programmes/" TargetMode="External" Id="rId76" /><Relationship Type="http://schemas.openxmlformats.org/officeDocument/2006/relationships/hyperlink" Target="https://www.kth.se/en/studies/master/machine-learning" TargetMode="External" Id="rId77" /><Relationship Type="http://schemas.openxmlformats.org/officeDocument/2006/relationships/hyperlink" Target="https://www.kth.se/en/studies/master/cybersecurity" TargetMode="External" Id="rId78" /><Relationship Type="http://schemas.openxmlformats.org/officeDocument/2006/relationships/hyperlink" Target="https://www.kth.se/en/studies/master/software-engineering-of-distributed-systems" TargetMode="External" Id="rId79" /><Relationship Type="http://schemas.openxmlformats.org/officeDocument/2006/relationships/hyperlink" Target="https://www.chalmers.se/en/education/find-masters-programme/data-science-and-ai-msc/" TargetMode="External" Id="rId80" /><Relationship Type="http://schemas.openxmlformats.org/officeDocument/2006/relationships/hyperlink" Target="https://www.chalmers.se/en/education/find-masters-programme/software-engineering-and-technology-msc/" TargetMode="External" Id="rId81" /><Relationship Type="http://schemas.openxmlformats.org/officeDocument/2006/relationships/hyperlink" Target="https://www.chalmers.se/en/education/find-masters-programme/interaction-design-and-technologies-msc/" TargetMode="External" Id="rId82" /><Relationship Type="http://schemas.openxmlformats.org/officeDocument/2006/relationships/hyperlink" Target="https://www.gu.se/en/study-gothenburg/game-design-technology-masters-programme-n2gdt" TargetMode="External" Id="rId83" /><Relationship Type="http://schemas.openxmlformats.org/officeDocument/2006/relationships/hyperlink" Target="https://www.uu.se/en/study/programme/masters-programme-in-computer-science" TargetMode="External" Id="rId84" /><Relationship Type="http://schemas.openxmlformats.org/officeDocument/2006/relationships/hyperlink" Target="https://www.umu.se/en/education/master/masters-programme-in-artificial-intelligence/" TargetMode="External" Id="rId85" /><Relationship Type="http://schemas.openxmlformats.org/officeDocument/2006/relationships/hyperlink" Target="https://www.his.se/en/education/" TargetMode="External" Id="rId86" /><Relationship Type="http://schemas.openxmlformats.org/officeDocument/2006/relationships/hyperlink" Target="https://www.mdu.se/en/malardalen-university/education" TargetMode="External" Id="rId87" /><Relationship Type="http://schemas.openxmlformats.org/officeDocument/2006/relationships/hyperlink" Target="https://www.mdu.se/en/malardalen-university/education" TargetMode="External" Id="rId88" /><Relationship Type="http://schemas.openxmlformats.org/officeDocument/2006/relationships/hyperlink" Target="https://www.en.aau.dk/education/master/computer-science-it" TargetMode="External" Id="rId89" /><Relationship Type="http://schemas.openxmlformats.org/officeDocument/2006/relationships/hyperlink" Target="https://www.en.aau.dk/education/master/software" TargetMode="External" Id="rId90" /><Relationship Type="http://schemas.openxmlformats.org/officeDocument/2006/relationships/hyperlink" Target="https://www.en.aau.dk/education/master/cyber-security/" TargetMode="External" Id="rId91" /><Relationship Type="http://schemas.openxmlformats.org/officeDocument/2006/relationships/hyperlink" Target="https://www.en.aau.dk/education/master/medialogy-aal" TargetMode="External" Id="rId92" /><Relationship Type="http://schemas.openxmlformats.org/officeDocument/2006/relationships/hyperlink" Target="https://www.sdu.dk/en/uddannelse/fees_and_funding/tuition" TargetMode="External" Id="rId93" /><Relationship Type="http://schemas.openxmlformats.org/officeDocument/2006/relationships/hyperlink" Target="https://www.sdu.dk/en/uddannelse/kandidat/softwareengineering" TargetMode="External" Id="rId94" /><Relationship Type="http://schemas.openxmlformats.org/officeDocument/2006/relationships/hyperlink" Target="https://www.sdu.dk/en/studyscience" TargetMode="External" Id="rId95" /><Relationship Type="http://schemas.openxmlformats.org/officeDocument/2006/relationships/hyperlink" Target="https://www.sdu.dk/en/uddannelse/kandidat/alle-kandidatuddannelser" TargetMode="External" Id="rId96" /><Relationship Type="http://schemas.openxmlformats.org/officeDocument/2006/relationships/hyperlink" Target="https://www.sdu.dk/en/uddannelse/kandidat/alle-kandidatuddannelser" TargetMode="External" Id="rId97" /><Relationship Type="http://schemas.openxmlformats.org/officeDocument/2006/relationships/hyperlink" Target="https://en.itu.dk/Programmes/MSc-Programmes/Applying-to-a-MSc-programme/Non-EU-EOES" TargetMode="External" Id="rId98" /><Relationship Type="http://schemas.openxmlformats.org/officeDocument/2006/relationships/hyperlink" Target="https://en.itu.dk/Programmes/MSc-Programmes/Applying-to-a-MSc-programme/Non-EU-EOES" TargetMode="External" Id="rId99" /><Relationship Type="http://schemas.openxmlformats.org/officeDocument/2006/relationships/hyperlink" Target="https://en.itu.dk/Programmes/MSc-Programmes/Applying-to-a-MSc-programme/Non-EU-EOES" TargetMode="External" Id="rId100" /><Relationship Type="http://schemas.openxmlformats.org/officeDocument/2006/relationships/hyperlink" Target="https://www.dtu.dk/english/education/graduate/msc-programmes/human-centered-artificial-intelligence" TargetMode="External" Id="rId101" /><Relationship Type="http://schemas.openxmlformats.org/officeDocument/2006/relationships/hyperlink" Target="https://www.dtu.dk/english/education/graduate/msc-programmes/autonomous-systems/prerequisites" TargetMode="External" Id="rId102" /><Relationship Type="http://schemas.openxmlformats.org/officeDocument/2006/relationships/hyperlink" Target="https://www.dtu.dk/english/education/graduate/msc-programmes/computer-science-and-engineering" TargetMode="External" Id="rId103" /><Relationship Type="http://schemas.openxmlformats.org/officeDocument/2006/relationships/hyperlink" Target="https://masters.au.dk/computerscience" TargetMode="External" Id="rId10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make-it-in-germany.com/en/visa-residence/types/eu-blue-card" TargetMode="External" Id="rId1" /><Relationship Type="http://schemas.openxmlformats.org/officeDocument/2006/relationships/hyperlink" Target="https://www.make-it-in-germany.com/en/study-training/study/financing" TargetMode="External" Id="rId2" /><Relationship Type="http://schemas.openxmlformats.org/officeDocument/2006/relationships/hyperlink" Target="https://www.make-it-in-germany.com/en/visa-residence/living-permanently/permanent-residence" TargetMode="External" Id="rId3" /><Relationship Type="http://schemas.openxmlformats.org/officeDocument/2006/relationships/hyperlink" Target="https://www.uni-stuttgart.de/en/study/study-programs/Computer-Science-M.Sc./" TargetMode="External" Id="rId4" /><Relationship Type="http://schemas.openxmlformats.org/officeDocument/2006/relationships/hyperlink" Target="https://www.ai.study.fau.eu/prospective-students/living-studying-in-germany/language-proficiency/" TargetMode="External" Id="rId5" /><Relationship Type="http://schemas.openxmlformats.org/officeDocument/2006/relationships/hyperlink" Target="https://www.informatik.tu-darmstadt.de/studium_fb20/im_studium/studiengaenge_liste/computer_science_msc.en.jsp" TargetMode="External" Id="rId6" /><Relationship Type="http://schemas.openxmlformats.org/officeDocument/2006/relationships/hyperlink" Target="https://tu-dresden.de/ing/informatik/studium/studienangebot/master-studiengaenge/m-sc-computer-science/admission?set_language=en" TargetMode="External" Id="rId7" /><Relationship Type="http://schemas.openxmlformats.org/officeDocument/2006/relationships/hyperlink" Target="https://visas-de.tlscontact.com/en-us/country/ir/vac/irTHR2de" TargetMode="External" Id="rId8" /><Relationship Type="http://schemas.openxmlformats.org/officeDocument/2006/relationships/hyperlink" Target="https://www.iranintl.com/en/202608115899" TargetMode="External" Id="rId9" /><Relationship Type="http://schemas.openxmlformats.org/officeDocument/2006/relationships/hyperlink" Target="https://www.simplegermany.com/best-blocked-account-germany/" TargetMode="External" Id="rId10" /><Relationship Type="http://schemas.openxmlformats.org/officeDocument/2006/relationships/hyperlink" Target="https://www.stepstone.de/gehalt/Software-Entwickler-in.html" TargetMode="External" Id="rId11" /><Relationship Type="http://schemas.openxmlformats.org/officeDocument/2006/relationships/hyperlink" Target="https://ind.nl/en/required-amounts-income-requirements" TargetMode="External" Id="rId12" /><Relationship Type="http://schemas.openxmlformats.org/officeDocument/2006/relationships/hyperlink" Target="https://www.utwente.nl/en/education/master/programmes/computer-science/finance/" TargetMode="External" Id="rId13" /><Relationship Type="http://schemas.openxmlformats.org/officeDocument/2006/relationships/hyperlink" Target="https://www.utwente.nl/en/education/master/programmes/european-studies/admission/international/" TargetMode="External" Id="rId14" /><Relationship Type="http://schemas.openxmlformats.org/officeDocument/2006/relationships/hyperlink" Target="https://www.utwente.nl/en/about-us/impact-ambitions/rankings/" TargetMode="External" Id="rId15" /><Relationship Type="http://schemas.openxmlformats.org/officeDocument/2006/relationships/hyperlink" Target="https://www.ru.nl/en/education/masters/data-science-and-ai/tuition" TargetMode="External" Id="rId16" /><Relationship Type="http://schemas.openxmlformats.org/officeDocument/2006/relationships/hyperlink" Target="https://www.netherlandsworldwide.nl/visa-the-netherlands/mvv-long-stay/apply-iran" TargetMode="External" Id="rId17" /><Relationship Type="http://schemas.openxmlformats.org/officeDocument/2006/relationships/hyperlink" Target="https://thedutchdaily.nl/dutch-citizenship-b1-language-requirement-confirmed-2026/" TargetMode="External" Id="rId18" /><Relationship Type="http://schemas.openxmlformats.org/officeDocument/2006/relationships/hyperlink" Target="https://www.migrationsverket.se/nyheter/news-archive/2026-05-25-new-rules-for-residence-permits-for-studies-in-higher-education.html" TargetMode="External" Id="rId19" /><Relationship Type="http://schemas.openxmlformats.org/officeDocument/2006/relationships/hyperlink" Target="https://www.migrationsverket.se/nyheter/news-archive/2026-04-17-new-rules-for-work-permits-from-1-june-2026.html" TargetMode="External" Id="rId20" /><Relationship Type="http://schemas.openxmlformats.org/officeDocument/2006/relationships/hyperlink" Target="https://eiglaw.com/sweden-publishes-exempt-occupations-for-new-salary-rule/" TargetMode="External" Id="rId21" /><Relationship Type="http://schemas.openxmlformats.org/officeDocument/2006/relationships/hyperlink" Target="https://www.migrationsverket.se/en/you-want-to-extend/study/look-for-work-after-completing-your-studies-in-sweden.html" TargetMode="External" Id="rId22" /><Relationship Type="http://schemas.openxmlformats.org/officeDocument/2006/relationships/hyperlink" Target="https://liu.se/en/education/program/6mics" TargetMode="External" Id="rId23" /><Relationship Type="http://schemas.openxmlformats.org/officeDocument/2006/relationships/hyperlink" Target="https://www.bth.se/english/education/programmes/masters-programme-in-software-engineering-120-credits" TargetMode="External" Id="rId24" /><Relationship Type="http://schemas.openxmlformats.org/officeDocument/2006/relationships/hyperlink" Target="https://www.bth.se/english/education/programmes/masters-programme-in-software-engineering-60-credits" TargetMode="External" Id="rId25" /><Relationship Type="http://schemas.openxmlformats.org/officeDocument/2006/relationships/hyperlink" Target="https://www.mastersportal.com/studies/22787/information-technology.html" TargetMode="External" Id="rId26" /><Relationship Type="http://schemas.openxmlformats.org/officeDocument/2006/relationships/hyperlink" Target="https://www.hh.se/english/education/student-life/find-accommodation.html" TargetMode="External" Id="rId27" /><Relationship Type="http://schemas.openxmlformats.org/officeDocument/2006/relationships/hyperlink" Target="https://www.imidaily.com/europe/sweden-passes-law-curtailing-naturalization-8-year-wait-income-floor/" TargetMode="External" Id="rId28" /><Relationship Type="http://schemas.openxmlformats.org/officeDocument/2006/relationships/hyperlink" Target="https://www.swedenabroad.se/globalassets/ambassader/iran-teheran/documents/migration-issues/new-folder/english-versin.pdf" TargetMode="External" Id="rId29" /><Relationship Type="http://schemas.openxmlformats.org/officeDocument/2006/relationships/hyperlink" Target="https://www.nyidanmark.dk/pl-PL/You-want-to-apply/Work/Pay-limit-scheme" TargetMode="External" Id="rId30" /><Relationship Type="http://schemas.openxmlformats.org/officeDocument/2006/relationships/hyperlink" Target="https://www.nyidanmark.dk/en-GB/You-want-to-apply/Study/Higher-Education" TargetMode="External" Id="rId31" /><Relationship Type="http://schemas.openxmlformats.org/officeDocument/2006/relationships/hyperlink" Target="https://www.nyidanmark.dk/de-DE/You-want-to-apply/Study/Study---job-seeking/Study---3-years-job-seeking" TargetMode="External" Id="rId32" /><Relationship Type="http://schemas.openxmlformats.org/officeDocument/2006/relationships/hyperlink" Target="https://www.nyidanmark.dk/de-DE/You-want-to-apply/Permanent-residence-permit/Permanent-residence" TargetMode="External" Id="rId33" /><Relationship Type="http://schemas.openxmlformats.org/officeDocument/2006/relationships/hyperlink" Target="https://nyidanmark.dk/en-GB/Words-and-concepts/SIRI/Self-support---SIRI" TargetMode="External" Id="rId34" /><Relationship Type="http://schemas.openxmlformats.org/officeDocument/2006/relationships/hyperlink" Target="https://studyindenmark.dk/portal/aalborg-university-aau/aalborg/computer-science-it-msc" TargetMode="External" Id="rId35" /><Relationship Type="http://schemas.openxmlformats.org/officeDocument/2006/relationships/hyperlink" Target="https://www.sdu.dk/en/uddannelse/fees_and_funding/tuition" TargetMode="External" Id="rId36" /><Relationship Type="http://schemas.openxmlformats.org/officeDocument/2006/relationships/hyperlink" Target="https://www.sdu.dk/en/uddannelse/kandidat/datalogi/adgangskrav" TargetMode="External" Id="rId37" /><Relationship Type="http://schemas.openxmlformats.org/officeDocument/2006/relationships/hyperlink" Target="https://iran.um.dk/en" TargetMode="External" Id="rId38" /><Relationship Type="http://schemas.openxmlformats.org/officeDocument/2006/relationships/hyperlink" Target="https://studerende.ida.dk/snart-nyuddannet/loen/softwareingenioer-loen-saa-meget-kommer-du-til-at-tjene/" TargetMode="External" Id="rId39" /><Relationship Type="http://schemas.openxmlformats.org/officeDocument/2006/relationships/hyperlink" Target="https://liu.se/en/article/scholarships" TargetMode="External" Id="rId40" /><Relationship Type="http://schemas.openxmlformats.org/officeDocument/2006/relationships/hyperlink" Target="https://www.chalmers.se/en/education/application-and-admission/scholarships-for-fee-paying-students/" TargetMode="External" Id="rId41" /><Relationship Type="http://schemas.openxmlformats.org/officeDocument/2006/relationships/hyperlink" Target="https://www.mastersportal.com/scholarships/10077/halmstad-university-scholarships.html" TargetMode="External" Id="rId42" /><Relationship Type="http://schemas.openxmlformats.org/officeDocument/2006/relationships/hyperlink" Target="https://daadscholarship.com/malardalen-university-scholarships-2026-to-study-for-free-in-sweden/" TargetMode="External" Id="rId43" /><Relationship Type="http://schemas.openxmlformats.org/officeDocument/2006/relationships/hyperlink" Target="https://si.se/en/apply/scholarships/swedish-institute-scholarships-for-global-professionals/" TargetMode="External" Id="rId44" /><Relationship Type="http://schemas.openxmlformats.org/officeDocument/2006/relationships/hyperlink" Target="https://www.mastersportal.com/scholarships/988/holland-scholarship-for-non-eea-international-students.html" TargetMode="External" Id="rId45" /><Relationship Type="http://schemas.openxmlformats.org/officeDocument/2006/relationships/hyperlink" Target="https://www.en.aau.dk/education/apply/master/finance-and-fees" TargetMode="External" Id="rId46" /><Relationship Type="http://schemas.openxmlformats.org/officeDocument/2006/relationships/hyperlink" Target="https://ethz.ch/en/studies/financial/scholarships/excellencescholarship.html" TargetMode="External" Id="rId47" /><Relationship Type="http://schemas.openxmlformats.org/officeDocument/2006/relationships/hyperlink" Target="https://www.eco.usi.ch/en/feeds/9861" TargetMode="External" Id="rId48" /><Relationship Type="http://schemas.openxmlformats.org/officeDocument/2006/relationships/hyperlink" Target="https://www.essex.ac.uk/scholarships" TargetMode="External" Id="rId49" /><Relationship Type="http://schemas.openxmlformats.org/officeDocument/2006/relationships/hyperlink" Target="https://www.tees.ac.uk/sections/international/global_excellence_scholarship.cfm" TargetMode="External" Id="rId50" /><Relationship Type="http://schemas.openxmlformats.org/officeDocument/2006/relationships/hyperlink" Target="https://www.brunel.ac.uk/scholarships" TargetMode="External" Id="rId51" /><Relationship Type="http://schemas.openxmlformats.org/officeDocument/2006/relationships/hyperlink" Target="https://www.mastersportal.com/scholarships/3890/pgt-international-scholarships.html" TargetMode="External" Id="rId52" /><Relationship Type="http://schemas.openxmlformats.org/officeDocument/2006/relationships/hyperlink" Target="https://www.chevening.org/resource-hub/guidance/eligibility/" TargetMode="External" Id="rId53" /><Relationship Type="http://schemas.openxmlformats.org/officeDocument/2006/relationships/hyperlink" Target="https://www.deutschlandstipendium.de/" TargetMode="External" Id="rId54" /><Relationship Type="http://schemas.openxmlformats.org/officeDocument/2006/relationships/hyperlink" Target="https://ethz.ch/en/studies/master/application/dates.html" TargetMode="External" Id="rId55" /><Relationship Type="http://schemas.openxmlformats.org/officeDocument/2006/relationships/hyperlink" Target="https://www.epfl.ch/education/studies/en/rules-and-procedures/study-taxes/tuition-fee-other-fees/" TargetMode="External" Id="rId56" /><Relationship Type="http://schemas.openxmlformats.org/officeDocument/2006/relationships/hyperlink" Target="https://www.epfl.ch/education/admission/admission-2/master-admission-criteria-application/online-application/" TargetMode="External" Id="rId57" /><Relationship Type="http://schemas.openxmlformats.org/officeDocument/2006/relationships/hyperlink" Target="https://www.uzh.ch/en/studies/application/fees.html" TargetMode="External" Id="rId58" /><Relationship Type="http://schemas.openxmlformats.org/officeDocument/2006/relationships/hyperlink" Target="https://www.oec.uzh.ch/en/studies/general/admission/master/faq-master-admission.html" TargetMode="External" Id="rId59" /><Relationship Type="http://schemas.openxmlformats.org/officeDocument/2006/relationships/hyperlink" Target="https://www.usi.ch/en/education/master/informatics" TargetMode="External" Id="rId60" /><Relationship Type="http://schemas.openxmlformats.org/officeDocument/2006/relationships/hyperlink" Target="https://www.topuniversities.com/universities/usi-universita-della-svizzera-italiana/postgrad/master-science-artificial-intelligence" TargetMode="External" Id="rId61" /><Relationship Type="http://schemas.openxmlformats.org/officeDocument/2006/relationships/hyperlink" Target="https://www.swissuniversities.ch/en/themen/lehre-studium/information-on-studies/tuition-fees/tuition-fees-at-uas" TargetMode="External" Id="rId62" /><Relationship Type="http://schemas.openxmlformats.org/officeDocument/2006/relationships/hyperlink" Target="https://www.zhaw.ch/en/engineering/study/masters-degree-programme" TargetMode="External" Id="rId63" /><Relationship Type="http://schemas.openxmlformats.org/officeDocument/2006/relationships/hyperlink" Target="https://www.hslu.ch/en/lucerne-school-of-business/degree-programmes/master/applied-information-and-data-science/haeufig-gestellte-fragen/" TargetMode="External" Id="rId64" /><Relationship Type="http://schemas.openxmlformats.org/officeDocument/2006/relationships/hyperlink" Target="https://www.philnat.unibe.ch/studies/study_programs/master_s_in_computer_science/index_eng.html" TargetMode="External" Id="rId65" /><Relationship Type="http://schemas.openxmlformats.org/officeDocument/2006/relationships/hyperlink" Target="https://www.unibe.ch/studies/organizational_matters/renewal_of_semester_registration/fees/index_eng.html" TargetMode="External" Id="rId66" /><Relationship Type="http://schemas.openxmlformats.org/officeDocument/2006/relationships/hyperlink" Target="https://mcs.unibnf.ch/faq/" TargetMode="External" Id="rId67" /><Relationship Type="http://schemas.openxmlformats.org/officeDocument/2006/relationships/hyperlink" Target="https://www.unine.ch/admission/taxes-universitaires/" TargetMode="External" Id="rId68" /><Relationship Type="http://schemas.openxmlformats.org/officeDocument/2006/relationships/hyperlink" Target="https://www.unine.ch/admission/admission-master/delais-et-frais-dinscription-pour-les-masters/" TargetMode="External" Id="rId69" /><Relationship Type="http://schemas.openxmlformats.org/officeDocument/2006/relationships/hyperlink" Target="https://www.unifr.ch/studies/en/organisation/administrative-services-unifr-students/university-fees/" TargetMode="External" Id="rId70" /><Relationship Type="http://schemas.openxmlformats.org/officeDocument/2006/relationships/hyperlink" Target="https://www.unifr.ch/studies/en/admission/admission-master/admission-master-foreign.html" TargetMode="External" Id="rId71" /><Relationship Type="http://schemas.openxmlformats.org/officeDocument/2006/relationships/hyperlink" Target="https://dmi.unibas.ch/en/studies/computer-science/masters/" TargetMode="External" Id="rId72" /><Relationship Type="http://schemas.openxmlformats.org/officeDocument/2006/relationships/hyperlink" Target="https://www.unibas.ch/dam/jcr:28672e66-8562-4988-9e38-b1c944ed22bf/COMPUTER%20SCIENCE%202026.2026-02-05-09-53-32.pdf" TargetMode="External" Id="rId73" /><Relationship Type="http://schemas.openxmlformats.org/officeDocument/2006/relationships/hyperlink" Target="https://www.hslu.ch/en/lucerne-school-of-business/degree-programmes/master/applied-data-science-and-ai/" TargetMode="External" Id="rId74" /><Relationship Type="http://schemas.openxmlformats.org/officeDocument/2006/relationships/hyperlink" Target="https://www.usi.ch/en/education/master/informatics/application" TargetMode="External" Id="rId75" /><Relationship Type="http://schemas.openxmlformats.org/officeDocument/2006/relationships/hyperlink" Target="https://www.sem.admin.ch/sem/en/home/themen/arbeit/faq.html" TargetMode="External" Id="rId76" /><Relationship Type="http://schemas.openxmlformats.org/officeDocument/2006/relationships/hyperlink" Target="https://goldblum.ch/knowledgebase/residence-permit-in-switzerland-obtain/" TargetMode="External" Id="rId77" /><Relationship Type="http://schemas.openxmlformats.org/officeDocument/2006/relationships/hyperlink" Target="https://vshcherbakov.com/2025/06/26/Path-to-working-permit-for-Swiss-graduates/" TargetMode="External" Id="rId78" /><Relationship Type="http://schemas.openxmlformats.org/officeDocument/2006/relationships/hyperlink" Target="https://www.study-abroad.org/blog/ch-student-visa-guide/" TargetMode="External" Id="rId79" /><Relationship Type="http://schemas.openxmlformats.org/officeDocument/2006/relationships/hyperlink" Target="https://www.zhaw.ch/storage/sml/master/msc-bf-pie-information-for-international-students.pdf" TargetMode="External" Id="rId80" /><Relationship Type="http://schemas.openxmlformats.org/officeDocument/2006/relationships/hyperlink" Target="https://gradpilot.com/news/switzerland-student-visa-motivation-letter-canton-guide" TargetMode="External" Id="rId81" /><Relationship Type="http://schemas.openxmlformats.org/officeDocument/2006/relationships/hyperlink" Target="https://relofinder.ch/blog/swiss-c-permit-permanent-residence-2026-guide/" TargetMode="External" Id="rId82" /><Relationship Type="http://schemas.openxmlformats.org/officeDocument/2006/relationships/hyperlink" Target="https://www.richmondchambers.ch/post/swiss-c-permit-eligibility-required-years-of-residence-integration-expectations-and-fast-track-pa" TargetMode="External" Id="rId83" /><Relationship Type="http://schemas.openxmlformats.org/officeDocument/2006/relationships/hyperlink" Target="https://www.eda.admin.ch/countries/iran/en/home.html" TargetMode="External" Id="rId84" /><Relationship Type="http://schemas.openxmlformats.org/officeDocument/2006/relationships/hyperlink" Target="https://whatisthesalary.com/it-salaries/software-engineer-salary-in-switzerland/" TargetMode="External" Id="rId85" /><Relationship Type="http://schemas.openxmlformats.org/officeDocument/2006/relationships/hyperlink" Target="https://www.glassdoor.com/Salaries/z%C3%BCrich-junior-software-engineer-salary-SRCH_IL.0,6_IC3297851_KO7,31.htm" TargetMode="External" Id="rId86" /><Relationship Type="http://schemas.openxmlformats.org/officeDocument/2006/relationships/hyperlink" Target="https://upreer.ch/en/salaries/software-engineer-salary-zurich/" TargetMode="External" Id="rId87" /><Relationship Type="http://schemas.openxmlformats.org/officeDocument/2006/relationships/hyperlink" Target="https://www.msfinance.uzh.ch/en/studyinginzurich/accommodation.html" TargetMode="External" Id="rId88" /><Relationship Type="http://schemas.openxmlformats.org/officeDocument/2006/relationships/hyperlink" Target="https://www.iamexpat.ch/education/education-news/eth-zurich-makes-top-universities-world" TargetMode="External" Id="rId89" /><Relationship Type="http://schemas.openxmlformats.org/officeDocument/2006/relationships/hyperlink" Target="https://www.tagesanzeiger.ch/10-millionen-schweiz-resultate-der-svp-initiative-im-ticker-935664202454" TargetMode="External" Id="rId90" /><Relationship Type="http://schemas.openxmlformats.org/officeDocument/2006/relationships/hyperlink" Target="https://www.efd.admin.ch/de/entlastungspaket-27" TargetMode="External" Id="rId91" /><Relationship Type="http://schemas.openxmlformats.org/officeDocument/2006/relationships/hyperlink" Target="https://capiwell.ch/swiss-it-labour-market-2026-specialised-skills-slower-growth-and-new-openings-for-start-ups/" TargetMode="External" Id="rId92" /><Relationship Type="http://schemas.openxmlformats.org/officeDocument/2006/relationships/hyperlink" Target="https://www.xe.com/en-us/currencyconverter/convert/?Amount=1&amp;From=CHF&amp;To=USD" TargetMode="External" Id="rId93" /><Relationship Type="http://schemas.openxmlformats.org/officeDocument/2006/relationships/hyperlink" Target="https://students.leeds.ac.uk/visa-information-after-studies/doc/graduate-visas" TargetMode="External" Id="rId94" /><Relationship Type="http://schemas.openxmlformats.org/officeDocument/2006/relationships/hyperlink" Target="https://www.gov.uk/government/publications/statement-of-changes-to-the-immigration-rules-hc-584-3-september-2026" TargetMode="External" Id="rId95" /><Relationship Type="http://schemas.openxmlformats.org/officeDocument/2006/relationships/hyperlink" Target="https://withrowan.co.uk/guides/skilled-worker-software-engineers" TargetMode="External" Id="rId96" /><Relationship Type="http://schemas.openxmlformats.org/officeDocument/2006/relationships/hyperlink" Target="https://www.ukimmigration.law/earned-settlement-ilr-uk-plans/" TargetMode="External" Id="rId97" /><Relationship Type="http://schemas.openxmlformats.org/officeDocument/2006/relationships/hyperlink" Target="https://www.tees.ac.uk/postgraduate_courses/computing_&amp;_cyber_security/msc_computer_science.cfm" TargetMode="External" Id="rId98" /><Relationship Type="http://schemas.openxmlformats.org/officeDocument/2006/relationships/hyperlink" Target="https://www.northumbria.ac.uk/study-at-northumbria/courses/msc-advanced-computer-science-dtfava6/" TargetMode="External" Id="rId99" /><Relationship Type="http://schemas.openxmlformats.org/officeDocument/2006/relationships/hyperlink" Target="https://le.ac.uk/courses/advanced-computer-science-msc/2026" TargetMode="External" Id="rId100" /><Relationship Type="http://schemas.openxmlformats.org/officeDocument/2006/relationships/hyperlink" Target="https://www.essex.ac.uk/courses/pg00435/1/msc-advanced-computer-science" TargetMode="External" Id="rId101" /><Relationship Type="http://schemas.openxmlformats.org/officeDocument/2006/relationships/hyperlink" Target="https://www.york.ac.uk/study/postgraduate-taught/courses/msc-advanced-computer-science/" TargetMode="External" Id="rId102" /><Relationship Type="http://schemas.openxmlformats.org/officeDocument/2006/relationships/hyperlink" Target="https://www.chester.ac.uk/study/course-search/advanced-computer-science-msc/" TargetMode="External" Id="rId103" /><Relationship Type="http://schemas.openxmlformats.org/officeDocument/2006/relationships/hyperlink" Target="https://www.brunel.ac.uk/study/courses/artificial-intelligence-msc" TargetMode="External" Id="rId104" /><Relationship Type="http://schemas.openxmlformats.org/officeDocument/2006/relationships/hyperlink" Target="https://www.researchprofessionalnews.com/rr-news-uk-politics-2025-11-international-levy-to-be-flat-fee-of-925-per-student/" TargetMode="External" Id="rId105" /><Relationship Type="http://schemas.openxmlformats.org/officeDocument/2006/relationships/hyperlink" Target="https://livingintehran.com/2026/02/03/tehran-diplomatic-update-recent-embassy-reopenings-current-status-feb-2026/" TargetMode="External" Id="rId106" /><Relationship Type="http://schemas.openxmlformats.org/officeDocument/2006/relationships/hyperlink" Target="https://tu-dresden.de/tu-dresden/newsportal/news/qs-ranking-2027-tud-gehoert-erneut-zu-den-zehn-besten-universitaeten-deutschlands-und-baut-internationalen-erfolg-weiter-aus" TargetMode="External" Id="rId107" /><Relationship Type="http://schemas.openxmlformats.org/officeDocument/2006/relationships/hyperlink" Target="https://www.uni-stuttgart.de/en/university/news/all/QS-World-University-Rankings-2027-The-University-of-Stuttgart-is-recognized-for-its-strong-research-performance-and-commitment-to-sustainability/" TargetMode="External" Id="rId108" /><Relationship Type="http://schemas.openxmlformats.org/officeDocument/2006/relationships/hyperlink" Target="https://www.ncl.ac.uk/press/articles/latest/2026/06/qs2027/" TargetMode="External" Id="rId109" /><Relationship Type="http://schemas.openxmlformats.org/officeDocument/2006/relationships/hyperlink" Target="https://www.york.ac.uk/about/rankings/" TargetMode="External" Id="rId110" /><Relationship Type="http://schemas.openxmlformats.org/officeDocument/2006/relationships/hyperlink" Target="https://www.topuniversities.com/universities/university-leicester" TargetMode="External" Id="rId111" /><Relationship Type="http://schemas.openxmlformats.org/officeDocument/2006/relationships/hyperlink" Target="https://www.topuniversities.com/universities/essex-university" TargetMode="External" Id="rId112" /><Relationship Type="http://schemas.openxmlformats.org/officeDocument/2006/relationships/hyperlink" Target="https://www.topuniversities.com/universities/northumbria-university-newcastle" TargetMode="External" Id="rId113" /><Relationship Type="http://schemas.openxmlformats.org/officeDocument/2006/relationships/hyperlink" Target="https://students.brunel.ac.uk/campus-news/brunel-climbs-global-qs-rankings-after-strong-year-for-research-and-graduate-outcomes" TargetMode="External" Id="rId114" /><Relationship Type="http://schemas.openxmlformats.org/officeDocument/2006/relationships/hyperlink" Target="https://www.topuniversities.com/world-university-rankings" TargetMode="External" Id="rId115" /><Relationship Type="http://schemas.openxmlformats.org/officeDocument/2006/relationships/hyperlink" Target="https://arlettipartners.com/new-increase-in-the-dutch-minimum-hourly-wage-from-january-1st-2026/" TargetMode="External" Id="rId116" /><Relationship Type="http://schemas.openxmlformats.org/officeDocument/2006/relationships/hyperlink" Target="https://www.xe.com/" TargetMode="External" Id="rId117" /><Relationship Type="http://schemas.openxmlformats.org/officeDocument/2006/relationships/hyperlink" Target="https://www.weforum.org/stories/jobs-and-the-future-of-work/ai-has-already-added-1-3-million-new-jobs-according-to-linkedin-data/" TargetMode="External" Id="rId118" /><Relationship Type="http://schemas.openxmlformats.org/officeDocument/2006/relationships/hyperlink" Target="https://www.bitkom.org/Bitkom/Publikationen/Der-Arbeitsmarkt-fuer-IT-Fachkraefte" TargetMode="External" Id="rId119" /><Relationship Type="http://schemas.openxmlformats.org/officeDocument/2006/relationships/hyperlink" Target="https://www.isc2.org/research" TargetMode="External" Id="rId120" /><Relationship Type="http://schemas.openxmlformats.org/officeDocument/2006/relationships/hyperlink" Target="https://en.wikipedia.org/wiki/2022%E2%80%932026_video_game_industry_layoffs" TargetMode="External" Id="rId121" /><Relationship Type="http://schemas.openxmlformats.org/officeDocument/2006/relationships/hyperlink" Target="https://www.thevoiceofuser.com/everyone-knows-the-uxr-hiring-market-is-bad-how-bad-is-it-though/" TargetMode="External" Id="rId122" /><Relationship Type="http://schemas.openxmlformats.org/officeDocument/2006/relationships/hyperlink" Target="https://research.com/advice/are-too-many-students-choosing-data-science-oversaturation-competition-hiring-reality" TargetMode="External" Id="rId123" /><Relationship Type="http://schemas.openxmlformats.org/officeDocument/2006/relationships/hyperlink" Target="https://www.uni-saarland.de/en/study/programmes/master/cybersecurity.html" TargetMode="External" Id="rId124" /><Relationship Type="http://schemas.openxmlformats.org/officeDocument/2006/relationships/hyperlink" Target="https://www.uni-passau.de/en/msc-ai-eng" TargetMode="External" Id="rId125" /><Relationship Type="http://schemas.openxmlformats.org/officeDocument/2006/relationships/hyperlink" Target="https://colognegamelab.de/study-programs/post-graduate-programs/game-development-research-ma/faqs/" TargetMode="External" Id="rId126" /><Relationship Type="http://schemas.openxmlformats.org/officeDocument/2006/relationships/hyperlink" Target="https://www2.daad.de/deutschland/studienangebote/international-programmes/en/detail/4686/" TargetMode="External" Id="rId127" /><Relationship Type="http://schemas.openxmlformats.org/officeDocument/2006/relationships/hyperlink" Target="https://www.h-brs.de/en/inf/admission-application-master-autonomous-systems" TargetMode="External" Id="rId128" /><Relationship Type="http://schemas.openxmlformats.org/officeDocument/2006/relationships/hyperlink" Target="https://sc.informatik.rwth-aachen.de/en/studium/master/sse/" TargetMode="External" Id="rId129" /><Relationship Type="http://schemas.openxmlformats.org/officeDocument/2006/relationships/hyperlink" Target="https://uni-tuebingen.de/fakultaeten/mathematisch-naturwissenschaftliche-fakultaet/fachbereiche/informatik/studium/studierende/lehre-studienorganisation/studiengaenge/machine-learning/admission-and-application/" TargetMode="External" Id="rId130" /><Relationship Type="http://schemas.openxmlformats.org/officeDocument/2006/relationships/hyperlink" Target="https://www.tum.de/en/studies/degree-programs/detail/informatics-master-of-science-msc" TargetMode="External" Id="rId131" /><Relationship Type="http://schemas.openxmlformats.org/officeDocument/2006/relationships/hyperlink" Target="https://www.fau.eu/degree-program/autonomy-technologies-m-sc/" TargetMode="External" Id="rId132" /><Relationship Type="http://schemas.openxmlformats.org/officeDocument/2006/relationships/hyperlink" Target="https://www.utwente.nl/en/education/master/programmes/embedded-systems/finance/" TargetMode="External" Id="rId133" /><Relationship Type="http://schemas.openxmlformats.org/officeDocument/2006/relationships/hyperlink" Target="https://www.universiteitleiden.nl/en/education/study-programmes/master/computer-science/artificial-intelligence/admission-and-application/tuition-fees" TargetMode="External" Id="rId134" /><Relationship Type="http://schemas.openxmlformats.org/officeDocument/2006/relationships/hyperlink" Target="https://www.rug.nl/masters/artificial-intelligence/?lang=en" TargetMode="External" Id="rId135" /><Relationship Type="http://schemas.openxmlformats.org/officeDocument/2006/relationships/hyperlink" Target="https://www.uu.nl/en/masters/game-and-media-technology" TargetMode="External" Id="rId136" /><Relationship Type="http://schemas.openxmlformats.org/officeDocument/2006/relationships/hyperlink" Target="https://dub.uu.nl/en/news/dutch-universities-fall-global-qs-rankings" TargetMode="External" Id="rId137" /><Relationship Type="http://schemas.openxmlformats.org/officeDocument/2006/relationships/hyperlink" Target="https://www.gu.se/en/study-gothenburg/game-design-technology-masters-programme-n2gdt" TargetMode="External" Id="rId138" /><Relationship Type="http://schemas.openxmlformats.org/officeDocument/2006/relationships/hyperlink" Target="https://www.kth.se/en/studies/master/machine-learning" TargetMode="External" Id="rId139" /><Relationship Type="http://schemas.openxmlformats.org/officeDocument/2006/relationships/hyperlink" Target="https://www.umu.se/en/education/master/masters-programme-in-artificial-intelligence/" TargetMode="External" Id="rId140" /><Relationship Type="http://schemas.openxmlformats.org/officeDocument/2006/relationships/hyperlink" Target="https://www.study.eu/best-universities/sweden" TargetMode="External" Id="rId141" /><Relationship Type="http://schemas.openxmlformats.org/officeDocument/2006/relationships/hyperlink" Target="https://en.itu.dk/Programmes/MSc-Programmes/Applying-to-a-MSc-programme/Non-EU-EOES" TargetMode="External" Id="rId142" /><Relationship Type="http://schemas.openxmlformats.org/officeDocument/2006/relationships/hyperlink" Target="https://studyindenmark.dk/portal/aalborg-university-aau/copenhagen/cyber-security-msc-in-engineering" TargetMode="External" Id="rId143" /><Relationship Type="http://schemas.openxmlformats.org/officeDocument/2006/relationships/hyperlink" Target="https://www.dtu.dk/english/education/graduate/msc-programmes/autonomous-systems/prerequisites" TargetMode="External" Id="rId144" /><Relationship Type="http://schemas.openxmlformats.org/officeDocument/2006/relationships/hyperlink" Target="https://masters.au.dk/computerscience" TargetMode="External" Id="rId145" /><Relationship Type="http://schemas.openxmlformats.org/officeDocument/2006/relationships/hyperlink" Target="https://leapscholar.com/blog/top-universities-in-denmark/" TargetMode="External" Id="rId146" /><Relationship Type="http://schemas.openxmlformats.org/officeDocument/2006/relationships/hyperlink" Target="https://www.gold.ac.uk/pg/msc-computer-games-programming/" TargetMode="External" Id="rId147" /><Relationship Type="http://schemas.openxmlformats.org/officeDocument/2006/relationships/hyperlink" Target="https://www.royalholloway.ac.uk/studying-here/postgraduate/information-security/information-and-cyber-security/" TargetMode="External" Id="rId148" /><Relationship Type="http://schemas.openxmlformats.org/officeDocument/2006/relationships/hyperlink" Target="https://www.kent.ac.uk/courses/postgraduate/1225/cyber-security" TargetMode="External" Id="rId149" /><Relationship Type="http://schemas.openxmlformats.org/officeDocument/2006/relationships/hyperlink" Target="https://www.mmu.ac.uk/study/postgraduate/course/msc-cyber-security" TargetMode="External" Id="rId150" /><Relationship Type="http://schemas.openxmlformats.org/officeDocument/2006/relationships/hyperlink" Target="https://www.york.ac.uk/study/postgraduate-taught/courses/msc-human-centred-interactive-technologies/" TargetMode="External" Id="rId151" /><Relationship Type="http://schemas.openxmlformats.org/officeDocument/2006/relationships/hyperlink" Target="https://www.lancaster.ac.uk/study/postgraduate/postgraduate-courses/cyber-security-msc/2026/" TargetMode="External" Id="rId152" /><Relationship Type="http://schemas.openxmlformats.org/officeDocument/2006/relationships/hyperlink" Target="https://collegedunia.com/uk/university/862-nottingham-trent-university-nottingham/ranking" TargetMode="External" Id="rId153" /><Relationship Type="http://schemas.openxmlformats.org/officeDocument/2006/relationships/hyperlink" Target="https://www.fau.eu/studying/international-students/application-and-enrollment-for-international-applicants/tuition-fees-for-students-from-non-eu-states/" TargetMode="External" Id="rId154" /><Relationship Type="http://schemas.openxmlformats.org/officeDocument/2006/relationships/hyperlink" Target="https://www.uni-passau.de/en/study/news/news/no-tuition-fees-for-international-students-at-the-university-of-passau" TargetMode="External" Id="rId155" /><Relationship Type="http://schemas.openxmlformats.org/officeDocument/2006/relationships/hyperlink" Target="https://masters.au.dk/tuitionfees/current-tuition-fee-rates" TargetMode="External" Id="rId156" /><Relationship Type="http://schemas.openxmlformats.org/officeDocument/2006/relationships/hyperlink" Target="https://www.en.aau.dk/education/master/computer-science-it" TargetMode="External" Id="rId157" /><Relationship Type="http://schemas.openxmlformats.org/officeDocument/2006/relationships/hyperlink" Target="https://collegedunia.com/sweden/university/769-chalmers-university-of-technology-gothenburg/programs?stream_id=48&amp;degree_type=Master" TargetMode="External" Id="rId158" /><Relationship Type="http://schemas.openxmlformats.org/officeDocument/2006/relationships/hyperlink" Target="https://www.surrey.ac.uk/postgraduate/cyber-security-msc" TargetMode="External" Id="rId159" /><Relationship Type="http://schemas.openxmlformats.org/officeDocument/2006/relationships/hyperlink" Target="https://www.topuniversities.com/universities/newcastle-university/postgrad/msc-computer-game-engineering" TargetMode="External" Id="rId160" /><Relationship Type="http://schemas.openxmlformats.org/officeDocument/2006/relationships/hyperlink" Target="https://www.tue.nl/en/education/become-a-tue-student/tuition-fees" TargetMode="External" Id="rId161" /><Relationship Type="http://schemas.openxmlformats.org/officeDocument/2006/relationships/hyperlink" Target="https://wanaen.com/ielts-testing-to-be-suspended-in-iran/" TargetMode="External" Id="rId162" /><Relationship Type="http://schemas.openxmlformats.org/officeDocument/2006/relationships/hyperlink" Target="https://www.jahantahsil.com/%D8%A2%D8%B2%D9%85%D9%88%D9%86-%D8%A2%DB%8C%D9%84%D8%AA%D8%B3-ielts-%DA%86%DB%8C%D8%B3%D8%AA-%D9%88-%DA%A9%D8%AC%D8%A7-%D8%A8%D8%B1%DA%AF%D8%B2%D8%A7%D8%B1-%D9%85%DB%8C%D8%B4%D9%88%D8%AF/" TargetMode="External" Id="rId163" /><Relationship Type="http://schemas.openxmlformats.org/officeDocument/2006/relationships/hyperlink" Target="https://zandienglish.ir/toefl-in-iran/" TargetMode="External" Id="rId164" /><Relationship Type="http://schemas.openxmlformats.org/officeDocument/2006/relationships/hyperlink" Target="https://www.zoomit.ir/iran-news/464136-exit-permit-bond-sakha-1405/" TargetMode="External" Id="rId165" /><Relationship Type="http://schemas.openxmlformats.org/officeDocument/2006/relationships/hyperlink" Target="https://www.umu.se/en/education/application-and-admission/key-dates-and-deadlines/" TargetMode="External" Id="rId166" /><Relationship Type="http://schemas.openxmlformats.org/officeDocument/2006/relationships/hyperlink" Target="https://www.uni-stuttgart.de/en/study/study-programs/Computer-Science-M.Sc.-00001/" TargetMode="External" Id="rId167" /><Relationship Type="http://schemas.openxmlformats.org/officeDocument/2006/relationships/hyperlink" Target="https://www.uni-passau.de/en/apply/apply-with-intl-qualifications" TargetMode="External" Id="rId168" /><Relationship Type="http://schemas.openxmlformats.org/officeDocument/2006/relationships/hyperlink" Target="https://www.en.aau.dk/education/apply/master/how-and-when-to-apply" TargetMode="External" Id="rId169" /><Relationship Type="http://schemas.openxmlformats.org/officeDocument/2006/relationships/hyperlink" Target="https://www.sdu.dk/en/uddannelse/kandidat/datalogi" TargetMode="External" Id="rId170" /><Relationship Type="http://schemas.openxmlformats.org/officeDocument/2006/relationships/hyperlink" Target="https://www.ru.nl/en/education/application-and-admission/application-procedure-masters/deadlines" TargetMode="External" Id="rId171" /><Relationship Type="http://schemas.openxmlformats.org/officeDocument/2006/relationships/hyperlink" Target="https://collegedunia.com/netherlands/university/749-university-of-twente-enschede/admission" TargetMode="External" Id="rId1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46" customWidth="1" min="3" max="3"/>
    <col width="42" customWidth="1" min="4" max="4"/>
    <col width="46" customWidth="1" min="5" max="5"/>
    <col width="42" customWidth="1" min="6" max="6"/>
    <col width="42" customWidth="1" min="7" max="7"/>
    <col width="46" customWidth="1" min="8" max="8"/>
    <col width="34" customWidth="1" min="9" max="9"/>
  </cols>
  <sheetData>
    <row r="1" ht="34" customHeight="1">
      <c r="A1" s="1" t="inlineStr">
        <is>
          <t>ردیف</t>
        </is>
      </c>
      <c r="B1" s="1" t="inlineStr">
        <is>
          <t>معیار</t>
        </is>
      </c>
      <c r="C1" s="1" t="inlineStr">
        <is>
          <t>آلمان 🇩🇪</t>
        </is>
      </c>
      <c r="D1" s="1" t="inlineStr">
        <is>
          <t>هلند 🇳🇱</t>
        </is>
      </c>
      <c r="E1" s="1" t="inlineStr">
        <is>
          <t>سوئد 🇸🇪</t>
        </is>
      </c>
      <c r="F1" s="1" t="inlineStr">
        <is>
          <t>دانمارک 🇩🇰</t>
        </is>
      </c>
      <c r="G1" s="1" t="inlineStr">
        <is>
          <t>سوئیس 🇨🇭</t>
        </is>
      </c>
      <c r="H1" s="1" t="inlineStr">
        <is>
          <t>انگلستان (England) 🇬🇧</t>
        </is>
      </c>
      <c r="I1" s="1" t="inlineStr">
        <is>
          <t>منبع اصلی</t>
        </is>
      </c>
    </row>
    <row r="2">
      <c r="A2" s="2" t="inlineStr">
        <is>
          <t>۱</t>
        </is>
      </c>
      <c r="B2" s="3" t="inlineStr">
        <is>
          <t>برنامه‌های هدف واقع‌بینانه (Safe / Target / Reach) — با معدل ≈ ۱۵.۷ از ۲۰ و IELTS ≈ 7</t>
        </is>
      </c>
      <c r="C2" s="4" t="inlineStr">
        <is>
          <t>Stuttgart (اشتوتگارت) – MSc Computer Science (انگلیسی، بدون NC، IELTS 7) → Target
FAU (Erlangen/Nürnberg) – MSc Artificial Intelligence (انگلیسی، B2؛ ⚠️ از تابستان ۲۰۲۷ شهریهٔ €4,000/ترم برای غیر-EU) → Target
TU Darmstadt (دارمشتات) – MSc Computer Science (انگلیسی، IELTS 7) → Target/Reach
TU Dresden (درسدن) – MSc Computer Science (انگلیسی، IELTS 7، ارزیابی استعداد) → Reach
Safe: RPTU Kaiserslautern، Passau، Saarland (Saarbrücken)، TU Chemnitz، OVGU Magdeburg</t>
        </is>
      </c>
      <c r="D2" s="4" t="inlineStr">
        <is>
          <t>Twente (Enschede) – MSc Computer Science (حداقل رسمی برای مدرک ایرانی: ۱۵/۲۰) → Target
Radboud (Nijmegen) – MSc Computing Science → Target
(هر دو روی واحدهای ریاضی/الگوریتم/CS نظری در ریزنمرات حساس‌اند)</t>
        </is>
      </c>
      <c r="E2" s="4" t="inlineStr">
        <is>
          <t>Linköping (لینشوپینگ) – MSc Computer Science (گزینش بر اساس گروه معدل) → Target
BTH – MSc Software Engineering 120 واحدی، Karlskrona (≥ ۹۰ واحد CS/SE در کارشناسی) → Safe/Target
Halmstad (هالمستاد) – MSc Information Technology 120 واحدی → Safe
⚠️ برنامه ۶۰ واحدی BTH از راه دور/نیمه‌وقت است و برای ویزا کاربرد ندارد</t>
        </is>
      </c>
      <c r="F2" s="4" t="inlineStr">
        <is>
          <t>AAU (Aalborg) – MSc Computer Science (IT) (انگلیسی؛ نه برنامه Computer Science دانمارکی‌زبان) → Target
SDU (Odense) – MSc Computer Science → Target
(AAU رسماً حداقل ۱۵۰ ECTS دروس مرتبط با CS می‌خواهد و از ۲۰۲۷ سابقهٔ کار را هم در رتبه‌بندی حساب می‌کند؛ SDU هم واحدهای CS ریزنمرات را ارزیابی می‌کند)</t>
        </is>
      </c>
      <c r="G2" s="4" t="inlineStr">
        <is>
          <t>USI (Lugano) – MSc Informatics / MSc Artificial Intelligence / MSc Software &amp; Data Engineering (انگلیسی؛ ورود با B2) → Target
HSLU (Lucerne) – MSc Applied Data Science and AI (انگلیسی؛ C1 یا B2 مشروط؛ بدون آلمانی؛ مهلت ویزایی‌ها ۱ آوریل) → Safe/Target
Neuchâtel یا Fribourg (Bern همان مدرک با شهریهٔ ۳ برابر) – Swiss Joint MSc Computer Science (90 ECTS، انگلیسی، بدون آزمون زبان) → Target
ZHAW (Zürich/Winterthur) – MSE Computer Science / Data Science / Cyber Security (فقط با معدل A/B کارشناسی) → Target/Reach
ETH Zürich، EPFL، UZH، Basel → Reach (با معدل ۱۵.۷۷ احتمال پذیرش کم)</t>
        </is>
      </c>
      <c r="H2" s="4" t="inlineStr">
        <is>
          <t>Teesside (Middlesbrough) – MSc Computer Science (2:2، IELTS 6.0) → Safe
Northumbria (Newcastle) – MSc Advanced Computer Science (2:2 در رشته کامپیوتری) → Safe
Essex (Colchester) – MSc Advanced Computer Science (2:2؛ Computer Engineering پذیرفته می‌شود) → Safe/Target
Brunel (London) – MSc AI / Data Science (2:2) → Safe/Target
Leicester (لستر) – MSc Advanced Computer Science (2:1؛ سابقه کار مرتبط جبران می‌کند) → Target
York (یورک) – MSc Advanced Computer Science (2:2 با پیش‌زمینه قوی، IELTS 6.5) → Reach
فقط انگلستان — Strathclyde (اسکاتلند) و Swansea (ولز) حذف شدند</t>
        </is>
      </c>
      <c r="I2" s="5" t="inlineStr">
        <is>
          <t>سایت برنامه‌ها؛ utwente.nl (Iran 15/20)؛ bth.se؛ «۷۵٪ قبولی» جدول اول حذف شد — چنین آماری وجود ندارد.
➜ فهرست کامل ≈۱۰۰ برنامه در ۸ حوزه (AI، امنیت، داده، نرم‌افزار، ابری، نهفته/رباتیک، HCI، بازی) با شهریه و شرط ورود: شیت «برنامه‌ها»؛ مقایسهٔ بازار کار حوزه‌ها: شیت «حوزه‌ها و بازار کار»</t>
        </is>
      </c>
    </row>
    <row r="3">
      <c r="A3" s="2" t="inlineStr">
        <is>
          <t>۲</t>
        </is>
      </c>
      <c r="B3" s="3" t="inlineStr">
        <is>
          <t>رتبه QS World University Rankings 2027 (ژوئن ۲۰۲۶)</t>
        </is>
      </c>
      <c r="C3" s="4" t="inlineStr">
        <is>
          <t>TU Dresden 185 · FAU 218 · TU Darmstadt 250 · Stuttgart 318</t>
        </is>
      </c>
      <c r="D3" s="4" t="inlineStr">
        <is>
          <t>Twente =223 · Radboud =283</t>
        </is>
      </c>
      <c r="E3" s="4" t="inlineStr">
        <is>
          <t>Linköping 308 · BTH و Halmstad در QS رتبه ندارند</t>
        </is>
      </c>
      <c r="F3" s="4" t="inlineStr">
        <is>
          <t>SDU =283 · Aalborg =329</t>
        </is>
      </c>
      <c r="G3" s="4" t="inlineStr">
        <is>
          <t>ETH Zürich =8 · EPFL =22 · UZH =98 · Basel =150 · Bern =191 · USI =456 · Fribourg =670 · ZHAW 851–900 · HSLU رتبه ندارد</t>
        </is>
      </c>
      <c r="H3" s="4" t="inlineStr">
        <is>
          <t>Newcastle 149 · York =158 · Leicester =314 · Brunel 353 · Essex =438 · Northumbria =528 · Teesside در فهرست اصلی QS نیست (THE 601–800)</t>
        </is>
      </c>
      <c r="I3" s="5" t="inlineStr">
        <is>
          <t>topuniversities.com (QS WUR 2027)؛ utwente.nl/rankings</t>
        </is>
      </c>
    </row>
    <row r="4">
      <c r="A4" s="2" t="inlineStr">
        <is>
          <t>۳</t>
        </is>
      </c>
      <c r="B4" s="3" t="inlineStr">
        <is>
          <t>طول دوره ارشد</t>
        </is>
      </c>
      <c r="C4" s="4" t="inlineStr">
        <is>
          <t>۲ سال (120 ECTS)</t>
        </is>
      </c>
      <c r="D4" s="4" t="inlineStr">
        <is>
          <t>۲ سال (120 ECTS)</t>
        </is>
      </c>
      <c r="E4" s="4" t="inlineStr">
        <is>
          <t>۲ سال (120 ECTS) — گزینه یک‌ساله حضوری معتبر ندارد</t>
        </is>
      </c>
      <c r="F4" s="4" t="inlineStr">
        <is>
          <t>۲ سال (120 ECTS)</t>
        </is>
      </c>
      <c r="G4" s="4" t="inlineStr">
        <is>
          <t>۱.۵ سال (90 ECTS: Neuchâtel/Fribourg/Bern/UZH/Basel/ZHAW) یا ۲ سال (120 ECTS: ETH، EPFL، USI، HSLU)</t>
        </is>
      </c>
      <c r="H4" s="4" t="inlineStr">
        <is>
          <t>۱ سال (۱۲ ماه)</t>
        </is>
      </c>
      <c r="I4" s="5" t="inlineStr">
        <is>
          <t>سایت برنامه‌ها</t>
        </is>
      </c>
    </row>
    <row r="5">
      <c r="A5" s="2" t="inlineStr">
        <is>
          <t>۴</t>
        </is>
      </c>
      <c r="B5" s="3" t="inlineStr">
        <is>
          <t>شهریه سالانه رسمی، بدون بورس (سال تحصیلی 2026/27، ارز محلی)</t>
        </is>
      </c>
      <c r="C5" s="4" t="inlineStr">
        <is>
          <t>€0 + سهم ترمی €150–400 (≈ €300–800 در سال)
Stuttgart: €1,500 در ترم = €3,000 در سال (بادن-وورتمبرگ)
⚠️ FAU: از ترم تابستان ۲۰۲۷ برای ورودی‌های جدید غیر-EU €4,000 در ترم (AI/CS) = €8,000 در سال (BayHIG §13)؛ Passau فعلاً بدون شهریه</t>
        </is>
      </c>
      <c r="D5" s="4" t="inlineStr">
        <is>
          <t>Twente: €21,700
Radboud: €19,714 (2026/27، رسمی)</t>
        </is>
      </c>
      <c r="E5" s="4" t="inlineStr">
        <is>
          <t>Linköping: SEK 166,000
Halmstad: ≈ SEK 151,000
BTH: SEK 140,000 (70,000 در ترم)</t>
        </is>
      </c>
      <c r="F5" s="4" t="inlineStr">
        <is>
          <t>AAU: ≈ €14,910 (2025/26: 7,455 در ترم؛ نرخ ۲۰۲۶ هنوز روی سایت AAU نیست)
SDU: €17,300 (نرخ رسمی برای ورودی سپتامبر ۲۰۲۶ به بعد — رقم قدیمی €13,900 دیگر معتبر نیست)</t>
        </is>
      </c>
      <c r="G5" s="4" t="inlineStr">
        <is>
          <t>به ازای هر ترم برای غیرمقیم سوئیس (۲ ترم در سال):
USI: CHF 4,000 (= CHF 8,000/سال)
ETH: CHF 2,190 + ≈ 74 (≈ CHF 4,530/سال) · EPFL: CHF 2,240 (≈ CHF 4,480/سال)
HSLU: CHF 1,300 + ≈ 275 (≈ CHF 3,150/سال) · ZHAW: CHF 1,220 + 60 (≈ CHF 2,560/سال)
Neuchâtel: CHF 790 (CHF 1,580/سال) · Basel: CHF 850 (CHF 1,700/سال) · UZH: CHF 879 (≈ CHF 1,760/سال) · Fribourg: CHF 870 + 115 = 985 (CHF 1,970/سال)
⚠️ Bern از پاییز ۲۰۲۶: CHF 850 + 1,700 اضافهٔ غیرسوئیسی‌ها + 59 = CHF 2,609 (≈ CHF 5,200/سال) — همان مدرک مشترک را از Neuchâtel/Fribourg بگیرید
⚠️ ETH/EPFL: افزایش دوباره (تا ≈ CHF 5,840/ترم برای خارجی‌ها) در بستهٔ صرفه‌جویی EP27 مطرح است؛ تصمیم شورای ETH برای ۲۰۲۷ هنوز اعلام نشده</t>
        </is>
      </c>
      <c r="H5" s="4" t="inlineStr">
        <is>
          <t>Teesside: £17,000
Northumbria: £21,500
Leicester: £24,250
Essex: £24,675
Brunel: £24,795
York: £32,900 (Newcastle ≈ £31,700)
کف قیمت انگلستان: Chester £15,500 (بدون رتبه). بورس‌ها (مثلاً Brunel تا £6,000) جدا حساب شوند، تضمینی نیستند</t>
        </is>
      </c>
      <c r="I5" s="5" t="inlineStr">
        <is>
          <t>utwente.nl؛ liu.se؛ bth.se؛ sdu.dk؛ studyindenmark.dk؛ ethz.ch؛ epfl.ch؛ uzh.ch؛ usi.ch؛ swissuniversities.ch؛ brunel.ac.uk؛ tees.ac.uk؛ northumbria.ac.uk؛ le.ac.uk؛ essex.ac.uk؛ york.ac.uk</t>
        </is>
      </c>
    </row>
    <row r="6">
      <c r="A6" s="2" t="inlineStr">
        <is>
          <t>۵</t>
        </is>
      </c>
      <c r="B6" s="3" t="inlineStr">
        <is>
          <t>شهریه سالانه به دلار</t>
        </is>
      </c>
      <c r="C6" s="4" t="inlineStr">
        <is>
          <t>$350–900 (Stuttgart ≈ $3,400؛ FAU از ۲۰۲۷ ≈ $9,300)</t>
        </is>
      </c>
      <c r="D6" s="4" t="inlineStr">
        <is>
          <t>$22,500–24,700</t>
        </is>
      </c>
      <c r="E6" s="4" t="inlineStr">
        <is>
          <t>$14,100–16,800</t>
        </is>
      </c>
      <c r="F6" s="4" t="inlineStr">
        <is>
          <t>$17,000–19,700</t>
        </is>
      </c>
      <c r="G6" s="4" t="inlineStr">
        <is>
          <t>$1,900–2,400 (Neuchâtel/Basel/UZH/Fribourg) · ≈ $3,100–3,800 (ZHAW/HSLU) · ≈ $5,400–5,500 (ETH/EPFL) · ≈ $6,300 (Bern، از پاییز ۲۰۲۶) · $9,700 (USI) — ارزان‌ترین بعد از آلمان</t>
        </is>
      </c>
      <c r="H6" s="4" t="inlineStr">
        <is>
          <t>$22,500–43,600 (Teesside $22,500 · Northumbria $28,500 · Leicester/Essex/Brunel ≈ $32,100–32,900 · York $43,600)</t>
        </is>
      </c>
      <c r="I6" s="5" t="inlineStr">
        <is>
          <t>نرخ تبدیل ۲۷ سپتامبر ۲۰۲۶: €1 = $1.14 · £1 = $1.325 · $1 ≈ SEK 9.9 · $1 ≈ DKK 6.55 · CHF 1 = $1.21</t>
        </is>
      </c>
    </row>
    <row r="7">
      <c r="A7" s="2" t="inlineStr">
        <is>
          <t>۵ب</t>
        </is>
      </c>
      <c r="B7" s="3" t="inlineStr">
        <is>
          <t>بورس / تخفیف شهریهٔ واقعاً در دسترسِ شما (غیر-EU، معدل ۱۵.۷۷ ≈ ۷۹٪، ورودی ۲۰۲۷)</t>
        </is>
      </c>
      <c r="C7" s="4" t="inlineStr">
        <is>
          <t>شهریه‌ای نیست که تخفیف بخورد؛ بورس ارشد هم عملاً نیست:
• Deutschlandstipendium: €300/ماه، بعد از ثبت‌نام، ≈ ۱–۳٪ دانشجویان
• DAAD برای ارشد معمولی CS بورس ندارد (فقط فهرست توسعه‌محور EPOS)
• Stuttgart (BW): قانون اجازهٔ معافیت حداکثر ۵٪ «استعدادهای ویژه» از €1,500/ترم را می‌دهد — سالانه اعلام می‌شود؛ FAU هنوز طرح معافیت برای شهریهٔ جدید نداده
اثر روی هزینهٔ شما: ≈ صفر (از قبل ارزان‌ترین است)</t>
        </is>
      </c>
      <c r="D7" s="4" t="inlineStr">
        <is>
          <t>• NL Scholarship (سابقاً Holland): €5,000 یک‌بار در سال اول، از طریق دانشگاه‌های عضو؛ مهلت ۱ فوریه یا ۱ می (بسته به دانشگاه) — با معدل شما شدنی‌ترین
• UTS Twente: €3,000–22,000/سال فقط برای «بهترین‌ها» (۱۵ اکتبر – ۱ آوریل) → Reach
• Radboud Scholarship Programme: شهریه تا سطح EU (≈ €2,600) + ویزا/بیمه؛ ۳۱ ژانویه؛ بسیار رقابتی → Reach
• TU/e ALSP، Utrecht/Leiden/UvA Excellence: ۱۰٪ بالای کلاس → نه
اثر: حداکثر −€5k از $75–90k</t>
        </is>
      </c>
      <c r="E7" s="4" t="inlineStr">
        <is>
          <t>قوی‌ترین کشور جدول، ولی درهای اصلی برای معدل ۷۹٪ نیمه‌باز است:
• LiU: معمولاً ۵۰٪ شهریه، فقط اگر LiU اولویت ۱ باشد؛ ⚠️ از ۲۰۲۶ فقط GPA ≥ 3.5/4 یا «first/high second class» — معدل شما (≈ 3.1/4) احتمالاً زیر خط
• Chalmers IPOET ۷۵٪ (≈ ۳۵ بورس؛ فرم جدا تا ۱۵ ژانویه): حداقل معدل ۸۰٪ — شما ۷۸.۹٪ = دقیقاً زیر خط
• KTH Scholarship: شهریهٔ کامل، چند ده نفر، ۱ دسامبر – ۱۵ ژانویه → Reach
• Halmstad ۲۵٪/۵۰٪ (پنجرهٔ ≈ ۹–۲۵ فوریه) و MDU تا ۱۰۰٪ (اولویت ۱؛ معدود) — واقع‌بینانه‌ترین‌ها برای شما
• ⚠️ بورس دولتی SI: ایران جزو ۳۴ کشور واجد شرایط نیست
اثر: با ۵۰٪ در Halmstad/MDU کل دوره از $54–65k به ≈ $40–48k می‌رسد — نزدیک به انگلستان</t>
        </is>
      </c>
      <c r="F7" s="4" t="inlineStr">
        <is>
          <t>Danish Government Scholarship = معافیت شهریه (+ گاهی کمک‌هزینه) که خودِ دانشگاه از سهمیهٔ دولتی می‌دهد؛ فرم جدا ندارد — همهٔ غیر-EUها خودکار بررسی می‌شوند:
• AAU: ≈ ۱۵ بورس/سال = معافیت کامل + DKK 11,225/ماه (۲۰۲۶)
• SDU: فقط بعضی ارشدهای مهندسی، معافیت کامل، معدود
• ITU/DTU/Aarhus: تعداد کم، رقابتی
شانس واقعی با معدل ۷۹٪: پایین؛ روی آن برنامه نریزید (خود AAU هم همین را می‌گوید)
اثر روی برنامه‌ریزی: صفر مگر برنده شوید</t>
        </is>
      </c>
      <c r="G7" s="4" t="inlineStr">
        <is>
          <t>• ETH Excellence (ESOP): معافیت + CHF 12,000/ترم؛ ≈ ۶۰ بورس؛ فقط ۱۰٪ بالای کلاس؛ همراه اپلای ۱–۳۰ نوامبر → با معدل شما نه
• EPFL Excellence Fellowship: ≈ CHF 16,000/سال؛ درصد بالای کلاس → نه
• USI: ۶۰ بورس یک‌بارهٔ CHF 4,000 (= نصف شهریهٔ سال اول) برای معدل ≥ ۸۰/۱۰۰ — شما ۷۸.۹ → مرزی؛ + ۲۰ بورس سال دوم برای بهترینِ هر برنامه
• Neuchâtel/Fribourg/Bern/Basel/UZH/ZHAW/HSLU: بورس ارشد برای خارجی‌ها ندارند (کمک کانتونی فقط برای مقیم‌ها)
• بورس دولت سوئیس (ESKAS): فقط دکترا/پژوهش
اثر: ≈ صفر (مسئلهٔ سوئیس هزینهٔ زندگی است، نه شهریه)</t>
        </is>
      </c>
      <c r="H7" s="4" t="inlineStr">
        <is>
          <t>تخفیف‌های خودکار دانشگاهی (بدون فرم) — همین‌ها واقعی‌اند:
• Essex: جدول کشوری؛ ایران با ≥ ۱۴/۲۰ → £4,500 تخفیف شهریه (شما واجد شرایط؛ جدول ۲۰۲۵–۲۶ — نسخهٔ ۲۰۲۶–۲۷ را چک کنید)
• Teesside Global Excellence: £2,000 (صلاحدیدی؛ پیشنهاد تا ۳۰ آوریل)
• Brunel VC Award: £6,000 فقط با معادل 2:1 (+ ودیعهٔ £5,000) — برای ایران معمولاً ≥ ۱۶/۲۰؛ برای شما مرزی، از پذیرش بپرسید
• Northumbria £3,000: فقط فهرست کشوری/ادامه‌تحصیلی‌های داخل UK — ایران نه
• Leicester/York: بورس‌های بین‌المللی محدود و رقابتی
• ❌ Chevening: ۲ سال کار *بعد از* مدرک + تعهد بازگشت ۲ ساله — با فارغ‌التحصیلی ۲۰۲۶ و هدف مهاجرت نمی‌خواند · ❌ GREAT: ایران در فهرست نیست · ❌ Commonwealth
اثر: Essex −$6k، Teesside −$2.6k از $38–65k</t>
        </is>
      </c>
      <c r="I7" s="5" t="inlineStr">
        <is>
          <t>liu.se (Scholarships؛ شرط جدید ۲۰۲۶)؛ chalmers.se (IPOET ≥ ۸۰٪)؛ hh.se؛ mdu.se؛ si.se (۳۴ کشور)؛ NL Scholarship (Nuffic/studyinnl)؛ utwente.nl؛ ru.nl؛ en.aau.dk (Finance and fees: ≈ ۱۵ بورس، DKK 11,225/ماه)؛ sdu.dk؛ ethz.ch (ESOP)؛ epfl.ch؛ usi.ch / Fondazione per le Facoltà di Lugano؛ essex.ac.uk؛ tees.ac.uk؛ brunel.ac.uk؛ northumbria.ac.uk؛ chevening.org (Eligibility)؛ deutschlandstipendium.de — ⚠️ مبالغ چرخهٔ ۲۰۲۶/۲۷؛ برای ۲۰۲۷/۲۸ موقع اپلای دوباره ببینید. این ردیف امتیاز ردیف ۲۸ را عوض نمی‌کند (امتیازها با قیمت کامل حساب شده‌اند)</t>
        </is>
      </c>
    </row>
    <row r="8">
      <c r="A8" s="2" t="inlineStr">
        <is>
          <t>۶</t>
        </is>
      </c>
      <c r="B8" s="3" t="inlineStr">
        <is>
          <t>هزینه زندگی ماهانه واقعی دانشجو (و حداقل قانونی ویزا ۲۰۲۶)</t>
        </is>
      </c>
      <c r="C8" s="4" t="inlineStr">
        <is>
          <t>€950–1,250 (Dresden/Erlangen ارزان‌تر؛ Stuttgart/Darmstadt گران‌تر)
حداقل حساب مسدود: €992/ماه</t>
        </is>
      </c>
      <c r="D8" s="4" t="inlineStr">
        <is>
          <t>€1,100–1,500 در Enschede/Nijmegen
حداقل IND: €1,130.77/ماه</t>
        </is>
      </c>
      <c r="E8" s="4" t="inlineStr">
        <is>
          <t>SEK 10,700–13,000 (≈ €950–1,150)
حداقل Migrationsverket: SEK 10,656/ماه</t>
        </is>
      </c>
      <c r="F8" s="4" t="inlineStr">
        <is>
          <t>DKK 8,000–10,000 (≈ €1,070–1,340) در Aalborg/Odense
حداقل SIRI: DKK 7,426/ماه</t>
        </is>
      </c>
      <c r="G8" s="4" t="inlineStr">
        <is>
          <t>Zürich: CHF 1,900–2,500 (≈ $2,300–3,000؛ اتاق WOKO CHF 500–900، اتاق خصوصی 800–1,200) · Lausanne: CHF 1,700–2,200
Bern/Basel/Lucerne: CHF 1,550–2,100 · Lugano/Fribourg/Neuchâtel: CHF 1,350–1,800
حداقل رسمی: CHF 21,000 در سال (Basel: 24,000)؛ کانتون زوریخ فقط حساب بانک مستقر در سوئیس به نام خودتان یا ضامن مقیم سوئیس را می‌پذیرد</t>
        </is>
      </c>
      <c r="H8" s="4" t="inlineStr">
        <is>
          <t>شمال انگلستان (Middlesbrough/Newcastle): £950–1,250
Leicester/Colchester/York: £1,000–1,350
London (Brunel): £1,400–1,800
حداقل ویزا: £1,171 / £1,529 در ماه (× ۹)؛ از ۳۰ نوامبر ۲۰۲۶: £1,203 / £1,570</t>
        </is>
      </c>
      <c r="I8" s="5" t="inlineStr">
        <is>
          <t>make-it-in-germany.com؛ ind.nl؛ migrationsverket.se؛ nyidanmark.dk؛ sem.admin.ch؛ gov.uk (HC 584)</t>
        </is>
      </c>
    </row>
    <row r="9">
      <c r="A9" s="2" t="inlineStr">
        <is>
          <t>۷</t>
        </is>
      </c>
      <c r="B9" s="3" t="inlineStr">
        <is>
          <t>هزینه سال اول = شهریه + ۱۲ ماه زندگی (دلار)</t>
        </is>
      </c>
      <c r="C9" s="4" t="inlineStr">
        <is>
          <t>$13,000–18,000 (Stuttgart تا $20,500؛ FAU از ۲۰۲۷ تا ≈ $26,000)</t>
        </is>
      </c>
      <c r="D9" s="4" t="inlineStr">
        <is>
          <t>$37,500–45,000</t>
        </is>
      </c>
      <c r="E9" s="4" t="inlineStr">
        <is>
          <t>$27,000–32,500</t>
        </is>
      </c>
      <c r="F9" s="4" t="inlineStr">
        <is>
          <t>$31,500–38,000</t>
        </is>
      </c>
      <c r="G9" s="4" t="inlineStr">
        <is>
          <t>$23,000–42,000 (Neuchâtel/Fribourg $23–31k · Lucerne $26–32k · Bern $27–35k · Lugano/Lausanne $30–37k · Zürich $30–42k)</t>
        </is>
      </c>
      <c r="H9" s="4" t="inlineStr">
        <is>
          <t>$38,000–65,000 (Teesside $38–42k · Northumbria $44–48k · Leicester/Essex $48–54k · Brunel/London $55–61k · York $60–65k)</t>
        </is>
      </c>
      <c r="I9" s="5" t="inlineStr">
        <is>
          <t>محاسبه از ردیف‌های ۴ و ۶؛ بدون بلیت، ویزا، بیمه، ودیعه (۱۰–۱۵٪ اضافه کنید)</t>
        </is>
      </c>
    </row>
    <row r="10">
      <c r="A10" s="2" t="inlineStr">
        <is>
          <t>۸</t>
        </is>
      </c>
      <c r="B10" s="3" t="inlineStr">
        <is>
          <t>هزینه کل تا فارغ‌التحصیلی (شهریه × سال‌ها + زندگی) — مهم‌ترین عدد مالی</t>
        </is>
      </c>
      <c r="C10" s="4" t="inlineStr">
        <is>
          <t>$27,000–36,000 (۲ سال؛ Stuttgart تا $41,000؛ FAU از ۲۰۲۷ تا ≈ $53,000) — ارزان‌ترین</t>
        </is>
      </c>
      <c r="D10" s="4" t="inlineStr">
        <is>
          <t>$75,000–90,000 (۲ سال) — گران‌ترین</t>
        </is>
      </c>
      <c r="E10" s="4" t="inlineStr">
        <is>
          <t>$54,000–65,000 (۲ سال)</t>
        </is>
      </c>
      <c r="F10" s="4" t="inlineStr">
        <is>
          <t>$63,000–76,000 (۲ سال)</t>
        </is>
      </c>
      <c r="G10" s="4" t="inlineStr">
        <is>
          <t>$35,000–84,000 (Neuchâtel/Fribourg ۱.۵ سال $35–47k · Bern $39–51k · UZH $45–58k · HSLU $53–64k · USI/EPFL $60–75k · ETH $66–84k) — بعد از هلند گران‌ترین؛ شهریه ناچیز است، هزینهٔ زندگی همه‌چیز را تعیین می‌کند</t>
        </is>
      </c>
      <c r="H10" s="4" t="inlineStr">
        <is>
          <t>$38,000–65,000 (۱ سال)</t>
        </is>
      </c>
      <c r="I10" s="5" t="inlineStr">
        <is>
          <t>محاسبه؛ جدول اول فقط سال اول را مقایسه کرده بود</t>
        </is>
      </c>
    </row>
    <row r="11">
      <c r="A11" s="2" t="inlineStr">
        <is>
          <t>۹</t>
        </is>
      </c>
      <c r="B11" s="3" t="inlineStr">
        <is>
          <t>سازگاری با بودجه $32,000 در سال</t>
        </is>
      </c>
      <c r="C11" s="4" t="inlineStr">
        <is>
          <t>✅ کاملاً (حتی Stuttgart)</t>
        </is>
      </c>
      <c r="D11" s="4" t="inlineStr">
        <is>
          <t>❌ کسری $5,500–13,000 در هر سال</t>
        </is>
      </c>
      <c r="E11" s="4" t="inlineStr">
        <is>
          <t>✅ (Linköping دقیقاً مرزی)</t>
        </is>
      </c>
      <c r="F11" s="4" t="inlineStr">
        <is>
          <t>⚠️ مرزی؛ AAU تقریباً در بودجه، SDU کسری تا ≈ $6,000 در سال</t>
        </is>
      </c>
      <c r="G11" s="4" t="inlineStr">
        <is>
          <t>⚠️ فقط Neuchâtel/Fribourg (و با صرفه‌جویی Lucerne/Lugano) در بودجه؛ Zürich/Lausanne کسری $1,000–10,000 در سال؛ کار دانشجویی در ۶ ماه اول ممنوع → سال اول تماماً از جیب</t>
        </is>
      </c>
      <c r="H11" s="4" t="inlineStr">
        <is>
          <t>❌ کسری $6,000–33,000 (کمترین: Teesside ≈ $6–10k؛ Northumbria ≈ $12–16k)</t>
        </is>
      </c>
      <c r="I11" s="5" t="inlineStr">
        <is>
          <t>محاسبه از ردیف ۷</t>
        </is>
      </c>
    </row>
    <row r="12">
      <c r="A12" s="2" t="inlineStr">
        <is>
          <t>۱۰</t>
        </is>
      </c>
      <c r="B12" s="3" t="inlineStr">
        <is>
          <t>مسکن در بدو ورود</t>
        </is>
      </c>
      <c r="C12" s="4" t="inlineStr">
        <is>
          <t>خوابگاه Studierendenwerk با لیست انتظار؛ Stuttgart و Darmstadt سخت، Dresden و Erlangen آسان‌تر. بلافاصله بعد از پذیرش ثبت‌نام کنید.</t>
        </is>
      </c>
      <c r="D12" s="4" t="inlineStr">
        <is>
          <t>کمبود شدید ملی؛ ولی Twente (کمپوس) و Radboud/SSH&amp; اتاق رزروشده برای بین‌المللی‌ها دارند — مهلت را از دست ندهید.</t>
        </is>
      </c>
      <c r="E12" s="4" t="inlineStr">
        <is>
          <t>تضمین سراسری نیست: Linköping به شهریه‌پردازها یک پیشنهاد اتاق برای سال اول می‌دهد؛ Halmstad تضمین ندارد؛ BTH تأیید نشد.</t>
        </is>
      </c>
      <c r="F12" s="4" t="inlineStr">
        <is>
          <t>دفتر اسکان بین‌المللی AAU/SDU؛ Aalborg و Odense نسبتاً در دسترس.</t>
        </is>
      </c>
      <c r="G12" s="4" t="inlineStr">
        <is>
          <t>Zürich بحرانی: WOKO/Juwo (CHF 500–900) لیست انتظار ۳–۱۲ ماه، بازار خصوصی بسیار رقابتی؛ Lausanne خوابگاه‌های FMEL (زود پر می‌شود)؛ Lugano/Fribourg/Neuchâtel/Bern/Lucerne آسان‌تر و ارزان‌تر (CHF 500–800). روز دریافت پذیرش ثبت‌نام کنید.</t>
        </is>
      </c>
      <c r="H12" s="4" t="inlineStr">
        <is>
          <t>معمولاً تضمین خوابگاه سال اول برای بین‌المللی‌ها اگر تا مهلت درخواست دهید.</t>
        </is>
      </c>
      <c r="I12" s="5" t="inlineStr">
        <is>
          <t>سایت دانشگاه‌ها؛ hh.se (Find Accommodation)؛ liu.se</t>
        </is>
      </c>
    </row>
    <row r="13">
      <c r="A13" s="2" t="inlineStr">
        <is>
          <t>۱۱</t>
        </is>
      </c>
      <c r="B13" s="3" t="inlineStr">
        <is>
          <t>سقف قانونی کار دانشجویی</t>
        </is>
      </c>
      <c r="C13" s="4" t="inlineStr">
        <is>
          <t>۱۴۰ روز کامل یا ۲۸۰ نیم‌روز در سال (Werkstudent تا ۲۰ ساعت/هفته در ترم)</t>
        </is>
      </c>
      <c r="D13" s="4" t="inlineStr">
        <is>
          <t>۱۶ ساعت/هفته (کارفرما TWV می‌گیرد) یا تمام‌وقت در ژوئن–اوت</t>
        </is>
      </c>
      <c r="E13" s="4" t="inlineStr">
        <is>
          <t>از ۱۱ ژوئن ۲۰۲۶: حداکثر ۱۵ ساعت/هفته در ترم؛ ژوئن–اوت بدون سقف. تخلف = لغو اقامت. + حداقل پیشرفت تحصیلی ۳۷.۵ واحد سال اول / ۴۵ واحد بعد</t>
        </is>
      </c>
      <c r="F13" s="4" t="inlineStr">
        <is>
          <t>۹۰ ساعت/ماه (سپتامبر–مه) + تمام‌وقت ژوئن–اوت</t>
        </is>
      </c>
      <c r="G13" s="4" t="inlineStr">
        <is>
          <t>غیر-EU: ۶ ماه اول هیچ؛ بعد از آن ۱۵ ساعت/هفته در ترم و تمام‌وقت در تعطیلات؛ کارفرما باید مجوز کانتونی بگیرد؛ کل دورهٔ تحصیل در سوئیس حداکثر ۸ سال</t>
        </is>
      </c>
      <c r="H13" s="4" t="inlineStr">
        <is>
          <t>۲۰ ساعت/هفته در ترم؛ تمام‌وقت در تعطیلات</t>
        </is>
      </c>
      <c r="I13" s="5" t="inlineStr">
        <is>
          <t>make-it-in-germany.com؛ ind.nl؛ migrationsverket.se (خبر ۲۵ مه ۲۰۲۶)؛ nyidanmark.dk؛ sem.admin.ch؛ gov.uk</t>
        </is>
      </c>
    </row>
    <row r="14">
      <c r="A14" s="2" t="inlineStr">
        <is>
          <t>۱۲</t>
        </is>
      </c>
      <c r="B14" s="3" t="inlineStr">
        <is>
          <t>درآمد واقع‌بینانه کار حین تحصیل (ناخالص، ماهانه)</t>
        </is>
      </c>
      <c r="C14" s="4" t="inlineStr">
        <is>
          <t>€1,000–1,600 (Werkstudent فنی €15–20/ساعت؛ برای رشته شما فراوان)</t>
        </is>
      </c>
      <c r="D14" s="4" t="inlineStr">
        <is>
          <t>تا ≈ €1,000 (۱۶ ساعت × €14.71)؛ یافتن کارفرمای TWV‌گیر سخت</t>
        </is>
      </c>
      <c r="E14" s="4" t="inlineStr">
        <is>
          <t>€300–800 (سقف ۱۵ ساعت؛ کار برای غیرسوئدی‌زبان کمیاب)</t>
        </is>
      </c>
      <c r="F14" s="4" t="inlineStr">
        <is>
          <t>DKK 8,000–12,000 (€1,070–1,600) اگر کار پیدا شود؛ اکثر کارهای خدماتی دانمارکی می‌خواهند</t>
        </is>
      </c>
      <c r="G14" s="4" t="inlineStr">
        <is>
          <t>بعد از ماه ششم: ≈ CHF 1,300–1,800 (۱۵ ساعت × CHF 22–28؛ دستیاری آموزشی/پژوهشی در ETH/UZH/ZHAW رایج)</t>
        </is>
      </c>
      <c r="H14" s="4" t="inlineStr">
        <is>
          <t>تا ≈ £1,100 (۲۰ ساعت × £12.71)</t>
        </is>
      </c>
      <c r="I14" s="5" t="inlineStr">
        <is>
          <t>حداقل دستمزدهای ۲۰۲۶؛ برآورد. درآمد دانشجویی را در تأمین مالی ویزا حساب نکنید.</t>
        </is>
      </c>
    </row>
    <row r="15">
      <c r="A15" s="2" t="inlineStr">
        <is>
          <t>۱۳</t>
        </is>
      </c>
      <c r="B15" s="3" t="inlineStr">
        <is>
          <t>زبان محیط کار فنی (IT)</t>
        </is>
      </c>
      <c r="C15" s="4" t="inlineStr">
        <is>
          <t>انگلیسی در استارتاپ‌ها/شرکت‌های بزرگ (Berlin، Munich، Hamburg) کافی؛ اکثر آگهی‌های IT آلمانی B2 می‌خواهند → بدون آلمانی حدود نیمی از بازار بسته است.</t>
        </is>
      </c>
      <c r="D15" s="4" t="inlineStr">
        <is>
          <t>انگلیسی در tech رایج و کافی؛ نه ۱۰۰٪.</t>
        </is>
      </c>
      <c r="E15" s="4" t="inlineStr">
        <is>
          <t>انگلیسی در tech رایج (Stockholm، Göteborg)؛ بازار ۲۰۲۴–۲۶ ضعیف (بیکاری ≈ ۹٪).</t>
        </is>
      </c>
      <c r="F15" s="4" t="inlineStr">
        <is>
          <t>انگلیسی برای بخشی از نقش‌های IT در Copenhagen/Aarhus کافی؛ برای اکثر نقش‌ها دانمارکی B1–B2 ترجیح دارد؛ در Aalborg/Odense سخت‌تر.</t>
        </is>
      </c>
      <c r="G15" s="4" t="inlineStr">
        <is>
          <t>Zürich: انگلیسی در Big Tech (Google ≈ ۵ هزار نفر، Microsoft، Meta، Apple، Nvidia، OpenAI/Anthropic)، بانک‌ها و استارتاپ‌های ETH کافی؛ Lausanne/Geneva: انگلیسی + فرانسه؛ SMEهای آلمانی‌زبان و Lugano (ایتالیایی) زبان محلی می‌خواهند → بدون آلمانی/فرانسه ≈ نیمی از بازار بسته</t>
        </is>
      </c>
      <c r="H15" s="4" t="inlineStr">
        <is>
          <t>۱۰۰٪ انگلیسی؛ بازار جونیور ۲۰۲۵–۲۶ بسیار رقابتی.</t>
        </is>
      </c>
      <c r="I15" s="5" t="inlineStr">
        <is>
          <t>workindenmark.dk؛ آگهی‌های StepStone/LinkedIn؛ ارزیابی</t>
        </is>
      </c>
    </row>
    <row r="16">
      <c r="A16" s="2" t="inlineStr">
        <is>
          <t>۱۴</t>
        </is>
      </c>
      <c r="B16" s="3" t="inlineStr">
        <is>
          <t>زبان برای امور اداری و زندگی روزمره</t>
        </is>
      </c>
      <c r="C16" s="4" t="inlineStr">
        <is>
          <t>قانوناً برای تحصیل لازم نیست؛ عملاً A2–B1 (اداره اتباع، اجاره، بیمه، مالیات).</t>
        </is>
      </c>
      <c r="D16" s="4" t="inlineStr">
        <is>
          <t>انگلیسی کافی؛ نامه‌های رسمی هلندی.</t>
        </is>
      </c>
      <c r="E16" s="4" t="inlineStr">
        <is>
          <t>انگلیسی کافی.</t>
        </is>
      </c>
      <c r="F16" s="4" t="inlineStr">
        <is>
          <t>انگلیسی روزمره کافی؛ سامانه‌ها و نامه‌ها دانمارکی.</t>
        </is>
      </c>
      <c r="G16" s="4" t="inlineStr">
        <is>
          <t>رسمی: آلمانی / فرانسه / ایتالیایی بسته به کانتون؛ نامه‌های ادارهٔ مهاجرت، بیمه، اجاره و مالیات به زبان محلی؛ انگلیسی در زوریخ/ژنو/لوزان برای روزمره کافی است، ولی سوئیسی‌آلمانی (گویش) در محیط اجتماعی مانع است</t>
        </is>
      </c>
      <c r="H16" s="4" t="inlineStr">
        <is>
          <t>انگلیسی.</t>
        </is>
      </c>
      <c r="I16" s="5" t="inlineStr">
        <is>
          <t>تجربه عمومی؛ ارزیابی</t>
        </is>
      </c>
    </row>
    <row r="17">
      <c r="A17" s="2" t="inlineStr">
        <is>
          <t>۱۵</t>
        </is>
      </c>
      <c r="B17" s="3" t="inlineStr">
        <is>
          <t>مجوز اقامت پس از تحصیل برای جست‌وجوی کار</t>
        </is>
      </c>
      <c r="C17" s="4" t="inlineStr">
        <is>
          <t>۱۸ ماه (§20 AufenthG) — هر کاری مجاز</t>
        </is>
      </c>
      <c r="D17" s="4" t="inlineStr">
        <is>
          <t>۱۲ ماه (zoekjaar) — تا ۳ سال بعد از مدرک قابل درخواست؛ €254</t>
        </is>
      </c>
      <c r="E17" s="4" t="inlineStr">
        <is>
          <t>۱۲ ماه — با اثبات تمکن SEK 10,656/ماه برای کل دوره</t>
        </is>
      </c>
      <c r="F17" s="4" t="inlineStr">
        <is>
          <t>۳ سال، خودکار همراه مجوز تحصیلی برای ارشد state-approved (AAU/SDU) — تا گرفتن «مجوز کار نامحدود» فقط ۹۰ ساعت/ماه</t>
        </is>
      </c>
      <c r="G17" s="4" t="inlineStr">
        <is>
          <t>فقط ۶ ماه (مجوز L برای جست‌وجوی کار، مادهٔ ۲۱ بند ۳ FNIA) — کوتاه‌ترین در بین ۶ کشور؛ کار در این مدت تا ۱۵ ساعت/هفته</t>
        </is>
      </c>
      <c r="H17" s="4" t="inlineStr">
        <is>
          <t>۱۸ ماه Graduate visa برای درخواست‌های از ۱ ژانویه ۲۰۲۷ — £937 + IHS £1,035/سال</t>
        </is>
      </c>
      <c r="I17" s="5" t="inlineStr">
        <is>
          <t>make-it-in-germany.com؛ ind.nl؛ migrationsverket.se؛ nyidanmark.dk؛ sem.admin.ch؛ gov.uk (Statement of Changes ۱۴ اکتبر ۲۰۲۵)</t>
        </is>
      </c>
    </row>
    <row r="18">
      <c r="A18" s="2" t="inlineStr">
        <is>
          <t>۱۶</t>
        </is>
      </c>
      <c r="B18" s="3" t="inlineStr">
        <is>
          <t>حداقل حقوق برای ویزای کار (سطوح ۲۰۲۶)</t>
        </is>
      </c>
      <c r="C18" s="4" t="inlineStr">
        <is>
          <t>بلوکارت: €50,700 عمومی / €45,934.20 برای IT و تازه‌فارغ‌التحصیلان (تا ۳ سال بعد از مدرک)
مجوز کار §18b برای فارغ‌التحصیلان آلمان: بدون کف ثابت</t>
        </is>
      </c>
      <c r="D18" s="4" t="inlineStr">
        <is>
          <t>HSM کاهش‌یافته برای فارغ‌التحصیلان هلند (تا ۳ سال): €3,122/ماه بدون حق تعطیلات ≈ €40,500/سال
زیر ۳۰ سال عادی: €4,357/ماه</t>
        </is>
      </c>
      <c r="E18" s="4" t="inlineStr">
        <is>
          <t>SEK 34,470/ماه (۹۰٪ میانه؛ از ۱۶ ژوئن ۲۰۲۶)
فارغ‌التحصیلان سوئد که از داخل درخواست دهند: ۷۵٪ = SEK 28,725/ماه
هر ژوئن به‌روز می‌شود</t>
        </is>
      </c>
      <c r="F18" s="4" t="inlineStr">
        <is>
          <t>Positive List (مشاغل IT): کف ثابت ندارد (حقوق مطابق استاندارد دانمارکی)
Pay Limit: DKK 552,000 · Supplementary: DKK 446,000</t>
        </is>
      </c>
      <c r="G18" s="4" t="inlineStr">
        <is>
          <t>کف عددی ندارد ولی حقوق باید «متعارف محل/رشته» باشد. فارغ‌التحصیل سوئیس از «اولویت داخلی/EU» معاف است اگر شغل «منفعت علمی/اقتصادی بالا» داشته باشد؛ ⚠️ ولی سهمیهٔ سالانهٔ اتباع غیر-EU (۲۰۲۶: ۴,۵۰۰ مجوز B + ۴,۰۰۰ L؛ معمولاً ≈ ۶۵–۷۰٪ مصرف می‌شود) شامل شما هم می‌شود — طرح معافیت فارغ‌التحصیلان (22.067) از ۲۰۲۳ در پارلمان متوقف مانده</t>
        </is>
      </c>
      <c r="H18" s="4" t="inlineStr">
        <is>
          <t>Skilled Worker: بالاترینِ £41,700 و نرخ شغل؛ نرخ SOC 2134 (توسعه‌دهنده) = £54,700
تازه‌کار (حداکثر ۴ سال): ۷۰٪ = £38,290
+ انگلیسی B2 (از ۸ ژانویه ۲۰۲۶)</t>
        </is>
      </c>
      <c r="I18" s="5" t="inlineStr">
        <is>
          <t>make-it-in-germany.com؛ ind.nl؛ migrationsverket.se؛ nyidanmark.dk؛ sem.admin.ch (Art. 21 FNIA)؛ gov.uk Appendix Skilled Occupations</t>
        </is>
      </c>
    </row>
    <row r="19">
      <c r="A19" s="2" t="inlineStr">
        <is>
          <t>۱۷</t>
        </is>
      </c>
      <c r="B19" s="3" t="inlineStr">
        <is>
          <t>حقوق ورودی جونیور توسعه‌دهنده (ناخالص سالانه، ۲۰۲۶)</t>
        </is>
      </c>
      <c r="C19" s="4" t="inlineStr">
        <is>
          <t>€48,000–55,000 (با ارشد ≈ €55k)</t>
        </is>
      </c>
      <c r="D19" s="4" t="inlineStr">
        <is>
          <t>€40,000–50,000 (Amsterdam بالاتر)</t>
        </is>
      </c>
      <c r="E19" s="4" t="inlineStr">
        <is>
          <t>SEK 420,000–540,000 (35–45 هزار در ماه)</t>
        </is>
      </c>
      <c r="F19" s="4" t="inlineStr">
        <is>
          <t>DKK 500,000–540,000 (IDA 2026: تازه‌فارغ‌التحصیل ≈ DKK 43,800/ماه با بازنشستگی)</t>
        </is>
      </c>
      <c r="G19" s="4" t="inlineStr">
        <is>
          <t>CHF 85,000–105,000 (≈ $103–127k؛ میانهٔ Glassdoor زوریخ CHF 92k؛ ETH/EPFL 90–118k؛ Big Tech CHF 110–165k) — بالاترین در بین ۶ کشور</t>
        </is>
      </c>
      <c r="H19" s="4" t="inlineStr">
        <is>
          <t>£28,000–35,000 خارج لندن (Manchester/Leeds/Newcastle)؛ London £32,000–45,000 — اغلب زیر کف اسپانسری £38,290</t>
        </is>
      </c>
      <c r="I19" s="5" t="inlineStr">
        <is>
          <t>StepStone؛ Glassdoor؛ IDA؛ Reed — برآورد بازار، نه آمار رسمی</t>
        </is>
      </c>
    </row>
    <row r="20">
      <c r="A20" s="2" t="inlineStr">
        <is>
          <t>۱۸</t>
        </is>
      </c>
      <c r="B20" s="3" t="inlineStr">
        <is>
          <t>خالص ماهانه تقریبی (بعد از مالیات)</t>
        </is>
      </c>
      <c r="C20" s="4" t="inlineStr">
        <is>
          <t>€2,700–3,000</t>
        </is>
      </c>
      <c r="D20" s="4" t="inlineStr">
        <is>
          <t>€2,700–3,100 (بدون قاعده ۳۰٪)</t>
        </is>
      </c>
      <c r="E20" s="4" t="inlineStr">
        <is>
          <t>€2,500–2,900 (SEK 29–33 هزار)</t>
        </is>
      </c>
      <c r="F20" s="4" t="inlineStr">
        <is>
          <t>€3,300–3,700 (DKK 25–27.5 هزار)</t>
        </is>
      </c>
      <c r="G20" s="4" t="inlineStr">
        <is>
          <t>≈ CHF 5,700–6,700 (مالیات + بیمه‌های اجتماعی ≈ ۲۰–۲۵٪ برای مجرد در زوریخ)؛ بیمهٔ درمانی اجباری CHF 350–450/ماه جداگانه از جیب</t>
        </is>
      </c>
      <c r="H20" s="4" t="inlineStr">
        <is>
          <t>£2,000–2,500</t>
        </is>
      </c>
      <c r="I20" s="5" t="inlineStr">
        <is>
          <t>ماشین‌حساب‌های مالیاتی ۲۰۲۶ (کلاس مالیاتی مجرد)</t>
        </is>
      </c>
    </row>
    <row r="21">
      <c r="A21" s="2" t="inlineStr">
        <is>
          <t>۱۹</t>
        </is>
      </c>
      <c r="B21" s="3" t="inlineStr">
        <is>
          <t>پس‌انداز ماهانه تخمینی جونیور (خالص − هزینه زندگی یک نفر شاغل)</t>
        </is>
      </c>
      <c r="C21" s="4" t="inlineStr">
        <is>
          <t>€1,000–1,500</t>
        </is>
      </c>
      <c r="D21" s="4" t="inlineStr">
        <is>
          <t>€700–1,200</t>
        </is>
      </c>
      <c r="E21" s="4" t="inlineStr">
        <is>
          <t>€900–1,400</t>
        </is>
      </c>
      <c r="F21" s="4" t="inlineStr">
        <is>
          <t>€1,100–1,600</t>
        </is>
      </c>
      <c r="G21" s="4" t="inlineStr">
        <is>
          <t>CHF 1,500–3,000 (≈ $1,800–3,600) در زوریخ (استودیو CHF 1,400–1,900 + بیمه ≈ 400) — بیشترین پس‌انداز مطلق بین ۶ کشور، اگر شغل بگیرید</t>
        </is>
      </c>
      <c r="H21" s="4" t="inlineStr">
        <is>
          <t>£400–900</t>
        </is>
      </c>
      <c r="I21" s="5" t="inlineStr">
        <is>
          <t>برآورد؛ هزینه زندگی شاغل: DE €1,400–1,700 · NL €1,700–2,100 · SE €1,300–1,600 · DK €1,900–2,300 · CH CHF 3,200–3,800 · UK £1,300–1,700</t>
        </is>
      </c>
    </row>
    <row r="22">
      <c r="A22" s="2" t="inlineStr">
        <is>
          <t>۲۰</t>
        </is>
      </c>
      <c r="B22" s="3" t="inlineStr">
        <is>
          <t>اقامت دائم (PR) — زمان و شرط اصلی</t>
        </is>
      </c>
      <c r="C22" s="4" t="inlineStr">
        <is>
          <t>۲ سال کار برای فارغ‌التحصیل آلمان با B1 (§18c)؛ بلوکارت: ۲۱ ماه با B1 / ۲۷ ماه با A1</t>
        </is>
      </c>
      <c r="D22" s="4" t="inlineStr">
        <is>
          <t>۵ سال اقامت قانونی (سال‌های تحصیل نصف حساب می‌شود) + inburgering</t>
        </is>
      </c>
      <c r="E22" s="4" t="inlineStr">
        <is>
          <t>۴ سال مجوز کار در ۷ سال اخیر + خودکفایی (تحصیل حساب نمی‌شود)</t>
        </is>
      </c>
      <c r="F22" s="4" t="inlineStr">
        <is>
          <t>۸ سال (یا ۴ سال با هر ۴ شرط تکمیلی) + ۳.۵ سال کار تمام‌وقت در ۴ سال اخیر</t>
        </is>
      </c>
      <c r="G22" s="4" t="inlineStr">
        <is>
          <t>اجازهٔ اقامت C: برای ایرانی‌ها ۱۰ سال (۵ سال آخر پیوسته با B)؛ سال‌های دانشجویی فقط اگر بعدش ۲ سال پیوسته اجازهٔ B داشته باشید حساب می‌شود؛ C زودهنگام ۵ ساله فقط با «ادغام موفق» و B1 شفاهی به صلاحدید کانتون — سخت‌ترین مسیر در بین ۶ کشور</t>
        </is>
      </c>
      <c r="H22" s="4" t="inlineStr">
        <is>
          <t>فعلاً ۵ سال Skilled Worker (Graduate visa حساب نمی‌شود)؛ طرح Earned Settlement با پایه ۱۰ سال در دستور کار دولت (تا سپتامبر ۲۰۲۶ قانون نشده)</t>
        </is>
      </c>
      <c r="I22" s="5" t="inlineStr">
        <is>
          <t>make-it-in-germany.com؛ ind.nl؛ migrationsverket.se؛ nyidanmark.dk؛ sem.admin.ch؛ gov.uk / Home Affairs Committee</t>
        </is>
      </c>
    </row>
    <row r="23">
      <c r="A23" s="2" t="inlineStr">
        <is>
          <t>۲۱</t>
        </is>
      </c>
      <c r="B23" s="3" t="inlineStr">
        <is>
          <t>آزمون زبان محلی برای PR</t>
        </is>
      </c>
      <c r="C23" s="4" t="inlineStr">
        <is>
          <t>B1 آلمانی (A1 فقط با بلوکارت ۲۷ ماهه)</t>
        </is>
      </c>
      <c r="D23" s="4" t="inlineStr">
        <is>
          <t>A2 فعلی → B1 (تصمیم کابینه، فوریه ۲۰۲۶)</t>
        </is>
      </c>
      <c r="E23" s="4" t="inlineStr">
        <is>
          <t>هیچ (برای PR)</t>
        </is>
      </c>
      <c r="F23" s="4" t="inlineStr">
        <is>
          <t>Prøve i Dansk 2 (≈ B1) برای مسیر ۸ ساله؛ PD3 (≈ B2) برای مسیر ۴ ساله</t>
        </is>
      </c>
      <c r="G23" s="4" t="inlineStr">
        <is>
          <t>A2 شفاهی + A1 کتبی زبان محلی (آزمون fide) برای C ۱۰ ساله؛ B1 شفاهی برای C زودهنگام ۵ ساله → بدون زبان سوم PR نمی‌گیرید</t>
        </is>
      </c>
      <c r="H23" s="4" t="inlineStr">
        <is>
          <t>انگلیسی B2 از ۲۶ مارس ۲۰۲۷ + آزمون Life in the UK (زبان سوم نیست)</t>
        </is>
      </c>
      <c r="I23" s="5" t="inlineStr">
        <is>
          <t>BAMF؛ ind.nl؛ migrationsverket.se؛ nyidanmark.dk؛ sem.admin.ch؛ gov.uk (HC 1691)</t>
        </is>
      </c>
    </row>
    <row r="24">
      <c r="A24" s="2" t="inlineStr">
        <is>
          <t>۲۲</t>
        </is>
      </c>
      <c r="B24" s="3" t="inlineStr">
        <is>
          <t>شهروندی (جدا از PR)</t>
        </is>
      </c>
      <c r="C24" s="4" t="inlineStr">
        <is>
          <t>۵ سال + B1 + آزمون تابعیت (تحصیل حساب می‌شود)</t>
        </is>
      </c>
      <c r="D24" s="4" t="inlineStr">
        <is>
          <t>۵ سال + inburgering (A2 → B1)</t>
        </is>
      </c>
      <c r="E24" s="4" t="inlineStr">
        <is>
          <t>از ۶ ژوئن ۲۰۲۶: ۸ سال + آزمون مدنی + آزمون زبان (از اکتبر ۲۰۲۷) + کف درآمد</t>
        </is>
      </c>
      <c r="F24" s="4" t="inlineStr">
        <is>
          <t>۹ سال + PD3 + آزمون تابعیت + اشتغال ۳.۵ سال از ۴ سال</t>
        </is>
      </c>
      <c r="G24" s="4" t="inlineStr">
        <is>
          <t>۱۰ سال اقامت (سال‌های ۸ تا ۱۸ سالگی دوبرابر) + اجازهٔ C + B1 شفاهی / A2 کتبی + شرایط کانتون و شهرداری (۲–۵ سال اقامت محلی) — سخت‌ترین در اروپا</t>
        </is>
      </c>
      <c r="H24" s="4" t="inlineStr">
        <is>
          <t>ILR + ۱۲ ماه؛ B1/B2 + Life in the UK</t>
        </is>
      </c>
      <c r="I24" s="5" t="inlineStr">
        <is>
          <t>قوانین تابعیت ۲۰۲۶؛ migrationsverket.se؛ nyidanmark.dk؛ sem.admin.ch</t>
        </is>
      </c>
    </row>
    <row r="25">
      <c r="A25" s="2" t="inlineStr">
        <is>
          <t>۲۳</t>
        </is>
      </c>
      <c r="B25" s="3" t="inlineStr">
        <is>
          <t>فرایند ویزا برای پاسپورت ایرانی — وضعیت سپتامبر ۲۰۲۶ (بسیار متغیر)</t>
        </is>
      </c>
      <c r="C25" s="4" t="inlineStr">
        <is>
          <t>سفارت تهران در «حالت اضطراری»؛ بخش ویزا به روی مراجعان عادی بسته. TLScontact از ۱۵ ژوئیه ۲۰۲۶ لیست انتظار دانشجویی باز کرده ولی وقت نمی‌دهد. صدور ویزا: ۴۶هزار (۲۰۲۴) → ۲۳هزار (۲۰۲۵) → ≈ ۱٬۳۰۰ اوایل ۲۰۲۶. ارجاع موردی به ایروان/استانبول. حتی در شرایط عادی لیست انتظار ۶–۱۸ ماه.</t>
        </is>
      </c>
      <c r="D25" s="4" t="inlineStr">
        <is>
          <t>دانشگاه درخواست را در IND ثبت می‌کند (TEV) ✓؛ ولی سفارت هلند موقتاً به باکو منتقل شده و MVV در ایران صادر نمی‌شود.</t>
        </is>
      </c>
      <c r="E25" s="4" t="inlineStr">
        <is>
          <t>درخواست آنلاین در Migrationsverket؛ بررسی دیجیتال پاسپورت؛ سفارت تهران فعلاً بیومتریک/کارت اقامت نمی‌گیرد (ژوئیه ۲۰۲۶).</t>
        </is>
      </c>
      <c r="F25" s="4" t="inlineStr">
        <is>
          <t>«در حال حاضر امکان درخواست از ایران وجود ندارد» (سفارت دانمارک، ۲۰۲۶) — باید از SIRI بخواهید پرونده به نمایندگی دیگری در منطقه برود؛ بیومتریک ظرف ۱۴ روز.</t>
        </is>
      </c>
      <c r="G25" s="4" t="inlineStr">
        <is>
          <t>سفارت سوئیس در تهران باز است: ویزای D (تحصیلی) با وقت قبلی پذیرفته می‌شود، ویزای C فعلاً خیر (اطلاعیهٔ ۳۰ ژانویه ۲۰۲۶؛ در جنگ ژوئن ۲۰۲۵ دو هفته بسته بود). تصمیم را ادارهٔ مهاجرت کانتون می‌گیرد: ۸–۱۲ هفته؛ ETH تأییدیهٔ ثبت‌نام برای ویزا را از می ۲۰۲۷ می‌دهد. ⚠️ گلوگاه اصلی: اثبات تمکن (ردیف ۲۵).</t>
        </is>
      </c>
      <c r="H25" s="4" t="inlineStr">
        <is>
          <t>درخواست آنلاین gov.uk + بیومتریک در VAC؛ VFS تهران در ۲۰۲۶ متناوباً بسته/باز شده؛ می‌توان از VAC کشور ثالث اقدام کرد. «قانون ۲۸ روز» مربوط به تمکن مالی است، نه VFS.</t>
        </is>
      </c>
      <c r="I25" s="5" t="inlineStr">
        <is>
          <t>visas-de.tlscontact.com؛ netherlandsworldwide.nl؛ swedenabroad.se؛ iran.um.dk؛ eda.admin.ch/tehran؛ gov.uk — برنامه B: اقدام از ترکیه/ارمنستان/امارات</t>
        </is>
      </c>
    </row>
    <row r="26">
      <c r="A26" s="2" t="inlineStr">
        <is>
          <t>۲۴</t>
        </is>
      </c>
      <c r="B26" s="3" t="inlineStr">
        <is>
          <t>نمره انگلیسی برنامه‌های هدف</t>
        </is>
      </c>
      <c r="C26" s="4" t="inlineStr">
        <is>
          <t>TU Darmstadt، TU Dresden، Stuttgart: C1 / IELTS 7.0 (Dresden: هر بخش ≥ B2)
FAU (AI): B2 / IELTS 6.5</t>
        </is>
      </c>
      <c r="D26" s="4" t="inlineStr">
        <is>
          <t>IELTS 6.5 (هر بخش ≥ 6.0)</t>
        </is>
      </c>
      <c r="E26" s="4" t="inlineStr">
        <is>
          <t>IELTS 6.5 (هر بخش ≥ 5.5)</t>
        </is>
      </c>
      <c r="F26" s="4" t="inlineStr">
        <is>
          <t>IELTS 6.5</t>
        </is>
      </c>
      <c r="G26" s="4" t="inlineStr">
        <is>
          <t>USI: B2 در ورود (IELTS 5.5–6.5) و C1 تا فارغ‌التحصیلی · HSLU: C1 (B2 مشروط) · Joint MSc CS (Neuchâtel/Fribourg/Bern): بدون آزمون زبان — B2 توصیه (FAQ رسمی) · ZHAW: B2–C1 · UZH و ETH: C1 / IELTS 7.0 · EPFL: مدرک زبان الزامی نیست</t>
        </is>
      </c>
      <c r="H26" s="4" t="inlineStr">
        <is>
          <t>IELTS 6.0–6.5</t>
        </is>
      </c>
      <c r="I26" s="5" t="inlineStr">
        <is>
          <t>سایت برنامه‌ها — ⚠️ IELTS از ۳۱ ژانویه ۲۰۲۶ و TOEFL از ۱۴۰۵ در ایران برگزار نمی‌شوند؛ آزمون را در استانبول/ایروان/دبی/تفلیس بدهید (نتیجهٔ کامپیوتری ۳–۵ روزه). برای مهلت ۱۵ ژانویهٔ ۲۰۲۷ (سوئد/دانمارک/Stuttgart) نتیجه باید تا اوایل ژانویه در دست باشد</t>
        </is>
      </c>
    </row>
    <row r="27">
      <c r="A27" s="2" t="inlineStr">
        <is>
          <t>۲۵</t>
        </is>
      </c>
      <c r="B27" s="3" t="inlineStr">
        <is>
          <t>تمکن مالی ویزا (۲۰۲۶) و نکته تحریمی</t>
        </is>
      </c>
      <c r="C27" s="4" t="inlineStr">
        <is>
          <t>حساب مسدود €11,904 (€992 × ۱۲). Fintiba ساکنان ایران را نمی‌پذیرد؛ Expatrio/Coracle را هنگام اقدام بررسی کنید. انتقال پول فقط از مسیر کشور ثالث/صرافی (۳–۶٪ هزینه).</t>
        </is>
      </c>
      <c r="D27" s="4" t="inlineStr">
        <is>
          <t>€13,569 (€1,130.77 × ۱۲) + شهریه؛ معمولاً به حساب دانشگاه واریز می‌شود.</t>
        </is>
      </c>
      <c r="E27" s="4" t="inlineStr">
        <is>
          <t>SEK 10,656 × ماه‌های مجوز (سال اول ≈ SEK 128,000) + قسط اول شهریه.</t>
        </is>
      </c>
      <c r="F27" s="4" t="inlineStr">
        <is>
          <t>پرداخت شهریه ترم اول به‌عنوان تمکن پذیرفته می‌شود (در غیر این‌صورت DKK 7,426/ماه).</t>
        </is>
      </c>
      <c r="G27" s="4" t="inlineStr">
        <is>
          <t>CHF 21,000 برای هر سال (Basel 24,000) + شهریه؛ برای هر تمدید سالانه دوباره. زوریخ: فقط حساب بانک سوئیسی/شعبهٔ سوئیسی به نام خودتان (حساب والدین پذیرفته نیست) یا ضامن مقیم سوئیس (B/C)؛ بانک‌های سوئیس برای ساکنان ایران حساب باز نمی‌کنند → عملاً از تهران فقط با ضامن، یا کانتون‌های انعطاف‌پذیرتر (تیچینو، فریبورگ، نوشاتل، برن، لوسرن — قبل از اقدام از دفتر بین‌الملل دانشگاه تأیید بگیرید). انتقال پول فقط از مسیر کشور ثالث.</t>
        </is>
      </c>
      <c r="H27" s="4" t="inlineStr">
        <is>
          <t>شهریه + £1,171 × ۹ = £10,539 خارج لندن / £13,761 لندن؛ از ۳۰ نوامبر ۲۰۲۶: £10,827 / £14,130؛ ۲۸ روز متوالی در حساب؛ + ویزای دانشجویی £524 + IHS با نرخ دانشجویی £776/سال (برای ۱۶ ماه اقامت ≈ £1,164).</t>
        </is>
      </c>
      <c r="I27" s="5" t="inlineStr">
        <is>
          <t>make-it-in-germany.com؛ ind.nl؛ migrationsverket.se؛ nyidanmark.dk؛ sem.admin.ch؛ gov.uk (HC 584). افتتاح حساب بانکی برای ایرانی‌ها در همه‌جا کندتر است (آلمان و هلند بیشترین گزارش مشکل).</t>
        </is>
      </c>
    </row>
    <row r="28">
      <c r="A28" s="2" t="inlineStr">
        <is>
          <t>۲۶</t>
        </is>
      </c>
      <c r="B28" s="3" t="inlineStr">
        <is>
          <t>بازار کار برای جونیورِ فقط‌انگلیسی‌زبان (ارزیابی، ۱–۵ ستاره)</t>
        </is>
      </c>
      <c r="C28" s="4" t="inlineStr">
        <is>
          <t>⭐⭐⭐ تقاضا و حقوق بالا؛ بدون آلمانی نیمی از بازار بسته</t>
        </is>
      </c>
      <c r="D28" s="4" t="inlineStr">
        <is>
          <t>⭐⭐⭐⭐ انگلیسی‌دوست‌ترین بازار قاره؛ کف HSM فارغ‌التحصیل دست‌یافتنی</t>
        </is>
      </c>
      <c r="E28" s="4" t="inlineStr">
        <is>
          <t>⭐⭐ بازار ۲۰۲۴–۲۶ ضعیف؛ شبکه محلی مهم</t>
        </is>
      </c>
      <c r="F28" s="4" t="inlineStr">
        <is>
          <t>⭐⭐ بدون دانمارکی محدود؛ خارج از Copenhagen سخت</t>
        </is>
      </c>
      <c r="G28" s="4" t="inlineStr">
        <is>
          <t>⭐⭐⭐ بالاترین حقوق اروپا و هاب Big Tech در زوریخ؛ ولی برای غیر-EU فقط ۶ ماه فرصت، سهمیه و شرط «منفعت اقتصادی بالا» → عملاً فقط شرکت‌های بزرگ/اسپین‌آف‌های ETH اسپانسر می‌شوند؛ رقابت با فارغ‌التحصیلان ETH/EPFL و EU؛ بازار ۲۰۲۶ گزینشی‌تر</t>
        </is>
      </c>
      <c r="H28" s="4" t="inlineStr">
        <is>
          <t>⭐⭐ بازار جونیور اشباع؛ اسپانسری £38,290+ برای جونیور نادر؛ بعد از ۱۸ ماه باید ویزای کار داشت</t>
        </is>
      </c>
      <c r="I28" s="5" t="inlineStr">
        <is>
          <t>ارزیابی بر اساس ردیف‌های ۱۳، ۱۵، ۱۶، ۱۷</t>
        </is>
      </c>
    </row>
    <row r="29">
      <c r="A29" s="2" t="inlineStr">
        <is>
          <t>۲۷</t>
        </is>
      </c>
      <c r="B29" s="3" t="inlineStr">
        <is>
          <t>جهت‌گیری سیاست‌های مهاجرتی ۲۰۲۵–۲۶ (ریسک تغییر تا ۲۰۲۸)</t>
        </is>
      </c>
      <c r="C29" s="4" t="inlineStr">
        <is>
          <t>متوسط: قوانین کار پایدار؛ تابعیت ۳ ساله حذف شد</t>
        </is>
      </c>
      <c r="D29" s="4" t="inlineStr">
        <is>
          <t>متوسط: B1 برای PR/تابعیت؛ WIB فقط کارشناسی انگلیسی را هدف گرفته (ارشد امن)</t>
        </is>
      </c>
      <c r="E29" s="4" t="inlineStr">
        <is>
          <t>بالا: شهروندی ۸ سال، کف حقوق ۹۰٪ میانه، سقف کار ۱۵ ساعت، تبدیل اقامت تحصیلی به کاری فقط بعد از ≥ ۲ ترم</t>
        </is>
      </c>
      <c r="F29" s="4" t="inlineStr">
        <is>
          <t>متوسط–بالا: سخت‌گیرانه ولی پایدار</t>
        </is>
      </c>
      <c r="G29" s="4" t="inlineStr">
        <is>
          <t>متوسط: ابتکار «سوئیس ۱۰ میلیونی» SVP در ۱۴ ژوئن ۲۰۲۶ رد شد (۵۴.۸٪ نه)؛ ولی بستهٔ صرفه‌جویی EP27 (۲۰۲۷–۲۹) → احتمال افزایش دوبارهٔ شهریهٔ ETH/EPFL برای خارجی‌ها؛ سهمیهٔ غیر-EU ثابت (۸,۵۰۰)؛ بستهٔ قراردادهای جدید با EU (Bilaterals III) در راه رفراندوم</t>
        </is>
      </c>
      <c r="H29" s="4" t="inlineStr">
        <is>
          <t>بسیار بالا: Graduate visa ۱۸ ماه، B2، طرح PR ۱۰ ساله، عوارض £925/دانشجو/سال از اوت ۲۰۲۸ فقط برای دانشگاه‌های انگلستان — دورهٔ یک‌سالهٔ شما (سپتامبر ۲۰۲۷ تا سپتامبر ۲۰۲۸) عملاً از آن رد می‌شود، ولی بعضی دانشگاه‌ها ممکن است از ۲۰۲۷ در شهریه پیش‌خور کنند</t>
        </is>
      </c>
      <c r="I29" s="5" t="inlineStr">
        <is>
          <t>قوانین و لوایح ۲۰۲۵–۲۶</t>
        </is>
      </c>
    </row>
    <row r="30">
      <c r="A30" s="2" t="inlineStr">
        <is>
          <t>۲۸</t>
        </is>
      </c>
      <c r="B30" s="3" t="inlineStr">
        <is>
          <t>امتیاز برای ۳ معیار شما (هر کدام از ۱۰): هزینه کل / زندگی و کار فقط با انگلیسی / بازار کار و حقوق</t>
        </is>
      </c>
      <c r="C30" s="4" t="inlineStr">
        <is>
          <t>10 / 4 / 8 = ۲۲</t>
        </is>
      </c>
      <c r="D30" s="4" t="inlineStr">
        <is>
          <t>2 / 8 / 8 = ۱۸</t>
        </is>
      </c>
      <c r="E30" s="4" t="inlineStr">
        <is>
          <t>6 / 8 / 5 = ۱۹</t>
        </is>
      </c>
      <c r="F30" s="4" t="inlineStr">
        <is>
          <t>4 / 6 / 6 = ۱۶</t>
        </is>
      </c>
      <c r="G30" s="4" t="inlineStr">
        <is>
          <t>5 / 6 / 7 = ۱۸</t>
        </is>
      </c>
      <c r="H30" s="4" t="inlineStr">
        <is>
          <t>5 / 10 / 4 = ۱۹</t>
        </is>
      </c>
      <c r="I30" s="5" t="inlineStr">
        <is>
          <t>وزن برابر. اگر «هزینه» وزن بیشتری دارد و B1 آلمانی را می‌پذیرید → آلمان؛ اگر «انگلیسی» وزن بیشتری دارد → انگلستان (کامل) و بعد هلند/سوئد؛ اگر «حقوق» وزن بیشتری دارد → سوئیس، به شرط پذیرش ریسک پنجرهٔ ۶ ماههٔ کار و هزینهٔ زندگی. سوئیس: هزینه ۵ (شهریه ناچیز ولی زندگی گران‌ترین)، انگلیسی ۶ (تحصیل و Big Tech انگلیسی، اداری/PR زبان محلی)، بازار ۷ (بالاترین حقوق، ولی دسترسی محدود برای غیر-EU). انگلستان با گزینه‌های ارزان شمال (Teesside/Northumbria) ۱۹ (هم‌امتیاز سوئد) ولی هنوز از بودجهٔ سالانه $32k بیرون است.</t>
        </is>
      </c>
    </row>
    <row r="32">
      <c r="B32" s="6" t="inlineStr">
        <is>
          <t>تاریخ راستی‌آزمایی: ۲۷ سپتامبر ۲۰۲۶ (۵ مهر ۱۴۰۵). نرخ تبدیل ۲۷ سپتامبر ۲۰۲۶: €1 = $1.14 · £1 = $1.325 · $1 ≈ SEK 9.9 · $1 ≈ DKK 6.55 · CHF 1 = $1.21</t>
        </is>
      </c>
    </row>
    <row r="33">
      <c r="B33" t="inlineStr">
        <is>
          <t>همه ارقام سطح 2026/27 و از منابع رسمی (شیت «منابع»)؛ برای ورودی سپتامبر ۲۰۲۷ نرخ 2027/28 را بگیرید (تا بهار ۲۰۲۷ منتشر می‌شود؛ فعلاً +۳–۵٪). ردیف‌های ۱۳، ۱۴، ۱۷–۱۹، ۲۶ برآورد/ارزیابی هستند و در ستون منبع مشخص شده‌اند.</t>
        </is>
      </c>
    </row>
    <row r="34">
      <c r="B34" t="inlineStr">
        <is>
          <t>جدول اولیه (Table.xlsx) برای مقایسه دست‌نخورده مانده است.</t>
        </is>
      </c>
    </row>
    <row r="35">
      <c r="B35" s="6" t="inlineStr">
        <is>
          <t>شیت «برنامه‌ها»: ≈۱۰۰ برنامهٔ انگلیسی‌زبان در ۸ حوزهٔ کامپیوتری (نه فقط CS) برای هر ۶ کشور؛ شیت «حوزه‌ها و بازار کار»: کدام حوزه برای شما بازار و پذیرش بهتری دارد.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2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30" customWidth="1" min="4" max="4"/>
    <col width="22" customWidth="1" min="5" max="5"/>
    <col width="40" customWidth="1" min="6" max="6"/>
    <col width="22" customWidth="1" min="7" max="7"/>
    <col width="9" customWidth="1" min="8" max="8"/>
    <col width="30" customWidth="1" min="9" max="9"/>
    <col width="14" customWidth="1" min="10" max="10"/>
    <col width="34" customWidth="1" min="11" max="11"/>
    <col width="12" customWidth="1" min="12" max="12"/>
    <col width="12" customWidth="1" min="13" max="13"/>
    <col width="16" customWidth="1" min="14" max="14"/>
    <col width="44" customWidth="1" min="15" max="15"/>
    <col width="40" customWidth="1" min="16" max="16"/>
    <col width="40" customWidth="1" min="17" max="17"/>
  </cols>
  <sheetData>
    <row r="1" ht="48" customHeight="1">
      <c r="A1" s="1" t="inlineStr">
        <is>
          <t>#</t>
        </is>
      </c>
      <c r="B1" s="1" t="inlineStr">
        <is>
          <t>کشور</t>
        </is>
      </c>
      <c r="C1" s="1" t="inlineStr">
        <is>
          <t>دانشگاه</t>
        </is>
      </c>
      <c r="D1" s="1" t="inlineStr">
        <is>
          <t>شهر</t>
        </is>
      </c>
      <c r="E1" s="1" t="inlineStr">
        <is>
          <t>هزینهٔ زندگی شهر (تقریبی، ماهانه با اجاره)</t>
        </is>
      </c>
      <c r="F1" s="1" t="inlineStr">
        <is>
          <t>برنامه</t>
        </is>
      </c>
      <c r="G1" s="1" t="inlineStr">
        <is>
          <t>حوزه</t>
        </is>
      </c>
      <c r="H1" s="1" t="inlineStr">
        <is>
          <t>مدت</t>
        </is>
      </c>
      <c r="I1" s="1" t="inlineStr">
        <is>
          <t>شهریهٔ سالانه (2026/27؛ اگر نرخ 2027/28 منتشر شده، ذکر شده) — ارز محلی</t>
        </is>
      </c>
      <c r="J1" s="1" t="inlineStr">
        <is>
          <t>≈ شهریهٔ سالانه به دلار</t>
        </is>
      </c>
      <c r="K1" s="1" t="inlineStr">
        <is>
          <t>شرط ورود</t>
        </is>
      </c>
      <c r="L1" s="1" t="inlineStr">
        <is>
          <t>IELTS</t>
        </is>
      </c>
      <c r="M1" s="1" t="inlineStr">
        <is>
          <t>QS 2027</t>
        </is>
      </c>
      <c r="N1" s="1" t="inlineStr">
        <is>
          <t>Safe / Target / Reach (معدل ۱۵.۷۷)</t>
        </is>
      </c>
      <c r="O1" s="1" t="inlineStr">
        <is>
          <t>بازار کار حوزه (۱–۵) و نکته</t>
        </is>
      </c>
      <c r="P1" s="1" t="inlineStr">
        <is>
          <t>نکتهٔ برنامه</t>
        </is>
      </c>
      <c r="Q1" s="1" t="inlineStr">
        <is>
          <t>منبع (صفحهٔ رسمی)</t>
        </is>
      </c>
    </row>
    <row r="2">
      <c r="A2" s="2" t="n">
        <v>1</v>
      </c>
      <c r="B2" s="2" t="inlineStr">
        <is>
          <t>انگلستان</t>
        </is>
      </c>
      <c r="C2" s="4" t="inlineStr">
        <is>
          <t>Teesside University</t>
        </is>
      </c>
      <c r="D2" s="4" t="inlineStr">
        <is>
          <t>Middlesbrough (میدلزبرو) — شمال شرق انگلستان</t>
        </is>
      </c>
      <c r="E2" s="4" t="inlineStr">
        <is>
          <t>ارزان — £950–1,150</t>
        </is>
      </c>
      <c r="F2" s="4" t="inlineStr">
        <is>
          <t>MSc Computer Science</t>
        </is>
      </c>
      <c r="G2" s="4" t="inlineStr">
        <is>
          <t>مهندسی نرم‌افزار / علوم کامپیوتر</t>
        </is>
      </c>
      <c r="H2" s="4" t="inlineStr">
        <is>
          <t>۱ سال</t>
        </is>
      </c>
      <c r="I2" s="4" t="inlineStr">
        <is>
          <t>£17,000</t>
        </is>
      </c>
      <c r="J2" s="4" t="inlineStr">
        <is>
          <t>$22,500</t>
        </is>
      </c>
      <c r="K2" s="4" t="inlineStr">
        <is>
          <t>2:2 در رشتهٔ مرتبط</t>
        </is>
      </c>
      <c r="L2" s="4" t="inlineStr">
        <is>
          <t>6.0</t>
        </is>
      </c>
      <c r="M2" s="4" t="inlineStr">
        <is>
          <t>— (THE 601–800)</t>
        </is>
      </c>
      <c r="N2" s="7" t="inlineStr">
        <is>
          <t>Safe</t>
        </is>
      </c>
      <c r="O2" s="4" t="inlineStr">
        <is>
          <t>4/5 — بیشترین حجم آگهی در هر ۶ کشور؛ ورود جونیور از ۲۰۲۳ سخت‌تر شده — سابقهٔ کار شما مزیت است</t>
        </is>
      </c>
      <c r="P2" s="4" t="inlineStr">
        <is>
          <t>ارزان‌ترین گزینهٔ معتبر انگلستان؛ Middlesbrough ارزان ولی بازار کار محلی کوچک</t>
        </is>
      </c>
      <c r="Q2" s="8" t="inlineStr">
        <is>
          <t>https://www.tees.ac.uk/postgraduate_courses/computing_&amp;_cyber_security/msc_computer_science.cfm</t>
        </is>
      </c>
    </row>
    <row r="3">
      <c r="A3" s="2" t="n">
        <v>2</v>
      </c>
      <c r="B3" s="2" t="inlineStr">
        <is>
          <t>انگلستان</t>
        </is>
      </c>
      <c r="C3" s="4" t="inlineStr">
        <is>
          <t>Teesside University</t>
        </is>
      </c>
      <c r="D3" s="4" t="inlineStr">
        <is>
          <t>Middlesbrough (میدلزبرو) — شمال شرق انگلستان</t>
        </is>
      </c>
      <c r="E3" s="4" t="inlineStr">
        <is>
          <t>ارزان — £950–1,150</t>
        </is>
      </c>
      <c r="F3" s="4" t="inlineStr">
        <is>
          <t>MSc Artificial Intelligence</t>
        </is>
      </c>
      <c r="G3" s="4" t="inlineStr">
        <is>
          <t>هوش مصنوعی / یادگیری ماشین</t>
        </is>
      </c>
      <c r="H3" s="4" t="inlineStr">
        <is>
          <t>۱ سال</t>
        </is>
      </c>
      <c r="I3" s="4" t="inlineStr">
        <is>
          <t>£17,000</t>
        </is>
      </c>
      <c r="J3" s="4" t="inlineStr">
        <is>
          <t>$22,500</t>
        </is>
      </c>
      <c r="K3" s="4" t="inlineStr">
        <is>
          <t>2:2 در رشتهٔ مرتبط</t>
        </is>
      </c>
      <c r="L3" s="4" t="inlineStr">
        <is>
          <t>6.0</t>
        </is>
      </c>
      <c r="M3" s="4" t="inlineStr">
        <is>
          <t>—</t>
        </is>
      </c>
      <c r="N3" s="7" t="inlineStr">
        <is>
          <t>Safe</t>
        </is>
      </c>
      <c r="O3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3" s="4" t="inlineStr">
        <is>
          <t>همان باند شهریهٔ Teesside</t>
        </is>
      </c>
      <c r="Q3" s="8" t="inlineStr">
        <is>
          <t>https://www.tees.ac.uk/postgraduate_courses/computing_&amp;_cyber_security/msc_artificial_intelligence.cfm</t>
        </is>
      </c>
    </row>
    <row r="4">
      <c r="A4" s="2" t="n">
        <v>3</v>
      </c>
      <c r="B4" s="2" t="inlineStr">
        <is>
          <t>انگلستان</t>
        </is>
      </c>
      <c r="C4" s="4" t="inlineStr">
        <is>
          <t>Teesside University</t>
        </is>
      </c>
      <c r="D4" s="4" t="inlineStr">
        <is>
          <t>Middlesbrough (میدلزبرو) — شمال شرق انگلستان</t>
        </is>
      </c>
      <c r="E4" s="4" t="inlineStr">
        <is>
          <t>ارزان — £950–1,150</t>
        </is>
      </c>
      <c r="F4" s="4" t="inlineStr">
        <is>
          <t>MSc Cyber Security (BCS accredited)</t>
        </is>
      </c>
      <c r="G4" s="4" t="inlineStr">
        <is>
          <t>امنیت سایبری</t>
        </is>
      </c>
      <c r="H4" s="4" t="inlineStr">
        <is>
          <t>۱ سال</t>
        </is>
      </c>
      <c r="I4" s="4" t="inlineStr">
        <is>
          <t>£17,000</t>
        </is>
      </c>
      <c r="J4" s="4" t="inlineStr">
        <is>
          <t>$22,500</t>
        </is>
      </c>
      <c r="K4" s="4" t="inlineStr">
        <is>
          <t>2:2 در رشتهٔ مرتبط</t>
        </is>
      </c>
      <c r="L4" s="4" t="inlineStr">
        <is>
          <t>6.0</t>
        </is>
      </c>
      <c r="M4" s="4" t="inlineStr">
        <is>
          <t>—</t>
        </is>
      </c>
      <c r="N4" s="7" t="inlineStr">
        <is>
          <t>Safe</t>
        </is>
      </c>
      <c r="O4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4" s="4" t="inlineStr">
        <is>
          <t>اعتبار BCS؛ بدون NCSC</t>
        </is>
      </c>
      <c r="Q4" s="8" t="inlineStr">
        <is>
          <t>https://www.tees.ac.uk/postgraduate_courses/computing_&amp;_cyber_security/msc_cyber_security.cfm</t>
        </is>
      </c>
    </row>
    <row r="5">
      <c r="A5" s="2" t="n">
        <v>4</v>
      </c>
      <c r="B5" s="2" t="inlineStr">
        <is>
          <t>انگلستان</t>
        </is>
      </c>
      <c r="C5" s="4" t="inlineStr">
        <is>
          <t>Northumbria University</t>
        </is>
      </c>
      <c r="D5" s="4" t="inlineStr">
        <is>
          <t>Newcastle upon Tyne (نیوکاسل) — شمال شرق</t>
        </is>
      </c>
      <c r="E5" s="4" t="inlineStr">
        <is>
          <t>ارزان تا متوسط — £950–1,250</t>
        </is>
      </c>
      <c r="F5" s="4" t="inlineStr">
        <is>
          <t>MSc Advanced Computer Science</t>
        </is>
      </c>
      <c r="G5" s="4" t="inlineStr">
        <is>
          <t>مهندسی نرم‌افزار / علوم کامپیوتر</t>
        </is>
      </c>
      <c r="H5" s="4" t="inlineStr">
        <is>
          <t>۱ سال</t>
        </is>
      </c>
      <c r="I5" s="4" t="inlineStr">
        <is>
          <t>£21,500</t>
        </is>
      </c>
      <c r="J5" s="4" t="inlineStr">
        <is>
          <t>$28,500</t>
        </is>
      </c>
      <c r="K5" s="4" t="inlineStr">
        <is>
          <t>2:2 در رشتهٔ کامپیوتری</t>
        </is>
      </c>
      <c r="L5" s="4" t="inlineStr">
        <is>
          <t>6.5</t>
        </is>
      </c>
      <c r="M5" s="4">
        <f>528</f>
        <v/>
      </c>
      <c r="N5" s="7" t="inlineStr">
        <is>
          <t>Safe</t>
        </is>
      </c>
      <c r="O5" s="4" t="inlineStr">
        <is>
          <t>4/5 — بیشترین حجم آگهی در هر ۶ کشور؛ ورود جونیور از ۲۰۲۳ سخت‌تر شده — سابقهٔ کار شما مزیت است</t>
        </is>
      </c>
      <c r="P5" s="4" t="inlineStr">
        <is>
          <t>Newcastle: شهر دانشجویی ارزان با بازار فناوری متوسط</t>
        </is>
      </c>
      <c r="Q5" s="8" t="inlineStr">
        <is>
          <t>https://www.northumbria.ac.uk/study-at-northumbria/courses/msc-advanced-computer-science-dtfava6/</t>
        </is>
      </c>
    </row>
    <row r="6">
      <c r="A6" s="2" t="n">
        <v>5</v>
      </c>
      <c r="B6" s="2" t="inlineStr">
        <is>
          <t>انگلستان</t>
        </is>
      </c>
      <c r="C6" s="4" t="inlineStr">
        <is>
          <t>Northumbria University</t>
        </is>
      </c>
      <c r="D6" s="4" t="inlineStr">
        <is>
          <t>Newcastle upon Tyne (نیوکاسل) — شمال شرق</t>
        </is>
      </c>
      <c r="E6" s="4" t="inlineStr">
        <is>
          <t>ارزان تا متوسط — £950–1,250</t>
        </is>
      </c>
      <c r="F6" s="4" t="inlineStr">
        <is>
          <t>MSc Artificial Intelligence</t>
        </is>
      </c>
      <c r="G6" s="4" t="inlineStr">
        <is>
          <t>هوش مصنوعی / یادگیری ماشین</t>
        </is>
      </c>
      <c r="H6" s="4" t="inlineStr">
        <is>
          <t>۱ سال</t>
        </is>
      </c>
      <c r="I6" s="4" t="inlineStr">
        <is>
          <t>£21,500</t>
        </is>
      </c>
      <c r="J6" s="4" t="inlineStr">
        <is>
          <t>$28,500</t>
        </is>
      </c>
      <c r="K6" s="4" t="inlineStr">
        <is>
          <t>2:2 در رشتهٔ کامپیوتری/ریاضی</t>
        </is>
      </c>
      <c r="L6" s="4" t="inlineStr">
        <is>
          <t>6.5</t>
        </is>
      </c>
      <c r="M6" s="4">
        <f>528</f>
        <v/>
      </c>
      <c r="N6" s="7" t="inlineStr">
        <is>
          <t>Safe</t>
        </is>
      </c>
      <c r="O6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6" s="4" t="inlineStr">
        <is>
          <t>شهریهٔ رسمی 2026/27</t>
        </is>
      </c>
      <c r="Q6" s="8" t="inlineStr">
        <is>
          <t>https://www.northumbria.ac.uk/study-at-northumbria/courses/msc-artificial-intelligence-dtfari6/</t>
        </is>
      </c>
    </row>
    <row r="7">
      <c r="A7" s="2" t="n">
        <v>6</v>
      </c>
      <c r="B7" s="2" t="inlineStr">
        <is>
          <t>انگلستان</t>
        </is>
      </c>
      <c r="C7" s="4" t="inlineStr">
        <is>
          <t>Nottingham Trent University (NTU)</t>
        </is>
      </c>
      <c r="D7" s="4" t="inlineStr">
        <is>
          <t>Nottingham (ناتینگهام) — میدلندز</t>
        </is>
      </c>
      <c r="E7" s="4" t="inlineStr">
        <is>
          <t>متوسط — £1,000–1,300</t>
        </is>
      </c>
      <c r="F7" s="4" t="inlineStr">
        <is>
          <t>MSc Artificial Intelligence</t>
        </is>
      </c>
      <c r="G7" s="4" t="inlineStr">
        <is>
          <t>هوش مصنوعی / یادگیری ماشین</t>
        </is>
      </c>
      <c r="H7" s="4" t="inlineStr">
        <is>
          <t>۱ سال</t>
        </is>
      </c>
      <c r="I7" s="4" t="inlineStr">
        <is>
          <t>≈ £19,900</t>
        </is>
      </c>
      <c r="J7" s="4" t="inlineStr">
        <is>
          <t>$26,400</t>
        </is>
      </c>
      <c r="K7" s="4" t="inlineStr">
        <is>
          <t>2:2 (≈ ۵۵٪)</t>
        </is>
      </c>
      <c r="L7" s="4" t="inlineStr">
        <is>
          <t>6.5</t>
        </is>
      </c>
      <c r="M7" s="4">
        <f>639</f>
        <v/>
      </c>
      <c r="N7" s="7" t="inlineStr">
        <is>
          <t>Safe</t>
        </is>
      </c>
      <c r="O7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7" s="4" t="inlineStr">
        <is>
          <t>رقم از دو مرجع ثانویه؛ صفحهٔ رسمی 2026/27 را قبل از اقدام چک کنید</t>
        </is>
      </c>
      <c r="Q7" s="8" t="inlineStr">
        <is>
          <t>https://www.ntu.ac.uk/study-and-courses/courses</t>
        </is>
      </c>
    </row>
    <row r="8">
      <c r="A8" s="2" t="n">
        <v>7</v>
      </c>
      <c r="B8" s="2" t="inlineStr">
        <is>
          <t>انگلستان</t>
        </is>
      </c>
      <c r="C8" s="4" t="inlineStr">
        <is>
          <t>Nottingham Trent University (NTU)</t>
        </is>
      </c>
      <c r="D8" s="4" t="inlineStr">
        <is>
          <t>Nottingham (ناتینگهام) — میدلندز</t>
        </is>
      </c>
      <c r="E8" s="4" t="inlineStr">
        <is>
          <t>متوسط — £1,000–1,300</t>
        </is>
      </c>
      <c r="F8" s="4" t="inlineStr">
        <is>
          <t>MSc Cyber Security</t>
        </is>
      </c>
      <c r="G8" s="4" t="inlineStr">
        <is>
          <t>امنیت سایبری</t>
        </is>
      </c>
      <c r="H8" s="4" t="inlineStr">
        <is>
          <t>۱ سال</t>
        </is>
      </c>
      <c r="I8" s="4" t="inlineStr">
        <is>
          <t>≈ £19,900</t>
        </is>
      </c>
      <c r="J8" s="4" t="inlineStr">
        <is>
          <t>$26,400</t>
        </is>
      </c>
      <c r="K8" s="4" t="inlineStr">
        <is>
          <t>2:2</t>
        </is>
      </c>
      <c r="L8" s="4" t="inlineStr">
        <is>
          <t>6.5</t>
        </is>
      </c>
      <c r="M8" s="4">
        <f>639</f>
        <v/>
      </c>
      <c r="N8" s="7" t="inlineStr">
        <is>
          <t>Safe</t>
        </is>
      </c>
      <c r="O8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8" s="4" t="inlineStr">
        <is>
          <t>همان باند NTU (≈)</t>
        </is>
      </c>
      <c r="Q8" s="8" t="inlineStr">
        <is>
          <t>https://www.ntu.ac.uk/study-and-courses/courses</t>
        </is>
      </c>
    </row>
    <row r="9">
      <c r="A9" s="2" t="n">
        <v>8</v>
      </c>
      <c r="B9" s="2" t="inlineStr">
        <is>
          <t>انگلستان</t>
        </is>
      </c>
      <c r="C9" s="4" t="inlineStr">
        <is>
          <t>Manchester Metropolitan University (MMU)</t>
        </is>
      </c>
      <c r="D9" s="4" t="inlineStr">
        <is>
          <t>Manchester (منچستر) — دومین قطب فناوری انگلستان</t>
        </is>
      </c>
      <c r="E9" s="4" t="inlineStr">
        <is>
          <t>متوسط — £1,050–1,350</t>
        </is>
      </c>
      <c r="F9" s="4" t="inlineStr">
        <is>
          <t>MSc Cyber Security</t>
        </is>
      </c>
      <c r="G9" s="4" t="inlineStr">
        <is>
          <t>امنیت سایبری</t>
        </is>
      </c>
      <c r="H9" s="4" t="inlineStr">
        <is>
          <t>۱ سال</t>
        </is>
      </c>
      <c r="I9" s="4" t="inlineStr">
        <is>
          <t>£21,000</t>
        </is>
      </c>
      <c r="J9" s="4" t="inlineStr">
        <is>
          <t>$27,800</t>
        </is>
      </c>
      <c r="K9" s="4" t="inlineStr">
        <is>
          <t>2:2 در رشتهٔ کامپیوتری</t>
        </is>
      </c>
      <c r="L9" s="4" t="inlineStr">
        <is>
          <t>6.5</t>
        </is>
      </c>
      <c r="M9" s="4" t="inlineStr">
        <is>
          <t>≈ 600–650</t>
        </is>
      </c>
      <c r="N9" s="7" t="inlineStr">
        <is>
          <t>Safe</t>
        </is>
      </c>
      <c r="O9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9" s="4" t="inlineStr">
        <is>
          <t>Manchester دومین قطب فناوری انگلستان؛ شهریهٔ رسمی overseas 2026/27</t>
        </is>
      </c>
      <c r="Q9" s="8" t="inlineStr">
        <is>
          <t>https://www.mmu.ac.uk/study/postgraduate/course/msc-cyber-security</t>
        </is>
      </c>
    </row>
    <row r="10">
      <c r="A10" s="2" t="n">
        <v>9</v>
      </c>
      <c r="B10" s="2" t="inlineStr">
        <is>
          <t>انگلستان</t>
        </is>
      </c>
      <c r="C10" s="4" t="inlineStr">
        <is>
          <t>University of Essex</t>
        </is>
      </c>
      <c r="D10" s="4" t="inlineStr">
        <is>
          <t>Colchester (کولچستر) — Essex، ۵۰ دقیقه تا لندن</t>
        </is>
      </c>
      <c r="E10" s="4" t="inlineStr">
        <is>
          <t>متوسط — £1,000–1,350</t>
        </is>
      </c>
      <c r="F10" s="4" t="inlineStr">
        <is>
          <t>MSc Advanced Computer Science</t>
        </is>
      </c>
      <c r="G10" s="4" t="inlineStr">
        <is>
          <t>مهندسی نرم‌افزار / علوم کامپیوتر</t>
        </is>
      </c>
      <c r="H10" s="4" t="inlineStr">
        <is>
          <t>۱ سال</t>
        </is>
      </c>
      <c r="I10" s="4" t="inlineStr">
        <is>
          <t>£24,675</t>
        </is>
      </c>
      <c r="J10" s="4" t="inlineStr">
        <is>
          <t>$32,700</t>
        </is>
      </c>
      <c r="K10" s="4" t="inlineStr">
        <is>
          <t>2:2؛ Computer Engineering پذیرفته می‌شود</t>
        </is>
      </c>
      <c r="L10" s="4" t="inlineStr">
        <is>
          <t>6.0</t>
        </is>
      </c>
      <c r="M10" s="4">
        <f>438</f>
        <v/>
      </c>
      <c r="N10" s="9" t="inlineStr">
        <is>
          <t>Safe/Target</t>
        </is>
      </c>
      <c r="O10" s="4" t="inlineStr">
        <is>
          <t>4/5 — بیشترین حجم آگهی در هر ۶ کشور؛ ورود جونیور از ۲۰۲۳ سخت‌تر شده — سابقهٔ کار شما مزیت است</t>
        </is>
      </c>
      <c r="P10" s="4" t="inlineStr">
        <is>
          <t>۵۰ دقیقه تا لندن؛ دانشکدهٔ CSEE قوی در AI</t>
        </is>
      </c>
      <c r="Q10" s="8" t="inlineStr">
        <is>
          <t>https://www.essex.ac.uk/courses/pg00435/1/msc-advanced-computer-science</t>
        </is>
      </c>
    </row>
    <row r="11">
      <c r="A11" s="2" t="n">
        <v>10</v>
      </c>
      <c r="B11" s="2" t="inlineStr">
        <is>
          <t>انگلستان</t>
        </is>
      </c>
      <c r="C11" s="4" t="inlineStr">
        <is>
          <t>University of Essex</t>
        </is>
      </c>
      <c r="D11" s="4" t="inlineStr">
        <is>
          <t>Colchester (کولچستر) — Essex، ۵۰ دقیقه تا لندن</t>
        </is>
      </c>
      <c r="E11" s="4" t="inlineStr">
        <is>
          <t>متوسط — £1,000–1,350</t>
        </is>
      </c>
      <c r="F11" s="4" t="inlineStr">
        <is>
          <t>MSc Artificial Intelligence</t>
        </is>
      </c>
      <c r="G11" s="4" t="inlineStr">
        <is>
          <t>هوش مصنوعی / یادگیری ماشین</t>
        </is>
      </c>
      <c r="H11" s="4" t="inlineStr">
        <is>
          <t>۱ سال</t>
        </is>
      </c>
      <c r="I11" s="4" t="inlineStr">
        <is>
          <t>£24,675</t>
        </is>
      </c>
      <c r="J11" s="4" t="inlineStr">
        <is>
          <t>$32,700</t>
        </is>
      </c>
      <c r="K11" s="4" t="inlineStr">
        <is>
          <t>2:2 در رشتهٔ کامپیوتری/ریاضی</t>
        </is>
      </c>
      <c r="L11" s="4" t="inlineStr">
        <is>
          <t>6.0</t>
        </is>
      </c>
      <c r="M11" s="4">
        <f>438</f>
        <v/>
      </c>
      <c r="N11" s="9" t="inlineStr">
        <is>
          <t>Safe/Target</t>
        </is>
      </c>
      <c r="O11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11" s="4" t="inlineStr">
        <is>
          <t>ورودی اکتبر ۲۰۲۶ تأیید شده</t>
        </is>
      </c>
      <c r="Q11" s="8" t="inlineStr">
        <is>
          <t>https://www.essex.ac.uk/courses/pg00457/1/msc-artificial-intelligence</t>
        </is>
      </c>
    </row>
    <row r="12">
      <c r="A12" s="2" t="n">
        <v>11</v>
      </c>
      <c r="B12" s="2" t="inlineStr">
        <is>
          <t>انگلستان</t>
        </is>
      </c>
      <c r="C12" s="4" t="inlineStr">
        <is>
          <t>University of Leicester</t>
        </is>
      </c>
      <c r="D12" s="4" t="inlineStr">
        <is>
          <t>Leicester (لستر) — میدلندز</t>
        </is>
      </c>
      <c r="E12" s="4" t="inlineStr">
        <is>
          <t>متوسط — £1,000–1,300</t>
        </is>
      </c>
      <c r="F12" s="4" t="inlineStr">
        <is>
          <t>MSc Advanced Computer Science</t>
        </is>
      </c>
      <c r="G12" s="4" t="inlineStr">
        <is>
          <t>مهندسی نرم‌افزار / علوم کامپیوتر</t>
        </is>
      </c>
      <c r="H12" s="4" t="inlineStr">
        <is>
          <t>۱ سال</t>
        </is>
      </c>
      <c r="I12" s="4" t="inlineStr">
        <is>
          <t>£24,250</t>
        </is>
      </c>
      <c r="J12" s="4" t="inlineStr">
        <is>
          <t>$32,100</t>
        </is>
      </c>
      <c r="K12" s="4" t="inlineStr">
        <is>
          <t>2:1 (سابقهٔ کار مرتبط جبران می‌کند)</t>
        </is>
      </c>
      <c r="L12" s="4" t="inlineStr">
        <is>
          <t>6.5</t>
        </is>
      </c>
      <c r="M12" s="4">
        <f>314</f>
        <v/>
      </c>
      <c r="N12" s="10" t="inlineStr">
        <is>
          <t>Target</t>
        </is>
      </c>
      <c r="O12" s="4" t="inlineStr">
        <is>
          <t>4/5 — بیشترین حجم آگهی در هر ۶ کشور؛ ورود جونیور از ۲۰۲۳ سخت‌تر شده — سابقهٔ کار شما مزیت است</t>
        </is>
      </c>
      <c r="P12" s="4" t="inlineStr">
        <is>
          <t>رتبهٔ بهتر با شهریهٔ نزدیک Essex</t>
        </is>
      </c>
      <c r="Q12" s="8" t="inlineStr">
        <is>
          <t>https://le.ac.uk/courses/advanced-computer-science-msc/2026</t>
        </is>
      </c>
    </row>
    <row r="13">
      <c r="A13" s="2" t="n">
        <v>12</v>
      </c>
      <c r="B13" s="2" t="inlineStr">
        <is>
          <t>انگلستان</t>
        </is>
      </c>
      <c r="C13" s="4" t="inlineStr">
        <is>
          <t>University of Leicester</t>
        </is>
      </c>
      <c r="D13" s="4" t="inlineStr">
        <is>
          <t>Leicester (لستر) — میدلندز</t>
        </is>
      </c>
      <c r="E13" s="4" t="inlineStr">
        <is>
          <t>متوسط — £1,000–1,300</t>
        </is>
      </c>
      <c r="F13" s="4" t="inlineStr">
        <is>
          <t>MSc Artificial Intelligence</t>
        </is>
      </c>
      <c r="G13" s="4" t="inlineStr">
        <is>
          <t>هوش مصنوعی / یادگیری ماشین</t>
        </is>
      </c>
      <c r="H13" s="4" t="inlineStr">
        <is>
          <t>۱ سال</t>
        </is>
      </c>
      <c r="I13" s="4" t="inlineStr">
        <is>
          <t>£24,250</t>
        </is>
      </c>
      <c r="J13" s="4" t="inlineStr">
        <is>
          <t>$32,100</t>
        </is>
      </c>
      <c r="K13" s="4" t="inlineStr">
        <is>
          <t>2:1</t>
        </is>
      </c>
      <c r="L13" s="4" t="inlineStr">
        <is>
          <t>6.5</t>
        </is>
      </c>
      <c r="M13" s="4">
        <f>314</f>
        <v/>
      </c>
      <c r="N13" s="10" t="inlineStr">
        <is>
          <t>Target</t>
        </is>
      </c>
      <c r="O13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13" s="4" t="inlineStr"/>
      <c r="Q13" s="8" t="inlineStr">
        <is>
          <t>https://le.ac.uk/courses/artificial-intelligence-msc/2026</t>
        </is>
      </c>
    </row>
    <row r="14">
      <c r="A14" s="2" t="n">
        <v>13</v>
      </c>
      <c r="B14" s="2" t="inlineStr">
        <is>
          <t>انگلستان</t>
        </is>
      </c>
      <c r="C14" s="4" t="inlineStr">
        <is>
          <t>University of Leicester</t>
        </is>
      </c>
      <c r="D14" s="4" t="inlineStr">
        <is>
          <t>Leicester (لستر) — میدلندز</t>
        </is>
      </c>
      <c r="E14" s="4" t="inlineStr">
        <is>
          <t>متوسط — £1,000–1,300</t>
        </is>
      </c>
      <c r="F14" s="4" t="inlineStr">
        <is>
          <t>MSc Cloud Computing</t>
        </is>
      </c>
      <c r="G14" s="4" t="inlineStr">
        <is>
          <t>ابری / سیستم‌های توزیع‌شده / DevOps</t>
        </is>
      </c>
      <c r="H14" s="4" t="inlineStr">
        <is>
          <t>۱ سال</t>
        </is>
      </c>
      <c r="I14" s="4" t="inlineStr">
        <is>
          <t>£24,250</t>
        </is>
      </c>
      <c r="J14" s="4" t="inlineStr">
        <is>
          <t>$32,100</t>
        </is>
      </c>
      <c r="K14" s="4" t="inlineStr">
        <is>
          <t>2:1</t>
        </is>
      </c>
      <c r="L14" s="4" t="inlineStr">
        <is>
          <t>6.5</t>
        </is>
      </c>
      <c r="M14" s="4">
        <f>314</f>
        <v/>
      </c>
      <c r="N14" s="10" t="inlineStr">
        <is>
          <t>Target</t>
        </is>
      </c>
      <c r="O14" s="4" t="inlineStr">
        <is>
          <t>4/5 — تقاضای پایدار و کمتر مدرک‌محور؛ گواهی AWS/Azure کنار مدرک وزن زیادی دارد</t>
        </is>
      </c>
      <c r="P14" s="4" t="inlineStr">
        <is>
          <t>یکی از معدود ارشدهای خالص Cloud در انگلستان</t>
        </is>
      </c>
      <c r="Q14" s="8" t="inlineStr">
        <is>
          <t>https://le.ac.uk/courses/cloud-computing-msc/2026</t>
        </is>
      </c>
    </row>
    <row r="15">
      <c r="A15" s="2" t="n">
        <v>14</v>
      </c>
      <c r="B15" s="2" t="inlineStr">
        <is>
          <t>انگلستان</t>
        </is>
      </c>
      <c r="C15" s="4" t="inlineStr">
        <is>
          <t>Brunel University London</t>
        </is>
      </c>
      <c r="D15" s="4" t="inlineStr">
        <is>
          <t>London – Uxbridge (لندن، غرب؛ کمپوس Brunel)</t>
        </is>
      </c>
      <c r="E15" s="4" t="inlineStr">
        <is>
          <t>خیلی گران — £1,400–1,800</t>
        </is>
      </c>
      <c r="F15" s="4" t="inlineStr">
        <is>
          <t>MSc Artificial Intelligence</t>
        </is>
      </c>
      <c r="G15" s="4" t="inlineStr">
        <is>
          <t>هوش مصنوعی / یادگیری ماشین</t>
        </is>
      </c>
      <c r="H15" s="4" t="inlineStr">
        <is>
          <t>۱ سال</t>
        </is>
      </c>
      <c r="I15" s="4" t="inlineStr">
        <is>
          <t>£24,795</t>
        </is>
      </c>
      <c r="J15" s="4" t="inlineStr">
        <is>
          <t>$32,900</t>
        </is>
      </c>
      <c r="K15" s="4" t="inlineStr">
        <is>
          <t>2:2</t>
        </is>
      </c>
      <c r="L15" s="4" t="inlineStr">
        <is>
          <t>6.5</t>
        </is>
      </c>
      <c r="M15" s="4" t="inlineStr">
        <is>
          <t>353</t>
        </is>
      </c>
      <c r="N15" s="9" t="inlineStr">
        <is>
          <t>Safe/Target</t>
        </is>
      </c>
      <c r="O15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15" s="4" t="inlineStr">
        <is>
          <t>لندن = بازار کار بزرگ ولی زندگی £1,400–1,800/ماه؛ بورس تا £6,000 تضمینی نیست</t>
        </is>
      </c>
      <c r="Q15" s="8" t="inlineStr">
        <is>
          <t>https://www.brunel.ac.uk/study/courses/artificial-intelligence-msc</t>
        </is>
      </c>
    </row>
    <row r="16">
      <c r="A16" s="2" t="n">
        <v>15</v>
      </c>
      <c r="B16" s="2" t="inlineStr">
        <is>
          <t>انگلستان</t>
        </is>
      </c>
      <c r="C16" s="4" t="inlineStr">
        <is>
          <t>Brunel University London</t>
        </is>
      </c>
      <c r="D16" s="4" t="inlineStr">
        <is>
          <t>London – Uxbridge (لندن، غرب؛ کمپوس Brunel)</t>
        </is>
      </c>
      <c r="E16" s="4" t="inlineStr">
        <is>
          <t>خیلی گران — £1,400–1,800</t>
        </is>
      </c>
      <c r="F16" s="4" t="inlineStr">
        <is>
          <t>MSc Data Science and Analytics</t>
        </is>
      </c>
      <c r="G16" s="4" t="inlineStr">
        <is>
          <t>علم داده / تحلیل داده</t>
        </is>
      </c>
      <c r="H16" s="4" t="inlineStr">
        <is>
          <t>۱ سال</t>
        </is>
      </c>
      <c r="I16" s="4" t="inlineStr">
        <is>
          <t>£24,795</t>
        </is>
      </c>
      <c r="J16" s="4" t="inlineStr">
        <is>
          <t>$32,900</t>
        </is>
      </c>
      <c r="K16" s="4" t="inlineStr">
        <is>
          <t>2:2</t>
        </is>
      </c>
      <c r="L16" s="4" t="inlineStr">
        <is>
          <t>6.5</t>
        </is>
      </c>
      <c r="M16" s="4" t="inlineStr">
        <is>
          <t>353</t>
        </is>
      </c>
      <c r="N16" s="9" t="inlineStr">
        <is>
          <t>Safe/Target</t>
        </is>
      </c>
      <c r="O16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16" s="4" t="inlineStr"/>
      <c r="Q16" s="8" t="inlineStr">
        <is>
          <t>https://www.brunel.ac.uk/study/courses/data-science-and-analytics-msc</t>
        </is>
      </c>
    </row>
    <row r="17">
      <c r="A17" s="2" t="n">
        <v>16</v>
      </c>
      <c r="B17" s="2" t="inlineStr">
        <is>
          <t>انگلستان</t>
        </is>
      </c>
      <c r="C17" s="4" t="inlineStr">
        <is>
          <t>University of Kent</t>
        </is>
      </c>
      <c r="D17" s="4" t="inlineStr">
        <is>
          <t>Canterbury (کنتربری) — Kent</t>
        </is>
      </c>
      <c r="E17" s="4" t="inlineStr">
        <is>
          <t>متوسط — £1,000–1,350</t>
        </is>
      </c>
      <c r="F17" s="4" t="inlineStr">
        <is>
          <t>MSc Cyber Security (NCSC fully certified + BCS)</t>
        </is>
      </c>
      <c r="G17" s="4" t="inlineStr">
        <is>
          <t>امنیت سایبری</t>
        </is>
      </c>
      <c r="H17" s="4" t="inlineStr">
        <is>
          <t>۱ سال</t>
        </is>
      </c>
      <c r="I17" s="4" t="inlineStr">
        <is>
          <t>≈ £23,500</t>
        </is>
      </c>
      <c r="J17" s="4" t="inlineStr">
        <is>
          <t>$31,100</t>
        </is>
      </c>
      <c r="K17" s="4" t="inlineStr">
        <is>
          <t>«good 2:2»</t>
        </is>
      </c>
      <c r="L17" s="4" t="inlineStr">
        <is>
          <t>6.5</t>
        </is>
      </c>
      <c r="M17" s="4" t="inlineStr">
        <is>
          <t>415</t>
        </is>
      </c>
      <c r="N17" s="10" t="inlineStr">
        <is>
          <t>Target</t>
        </is>
      </c>
      <c r="O17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17" s="4" t="inlineStr">
        <is>
          <t>گواهی کامل NCSC = معتبرترین برچسب امنیت در بریتانیا؛ رقم شهریه از مرجع ثانویه</t>
        </is>
      </c>
      <c r="Q17" s="8" t="inlineStr">
        <is>
          <t>https://www.kent.ac.uk/courses/postgraduate/1225/cyber-security</t>
        </is>
      </c>
    </row>
    <row r="18">
      <c r="A18" s="2" t="n">
        <v>17</v>
      </c>
      <c r="B18" s="2" t="inlineStr">
        <is>
          <t>انگلستان</t>
        </is>
      </c>
      <c r="C18" s="4" t="inlineStr">
        <is>
          <t>Royal Holloway, University of London</t>
        </is>
      </c>
      <c r="D18" s="4" t="inlineStr">
        <is>
          <t>Egham، Surrey (اگام؛ ۴۰ دقیقه تا لندن)</t>
        </is>
      </c>
      <c r="E18" s="4" t="inlineStr">
        <is>
          <t>گران — £1,300–1,600</t>
        </is>
      </c>
      <c r="F18" s="4" t="inlineStr">
        <is>
          <t>MSc Information and Cyber Security</t>
        </is>
      </c>
      <c r="G18" s="4" t="inlineStr">
        <is>
          <t>امنیت سایبری</t>
        </is>
      </c>
      <c r="H18" s="4" t="inlineStr">
        <is>
          <t>۱ سال</t>
        </is>
      </c>
      <c r="I18" s="4" t="inlineStr">
        <is>
          <t>£25,500</t>
        </is>
      </c>
      <c r="J18" s="4" t="inlineStr">
        <is>
          <t>$33,800</t>
        </is>
      </c>
      <c r="K18" s="4" t="inlineStr">
        <is>
          <t>2:2</t>
        </is>
      </c>
      <c r="L18" s="4" t="inlineStr">
        <is>
          <t>6.5</t>
        </is>
      </c>
      <c r="M18" s="4">
        <f>485</f>
        <v/>
      </c>
      <c r="N18" s="10" t="inlineStr">
        <is>
          <t>Target</t>
        </is>
      </c>
      <c r="O18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18" s="4" t="inlineStr">
        <is>
          <t>قدیمی‌ترین گروه امنیت اطلاعات بریتانیا (ISG)؛ NCSC certified</t>
        </is>
      </c>
      <c r="Q18" s="8" t="inlineStr">
        <is>
          <t>https://www.royalholloway.ac.uk/studying-here/postgraduate/information-security/information-and-cyber-security/</t>
        </is>
      </c>
    </row>
    <row r="19">
      <c r="A19" s="2" t="n">
        <v>18</v>
      </c>
      <c r="B19" s="2" t="inlineStr">
        <is>
          <t>انگلستان</t>
        </is>
      </c>
      <c r="C19" s="4" t="inlineStr">
        <is>
          <t>Goldsmiths, University of London</t>
        </is>
      </c>
      <c r="D19" s="4" t="inlineStr">
        <is>
          <t>London – New Cross (لندن، جنوب شرق؛ Goldsmiths)</t>
        </is>
      </c>
      <c r="E19" s="4" t="inlineStr">
        <is>
          <t>خیلی گران — £1,400–1,800</t>
        </is>
      </c>
      <c r="F19" s="4" t="inlineStr">
        <is>
          <t>MSc Computer Games Programming</t>
        </is>
      </c>
      <c r="G19" s="4" t="inlineStr">
        <is>
          <t>توسعه بازی</t>
        </is>
      </c>
      <c r="H19" s="4" t="inlineStr">
        <is>
          <t>۱ سال</t>
        </is>
      </c>
      <c r="I19" s="4" t="inlineStr">
        <is>
          <t>£22,000</t>
        </is>
      </c>
      <c r="J19" s="4" t="inlineStr">
        <is>
          <t>$29,200</t>
        </is>
      </c>
      <c r="K19" s="4" t="inlineStr">
        <is>
          <t>مدرک second-class در رشتهٔ برنامه‌نویسی</t>
        </is>
      </c>
      <c r="L19" s="4" t="inlineStr">
        <is>
          <t>6.5 (6.0)</t>
        </is>
      </c>
      <c r="M19" s="4" t="inlineStr">
        <is>
          <t>≈ 800–1000</t>
        </is>
      </c>
      <c r="N19" s="9" t="inlineStr">
        <is>
          <t>Safe/Target</t>
        </is>
      </c>
      <c r="O19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19" s="4" t="inlineStr">
        <is>
          <t>پورتفولیوی Unity/C# شما اینجا مستقیماً به کار می‌آید؛ بازار بازی ۲۰۲۲–۲۵ ضعیف</t>
        </is>
      </c>
      <c r="Q19" s="8" t="inlineStr">
        <is>
          <t>https://www.gold.ac.uk/pg/msc-computer-games-programming/</t>
        </is>
      </c>
    </row>
    <row r="20">
      <c r="A20" s="2" t="n">
        <v>19</v>
      </c>
      <c r="B20" s="2" t="inlineStr">
        <is>
          <t>انگلستان</t>
        </is>
      </c>
      <c r="C20" s="4" t="inlineStr">
        <is>
          <t>University of Surrey</t>
        </is>
      </c>
      <c r="D20" s="4" t="inlineStr">
        <is>
          <t>Guildford (گیلفورد) — Surrey، ۳۵ دقیقه تا لندن؛ قطب بازی‌سازی</t>
        </is>
      </c>
      <c r="E20" s="4" t="inlineStr">
        <is>
          <t>گران — £1,300–1,600</t>
        </is>
      </c>
      <c r="F20" s="4" t="inlineStr">
        <is>
          <t>MSc Artificial Intelligence</t>
        </is>
      </c>
      <c r="G20" s="4" t="inlineStr">
        <is>
          <t>هوش مصنوعی / یادگیری ماشین</t>
        </is>
      </c>
      <c r="H20" s="4" t="inlineStr">
        <is>
          <t>۱ سال</t>
        </is>
      </c>
      <c r="I20" s="4" t="inlineStr">
        <is>
          <t>≈ £26,900–27,500</t>
        </is>
      </c>
      <c r="J20" s="4" t="inlineStr">
        <is>
          <t>$35,600–36,400</t>
        </is>
      </c>
      <c r="K20" s="4" t="inlineStr">
        <is>
          <t>2:2</t>
        </is>
      </c>
      <c r="L20" s="4" t="inlineStr">
        <is>
          <t>6.5</t>
        </is>
      </c>
      <c r="M20" s="4">
        <f>246</f>
        <v/>
      </c>
      <c r="N20" s="10" t="inlineStr">
        <is>
          <t>Target</t>
        </is>
      </c>
      <c r="O20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20" s="4" t="inlineStr">
        <is>
          <t>Guildford قطب بازی‌سازی و امنیت بریتانیا (نزدیک لندن)؛ رقم AI برآورد است (Cyber همین دانشگاه: £26,900 برای سپتامبر ۲۰۲۷ رسمی)</t>
        </is>
      </c>
      <c r="Q20" s="8" t="inlineStr">
        <is>
          <t>https://www.surrey.ac.uk/postgraduate/artificial-intelligence-msc</t>
        </is>
      </c>
    </row>
    <row r="21">
      <c r="A21" s="2" t="n">
        <v>20</v>
      </c>
      <c r="B21" s="2" t="inlineStr">
        <is>
          <t>انگلستان</t>
        </is>
      </c>
      <c r="C21" s="4" t="inlineStr">
        <is>
          <t>University of Surrey</t>
        </is>
      </c>
      <c r="D21" s="4" t="inlineStr">
        <is>
          <t>Guildford (گیلفورد) — Surrey، ۳۵ دقیقه تا لندن؛ قطب بازی‌سازی</t>
        </is>
      </c>
      <c r="E21" s="4" t="inlineStr">
        <is>
          <t>گران — £1,300–1,600</t>
        </is>
      </c>
      <c r="F21" s="4" t="inlineStr">
        <is>
          <t>MSc Cyber Security (NCSC)</t>
        </is>
      </c>
      <c r="G21" s="4" t="inlineStr">
        <is>
          <t>امنیت سایبری</t>
        </is>
      </c>
      <c r="H21" s="4" t="inlineStr">
        <is>
          <t>۱ سال</t>
        </is>
      </c>
      <c r="I21" s="4" t="inlineStr">
        <is>
          <t>£26,900 (ورودی سپتامبر ۲۰۲۷ — رسمی؛ فوریه ۲۰۲۷: £25,900)</t>
        </is>
      </c>
      <c r="J21" s="4" t="inlineStr">
        <is>
          <t>$35,600</t>
        </is>
      </c>
      <c r="K21" s="4" t="inlineStr">
        <is>
          <t>2:2</t>
        </is>
      </c>
      <c r="L21" s="4" t="inlineStr">
        <is>
          <t>6.5 (W 6.0)</t>
        </is>
      </c>
      <c r="M21" s="4">
        <f>246</f>
        <v/>
      </c>
      <c r="N21" s="10" t="inlineStr">
        <is>
          <t>Target</t>
        </is>
      </c>
      <c r="O21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21" s="4" t="inlineStr">
        <is>
          <t>رقم رسمی دقیقاً برای سال ورود شما (سپتامبر ۲۰۲۷)</t>
        </is>
      </c>
      <c r="Q21" s="8" t="inlineStr">
        <is>
          <t>https://www.surrey.ac.uk/postgraduate/cyber-security-msc</t>
        </is>
      </c>
    </row>
    <row r="22">
      <c r="A22" s="2" t="n">
        <v>21</v>
      </c>
      <c r="B22" s="2" t="inlineStr">
        <is>
          <t>انگلستان</t>
        </is>
      </c>
      <c r="C22" s="4" t="inlineStr">
        <is>
          <t>University of York</t>
        </is>
      </c>
      <c r="D22" s="4" t="inlineStr">
        <is>
          <t>York (یورک) — شمال انگلستان</t>
        </is>
      </c>
      <c r="E22" s="4" t="inlineStr">
        <is>
          <t>متوسط — £1,000–1,350</t>
        </is>
      </c>
      <c r="F22" s="4" t="inlineStr">
        <is>
          <t>MSc Advanced Computer Science</t>
        </is>
      </c>
      <c r="G22" s="4" t="inlineStr">
        <is>
          <t>مهندسی نرم‌افزار / علوم کامپیوتر</t>
        </is>
      </c>
      <c r="H22" s="4" t="inlineStr">
        <is>
          <t>۱ سال</t>
        </is>
      </c>
      <c r="I22" s="4" t="inlineStr">
        <is>
          <t>£32,900</t>
        </is>
      </c>
      <c r="J22" s="4" t="inlineStr">
        <is>
          <t>$43,600</t>
        </is>
      </c>
      <c r="K22" s="4" t="inlineStr">
        <is>
          <t>2:2 با پیش‌زمینهٔ قوی</t>
        </is>
      </c>
      <c r="L22" s="4" t="inlineStr">
        <is>
          <t>6.5</t>
        </is>
      </c>
      <c r="M22" s="4">
        <f>158</f>
        <v/>
      </c>
      <c r="N22" s="11" t="inlineStr">
        <is>
          <t>Target/Reach</t>
        </is>
      </c>
      <c r="O22" s="4" t="inlineStr">
        <is>
          <t>4/5 — بیشترین حجم آگهی در هر ۶ کشور؛ ورود جونیور از ۲۰۲۳ سخت‌تر شده — سابقهٔ کار شما مزیت است</t>
        </is>
      </c>
      <c r="P22" s="4" t="inlineStr">
        <is>
          <t>Russell Group؛ گران</t>
        </is>
      </c>
      <c r="Q22" s="8" t="inlineStr">
        <is>
          <t>https://www.york.ac.uk/study/postgraduate-taught/courses/msc-advanced-computer-science/</t>
        </is>
      </c>
    </row>
    <row r="23">
      <c r="A23" s="2" t="n">
        <v>22</v>
      </c>
      <c r="B23" s="2" t="inlineStr">
        <is>
          <t>انگلستان</t>
        </is>
      </c>
      <c r="C23" s="4" t="inlineStr">
        <is>
          <t>University of York</t>
        </is>
      </c>
      <c r="D23" s="4" t="inlineStr">
        <is>
          <t>York (یورک) — شمال انگلستان</t>
        </is>
      </c>
      <c r="E23" s="4" t="inlineStr">
        <is>
          <t>متوسط — £1,000–1,350</t>
        </is>
      </c>
      <c r="F23" s="4" t="inlineStr">
        <is>
          <t>MSc Human-Centred Interactive Technologies</t>
        </is>
      </c>
      <c r="G23" s="4" t="inlineStr">
        <is>
          <t>HCI / طراحی تعامل / UX</t>
        </is>
      </c>
      <c r="H23" s="4" t="inlineStr">
        <is>
          <t>۱ سال</t>
        </is>
      </c>
      <c r="I23" s="4" t="inlineStr">
        <is>
          <t>£32,900</t>
        </is>
      </c>
      <c r="J23" s="4" t="inlineStr">
        <is>
          <t>$43,600</t>
        </is>
      </c>
      <c r="K23" s="4" t="inlineStr">
        <is>
          <t>2:2</t>
        </is>
      </c>
      <c r="L23" s="4" t="inlineStr">
        <is>
          <t>6.5</t>
        </is>
      </c>
      <c r="M23" s="4">
        <f>158</f>
        <v/>
      </c>
      <c r="N23" s="10" t="inlineStr">
        <is>
          <t>Target</t>
        </is>
      </c>
      <c r="O23" s="4" t="inlineStr">
        <is>
          <t>2/5 — آگهی‌های UX/UXR از ۲۰۲۲ حدود ۷۰٪ کم شده و از ۲۰۲۳ ثابت مانده؛ رقابت شدید، حقوق شروع کمتر از توسعه‌دهنده</t>
        </is>
      </c>
      <c r="P23" s="4" t="inlineStr">
        <is>
          <t>بهترین برنامهٔ HCI انگلستان برای معدل شما؛ ولی بازار UX ضعیف</t>
        </is>
      </c>
      <c r="Q23" s="8" t="inlineStr">
        <is>
          <t>https://www.york.ac.uk/study/postgraduate-taught/courses/msc-human-centred-interactive-technologies/</t>
        </is>
      </c>
    </row>
    <row r="24">
      <c r="A24" s="2" t="n">
        <v>23</v>
      </c>
      <c r="B24" s="2" t="inlineStr">
        <is>
          <t>انگلستان</t>
        </is>
      </c>
      <c r="C24" s="4" t="inlineStr">
        <is>
          <t>Newcastle University (Russell Group)</t>
        </is>
      </c>
      <c r="D24" s="4" t="inlineStr">
        <is>
          <t>Newcastle upon Tyne (نیوکاسل) — شمال شرق</t>
        </is>
      </c>
      <c r="E24" s="4" t="inlineStr">
        <is>
          <t>ارزان تا متوسط — £950–1,250</t>
        </is>
      </c>
      <c r="F24" s="4" t="inlineStr">
        <is>
          <t>MSc Computer Game Engineering</t>
        </is>
      </c>
      <c r="G24" s="4" t="inlineStr">
        <is>
          <t>توسعه بازی</t>
        </is>
      </c>
      <c r="H24" s="4" t="inlineStr">
        <is>
          <t>۱ سال</t>
        </is>
      </c>
      <c r="I24" s="4" t="inlineStr">
        <is>
          <t>£32,300 (2026)</t>
        </is>
      </c>
      <c r="J24" s="4" t="inlineStr">
        <is>
          <t>$42,800</t>
        </is>
      </c>
      <c r="K24" s="4" t="inlineStr">
        <is>
          <t>2:2 در رشتهٔ کامپیوتری/ریاضی‌محور (طبق QS TopUniversities و IDP — صفحهٔ رسمی را چک کنید)</t>
        </is>
      </c>
      <c r="L24" s="4" t="inlineStr">
        <is>
          <t>6.5</t>
        </is>
      </c>
      <c r="M24" s="4" t="inlineStr">
        <is>
          <t>149</t>
        </is>
      </c>
      <c r="N24" s="11" t="inlineStr">
        <is>
          <t>Target/Reach</t>
        </is>
      </c>
      <c r="O24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24" s="4" t="inlineStr">
        <is>
          <t>معتبرترین ارشد مهندسی بازی انگلستان؛ گران</t>
        </is>
      </c>
      <c r="Q24" s="8" t="inlineStr">
        <is>
          <t>https://www.ncl.ac.uk/postgraduate/</t>
        </is>
      </c>
    </row>
    <row r="25">
      <c r="A25" s="2" t="n">
        <v>24</v>
      </c>
      <c r="B25" s="2" t="inlineStr">
        <is>
          <t>انگلستان</t>
        </is>
      </c>
      <c r="C25" s="4" t="inlineStr">
        <is>
          <t>Lancaster University</t>
        </is>
      </c>
      <c r="D25" s="4" t="inlineStr">
        <is>
          <t>Lancaster (لنکستر) — شمال غرب</t>
        </is>
      </c>
      <c r="E25" s="4" t="inlineStr">
        <is>
          <t>ارزان تا متوسط — £950–1,250</t>
        </is>
      </c>
      <c r="F25" s="4" t="inlineStr">
        <is>
          <t>MSc Cyber Security</t>
        </is>
      </c>
      <c r="G25" s="4" t="inlineStr">
        <is>
          <t>امنیت سایبری</t>
        </is>
      </c>
      <c r="H25" s="4" t="inlineStr">
        <is>
          <t>۱ سال</t>
        </is>
      </c>
      <c r="I25" s="4" t="inlineStr">
        <is>
          <t>£30,000 (بورس خودکار £4,500 با 2:1)</t>
        </is>
      </c>
      <c r="J25" s="4" t="inlineStr">
        <is>
          <t>$39,800</t>
        </is>
      </c>
      <c r="K25" s="4" t="inlineStr">
        <is>
          <t>2:1</t>
        </is>
      </c>
      <c r="L25" s="4" t="inlineStr">
        <is>
          <t>6.5</t>
        </is>
      </c>
      <c r="M25" s="4" t="inlineStr">
        <is>
          <t>164</t>
        </is>
      </c>
      <c r="N25" s="12" t="inlineStr">
        <is>
          <t>Reach</t>
        </is>
      </c>
      <c r="O25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25" s="4" t="inlineStr">
        <is>
          <t>NCSC-certified؛ شرط 2:1 برای معدل شما سخت است</t>
        </is>
      </c>
      <c r="Q25" s="8" t="inlineStr">
        <is>
          <t>https://www.lancaster.ac.uk/study/postgraduate/postgraduate-courses/cyber-security-msc/2026/</t>
        </is>
      </c>
    </row>
    <row r="26">
      <c r="A26" s="2" t="n">
        <v>25</v>
      </c>
      <c r="B26" s="2" t="inlineStr">
        <is>
          <t>انگلستان</t>
        </is>
      </c>
      <c r="C26" s="4" t="inlineStr">
        <is>
          <t>University of Sheffield (Russell Group)</t>
        </is>
      </c>
      <c r="D26" s="4" t="inlineStr">
        <is>
          <t>Sheffield (شفیلد) — یورکشایر</t>
        </is>
      </c>
      <c r="E26" s="4" t="inlineStr">
        <is>
          <t>ارزان تا متوسط — £950–1,250</t>
        </is>
      </c>
      <c r="F26" s="4" t="inlineStr">
        <is>
          <t>MSc Artificial Intelligence</t>
        </is>
      </c>
      <c r="G26" s="4" t="inlineStr">
        <is>
          <t>هوش مصنوعی / یادگیری ماشین</t>
        </is>
      </c>
      <c r="H26" s="4" t="inlineStr">
        <is>
          <t>۱ سال</t>
        </is>
      </c>
      <c r="I26" s="4" t="inlineStr">
        <is>
          <t>≈ £32,900–34,340 (2026؛ MSc AI for Engineering همین دانشگاه رسماً £32,905)</t>
        </is>
      </c>
      <c r="J26" s="4" t="inlineStr">
        <is>
          <t>$43,600–45,500</t>
        </is>
      </c>
      <c r="K26" s="4" t="inlineStr">
        <is>
          <t>2:1</t>
        </is>
      </c>
      <c r="L26" s="4" t="inlineStr">
        <is>
          <t>6.5</t>
        </is>
      </c>
      <c r="M26" s="4" t="inlineStr">
        <is>
          <t>82</t>
        </is>
      </c>
      <c r="N26" s="12" t="inlineStr">
        <is>
          <t>Reach</t>
        </is>
      </c>
      <c r="O26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26" s="4" t="inlineStr">
        <is>
          <t>رتبهٔ بالا، شهریه و شرط ورود بالا؛ رقم دقیق MSc AI را از صفحهٔ رسمی بگیرید</t>
        </is>
      </c>
      <c r="Q26" s="8" t="inlineStr">
        <is>
          <t>https://www.sheffield.ac.uk/postgraduate/taught/courses</t>
        </is>
      </c>
    </row>
    <row r="27">
      <c r="A27" s="2" t="n">
        <v>26</v>
      </c>
      <c r="B27" s="2" t="inlineStr">
        <is>
          <t>سوئیس</t>
        </is>
      </c>
      <c r="C27" s="4" t="inlineStr">
        <is>
          <t>USI – Università della Svizzera italiana</t>
        </is>
      </c>
      <c r="D27" s="4" t="inlineStr">
        <is>
          <t>Lugano (لوگانو) — تیچینو، ایتالیایی‌زبان؛ IDSIA؛ ارزان‌ترین شهر دانشگاهی سوئیس</t>
        </is>
      </c>
      <c r="E27" s="4" t="inlineStr">
        <is>
          <t>گران — CHF 1,400–1,800</t>
        </is>
      </c>
      <c r="F27" s="4" t="inlineStr">
        <is>
          <t>MSc Informatics (گرایش‌ها: Artificial Intelligence، Software Development، Systems…)</t>
        </is>
      </c>
      <c r="G27" s="4" t="inlineStr">
        <is>
          <t>مهندسی نرم‌افزار / علوم کامپیوتر</t>
        </is>
      </c>
      <c r="H27" s="4" t="inlineStr">
        <is>
          <t>۲ سال (120 ECTS)</t>
        </is>
      </c>
      <c r="I27" s="4" t="inlineStr">
        <is>
          <t>CHF 4,000 در ترم برای غیرمقیم سوئیس (CHF 8,000/سال)</t>
        </is>
      </c>
      <c r="J27" s="4" t="inlineStr">
        <is>
          <t>$9,700</t>
        </is>
      </c>
      <c r="K27" s="4" t="inlineStr">
        <is>
          <t>کارشناسی CS/مرتبط؛ فارغ‌التحصیل UAS با ۳۰–۶۰ ECTS تکمیلی؛ بررسی موردی</t>
        </is>
      </c>
      <c r="L27" s="4" t="inlineStr">
        <is>
          <t>B2 در ورود (IELTS 5.5) → C1 (7.0) تا فارغ‌التحصیلی</t>
        </is>
      </c>
      <c r="M27" s="4">
        <f>456</f>
        <v/>
      </c>
      <c r="N27" s="10" t="inlineStr">
        <is>
          <t>Target</t>
        </is>
      </c>
      <c r="O27" s="4" t="inlineStr">
        <is>
          <t>4/5 — بیشترین حجم آگهی در هر ۶ کشور؛ ورود جونیور از ۲۰۲۳ سخت‌تر شده — سابقهٔ کار شما مزیت است</t>
        </is>
      </c>
      <c r="P27" s="4" t="inlineStr">
        <is>
          <t>کم‌شرط‌ترین ورود سوئیس؛ Lugano ارزان‌ترین شهر دانشگاهی سوئیس؛ مهلت غیر-EU ۳۰ آوریل ۲۰۲۷؛ زبان شهر ایتالیایی</t>
        </is>
      </c>
      <c r="Q27" s="8" t="inlineStr">
        <is>
          <t>https://www.usi.ch/en/education/master/informatics</t>
        </is>
      </c>
    </row>
    <row r="28">
      <c r="A28" s="2" t="n">
        <v>27</v>
      </c>
      <c r="B28" s="2" t="inlineStr">
        <is>
          <t>سوئیس</t>
        </is>
      </c>
      <c r="C28" s="4" t="inlineStr">
        <is>
          <t>USI – Università della Svizzera italiana</t>
        </is>
      </c>
      <c r="D28" s="4" t="inlineStr">
        <is>
          <t>Lugano (لوگانو) — تیچینو، ایتالیایی‌زبان؛ IDSIA؛ ارزان‌ترین شهر دانشگاهی سوئیس</t>
        </is>
      </c>
      <c r="E28" s="4" t="inlineStr">
        <is>
          <t>گران — CHF 1,400–1,800</t>
        </is>
      </c>
      <c r="F28" s="4" t="inlineStr">
        <is>
          <t>MSc Artificial Intelligence (با IDSIA)</t>
        </is>
      </c>
      <c r="G28" s="4" t="inlineStr">
        <is>
          <t>هوش مصنوعی / یادگیری ماشین</t>
        </is>
      </c>
      <c r="H28" s="4" t="inlineStr">
        <is>
          <t>۲ سال (120 ECTS)</t>
        </is>
      </c>
      <c r="I28" s="4" t="inlineStr">
        <is>
          <t>CHF 4,000 در ترم برای غیرمقیم (CHF 8,000/سال)</t>
        </is>
      </c>
      <c r="J28" s="4" t="inlineStr">
        <is>
          <t>$9,700</t>
        </is>
      </c>
      <c r="K28" s="4" t="inlineStr">
        <is>
          <t>کارشناسی CS/مرتبط با ریاضی و برنامه‌نویسی قوی؛ بررسی موردی</t>
        </is>
      </c>
      <c r="L28" s="4" t="inlineStr">
        <is>
          <t>6.5 (B2؛ C1 تا پایان دوره)</t>
        </is>
      </c>
      <c r="M28" s="4">
        <f>456</f>
        <v/>
      </c>
      <c r="N28" s="10" t="inlineStr">
        <is>
          <t>Target</t>
        </is>
      </c>
      <c r="O28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28" s="4" t="inlineStr">
        <is>
          <t>اولین ارشد AI سوئیس؛ IDSIA (آزمایشگاه Schmidhuber/LSTM)؛ رقابتی‌تر از Informatics</t>
        </is>
      </c>
      <c r="Q28" s="8" t="inlineStr">
        <is>
          <t>https://www.usi.ch/en/education/master/artificial-intelligence</t>
        </is>
      </c>
    </row>
    <row r="29">
      <c r="A29" s="2" t="n">
        <v>28</v>
      </c>
      <c r="B29" s="2" t="inlineStr">
        <is>
          <t>سوئیس</t>
        </is>
      </c>
      <c r="C29" s="4" t="inlineStr">
        <is>
          <t>USI – Università della Svizzera italiana</t>
        </is>
      </c>
      <c r="D29" s="4" t="inlineStr">
        <is>
          <t>Lugano (لوگانو) — تیچینو، ایتالیایی‌زبان؛ IDSIA؛ ارزان‌ترین شهر دانشگاهی سوئیس</t>
        </is>
      </c>
      <c r="E29" s="4" t="inlineStr">
        <is>
          <t>گران — CHF 1,400–1,800</t>
        </is>
      </c>
      <c r="F29" s="4" t="inlineStr">
        <is>
          <t>MSc Software and Data Engineering</t>
        </is>
      </c>
      <c r="G29" s="4" t="inlineStr">
        <is>
          <t>علم داده / تحلیل داده</t>
        </is>
      </c>
      <c r="H29" s="4" t="inlineStr">
        <is>
          <t>۲ سال (120 ECTS)</t>
        </is>
      </c>
      <c r="I29" s="4" t="inlineStr">
        <is>
          <t>CHF 4,000 در ترم برای غیرمقیم (CHF 8,000/سال)</t>
        </is>
      </c>
      <c r="J29" s="4" t="inlineStr">
        <is>
          <t>$9,700</t>
        </is>
      </c>
      <c r="K29" s="4" t="inlineStr">
        <is>
          <t>کارشناسی CS/مرتبط</t>
        </is>
      </c>
      <c r="L29" s="4" t="inlineStr">
        <is>
          <t>B2 → C1</t>
        </is>
      </c>
      <c r="M29" s="4">
        <f>456</f>
        <v/>
      </c>
      <c r="N29" s="10" t="inlineStr">
        <is>
          <t>Target</t>
        </is>
      </c>
      <c r="O29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29" s="4" t="inlineStr">
        <is>
          <t>ترکیب مهندسی نرم‌افزار + مهندسی داده (Data Engineering — همان توصیهٔ شیت حوزه‌ها)؛ کم‌رقابت‌تر از AI</t>
        </is>
      </c>
      <c r="Q29" s="8" t="inlineStr">
        <is>
          <t>https://www.usi.ch/en/education/master/software-and-data-engineering</t>
        </is>
      </c>
    </row>
    <row r="30">
      <c r="A30" s="2" t="n">
        <v>29</v>
      </c>
      <c r="B30" s="2" t="inlineStr">
        <is>
          <t>سوئیس</t>
        </is>
      </c>
      <c r="C30" s="4" t="inlineStr">
        <is>
          <t>Hochschule Luzern (HSLU)</t>
        </is>
      </c>
      <c r="D30" s="4" t="inlineStr">
        <is>
          <t>Lucerne / Luzern (لوسرن) — مرکز سوئیس، ۴۵ دقیقه تا زوریخ</t>
        </is>
      </c>
      <c r="E30" s="4" t="inlineStr">
        <is>
          <t>گران — CHF 1,550–1,950</t>
        </is>
      </c>
      <c r="F30" s="4" t="inlineStr">
        <is>
          <t>MSc Applied Data Science and AI (نام جدید از اوت ۲۰۲۶؛ قبلاً Applied Information and Data Science)</t>
        </is>
      </c>
      <c r="G30" s="4" t="inlineStr">
        <is>
          <t>علم داده / تحلیل داده</t>
        </is>
      </c>
      <c r="H30" s="4" t="inlineStr">
        <is>
          <t>۲ سال (120 ECTS؛ معمولاً ۴ ترم، قابل تمدید تا ۸)</t>
        </is>
      </c>
      <c r="I30" s="4" t="inlineStr">
        <is>
          <t>CHF 1,300 در ترم (خارجی) + ≈ CHF 275 هزینهٔ جانبی ≈ CHF 3,150/سال؛ هزینهٔ درخواست CHF 250</t>
        </is>
      </c>
      <c r="J30" s="4" t="inlineStr">
        <is>
          <t>$3,800</t>
        </is>
      </c>
      <c r="K30" s="4" t="inlineStr">
        <is>
          <t>هر کارشناسی (دانشگاه یا UAS)؛ آزمون انگلیسی + آزمون استعداد HSLU</t>
        </is>
      </c>
      <c r="L30" s="4" t="inlineStr">
        <is>
          <t>C1 (B2 مشروط)</t>
        </is>
      </c>
      <c r="M30" s="4" t="inlineStr">
        <is>
          <t>—</t>
        </is>
      </c>
      <c r="N30" s="9" t="inlineStr">
        <is>
          <t>Safe/Target</t>
        </is>
      </c>
      <c r="O30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30" s="4" t="inlineStr">
        <is>
          <t>«باز برای تغییر رشته‌ای‌ها»، کاربردی و مدیریتی؛ ترکیبی (حضوری/آنلاین)؛ آلمانی لازم نیست؛ شروع سپتامبر/فوریه؛ ⚠️ مهلت ویزایی‌ها ۱ آوریل ۲۰۲۷ (رسمی؛ Swiss/EU تا ۱ ژوئن)</t>
        </is>
      </c>
      <c r="Q30" s="8" t="inlineStr">
        <is>
          <t>https://www.hslu.ch/en/lucerne-school-of-business/degree-programmes/master/applied-data-science-and-ai/</t>
        </is>
      </c>
    </row>
    <row r="31">
      <c r="A31" s="2" t="n">
        <v>30</v>
      </c>
      <c r="B31" s="2" t="inlineStr">
        <is>
          <t>سوئیس</t>
        </is>
      </c>
      <c r="C31" s="4" t="inlineStr">
        <is>
          <t>University of Bern</t>
        </is>
      </c>
      <c r="D31" s="4" t="inlineStr">
        <is>
          <t>Bern (برن) — پایتخت؛ آلمانی‌زبان</t>
        </is>
      </c>
      <c r="E31" s="4" t="inlineStr">
        <is>
          <t>گران — CHF 1,600–2,000</t>
        </is>
      </c>
      <c r="F31" s="4" t="inlineStr">
        <is>
          <t>Swiss Joint MSc Computer Science (Bern / Neuchâtel / Fribourg)</t>
        </is>
      </c>
      <c r="G31" s="4" t="inlineStr">
        <is>
          <t>مهندسی نرم‌افزار / علوم کامپیوتر</t>
        </is>
      </c>
      <c r="H31" s="4" t="inlineStr">
        <is>
          <t>۱.۵ سال (90 ECTS)</t>
        </is>
      </c>
      <c r="I31" s="4" t="inlineStr">
        <is>
          <t>CHF 850 + 1,700 اضافهٔ غیرسوئیسی‌ها (از پاییز ۲۰۲۶) + 34 + 25 = CHF 2,609 در ترم (≈ CHF 5,200/سال)</t>
        </is>
      </c>
      <c r="J31" s="4" t="inlineStr">
        <is>
          <t>$6,300</t>
        </is>
      </c>
      <c r="K31" s="4" t="inlineStr">
        <is>
          <t>کارشناسی Computer Science یا معادل (بررسی موردی؛ حداکثر ۶۰ ECTS تکمیلی — دروس تکمیلی ممکن است آلمانی/فرانسه باشند)</t>
        </is>
      </c>
      <c r="L31" s="4" t="inlineStr">
        <is>
          <t>بدون آزمون (B2 توصیه — FAQ رسمی)</t>
        </is>
      </c>
      <c r="M31" s="4">
        <f>191</f>
        <v/>
      </c>
      <c r="N31" s="10" t="inlineStr">
        <is>
          <t>Target</t>
        </is>
      </c>
      <c r="O31" s="4" t="inlineStr">
        <is>
          <t>4/5 — بیشترین حجم آگهی در هر ۶ کشور؛ ورود جونیور از ۲۰۲۳ سخت‌تر شده — سابقهٔ کار شما مزیت است</t>
        </is>
      </c>
      <c r="P31" s="4" t="inlineStr">
        <is>
          <t>⚠️ شهریهٔ خارجی‌ها از پاییز ۲۰۲۶ سه‌برابر شد (رسمی unibe.ch) → همان مدرک مشترک را از Neuchâtel (CHF 790/ترم) یا Fribourg (CHF 985/ترم) بگیرید؛ مهلت ۳۰ آوریل — ویزایی‌ها مهلت دیرهنگام ندارند</t>
        </is>
      </c>
      <c r="Q31" s="8" t="inlineStr">
        <is>
          <t>https://www.philnat.unibe.ch/studies/study_programs/master_s_in_computer_science/index_eng.html</t>
        </is>
      </c>
    </row>
    <row r="32">
      <c r="A32" s="2" t="n">
        <v>31</v>
      </c>
      <c r="B32" s="2" t="inlineStr">
        <is>
          <t>سوئیس</t>
        </is>
      </c>
      <c r="C32" s="4" t="inlineStr">
        <is>
          <t>University of Neuchâtel</t>
        </is>
      </c>
      <c r="D32" s="4" t="inlineStr">
        <is>
          <t>Neuchâtel (نوشاتل) — فرانسه‌زبان؛ کنار دریاچه؛ ۳۵ دقیقه تا برن</t>
        </is>
      </c>
      <c r="E32" s="4" t="inlineStr">
        <is>
          <t>متوسط تا گران — CHF 1,350–1,750</t>
        </is>
      </c>
      <c r="F32" s="4" t="inlineStr">
        <is>
          <t>Swiss Joint MSc Computer Science (ثبت‌نام در Neuchâtel)</t>
        </is>
      </c>
      <c r="G32" s="4" t="inlineStr">
        <is>
          <t>مهندسی نرم‌افزار / علوم کامپیوتر</t>
        </is>
      </c>
      <c r="H32" s="4" t="inlineStr">
        <is>
          <t>۱.۵ سال (90 ECTS)</t>
        </is>
      </c>
      <c r="I32" s="4" t="inlineStr">
        <is>
          <t>CHF 790 در ترم (خارجی؛ شامل همهٔ هزینه‌ها) = CHF 1,580/سال</t>
        </is>
      </c>
      <c r="J32" s="4" t="inlineStr">
        <is>
          <t>$1,900</t>
        </is>
      </c>
      <c r="K32" s="4" t="inlineStr">
        <is>
          <t>کارشناسی CS یا معادل (بررسی موردی؛ حداکثر ۶۰ ECTS تکمیلی)</t>
        </is>
      </c>
      <c r="L32" s="4" t="inlineStr">
        <is>
          <t>بدون آزمون (B2 توصیه — FAQ رسمی)</t>
        </is>
      </c>
      <c r="M32" s="4" t="inlineStr">
        <is>
          <t>—</t>
        </is>
      </c>
      <c r="N32" s="10" t="inlineStr">
        <is>
          <t>Target</t>
        </is>
      </c>
      <c r="O32" s="4" t="inlineStr">
        <is>
          <t>4/5 — بیشترین حجم آگهی در هر ۶ کشور؛ ورود جونیور از ۲۰۲۳ سخت‌تر شده — سابقهٔ کار شما مزیت است</t>
        </is>
      </c>
      <c r="P32" s="4" t="inlineStr">
        <is>
          <t>ارزان‌ترین شهریهٔ سوئیس؛ همان مدرک مشترک Bern/Fribourg (دروس در سه شهر، بلیت قطار جبران می‌شود)؛ مهلت ۳۰ آوریل (خارجی‌ها: تا ۳۱ مارس بفرستید)؛ هزینهٔ پرونده CHF 100 از شهریه کم می‌شود؛ شهر فرانسه‌زبان</t>
        </is>
      </c>
      <c r="Q32" s="8" t="inlineStr">
        <is>
          <t>https://mcs.unibnf.ch/</t>
        </is>
      </c>
    </row>
    <row r="33">
      <c r="A33" s="2" t="n">
        <v>32</v>
      </c>
      <c r="B33" s="2" t="inlineStr">
        <is>
          <t>سوئیس</t>
        </is>
      </c>
      <c r="C33" s="4" t="inlineStr">
        <is>
          <t>University of Fribourg</t>
        </is>
      </c>
      <c r="D33" s="4" t="inlineStr">
        <is>
          <t>Fribourg (فریبورگ) — دوزبانه (آلمانی/فرانسه)</t>
        </is>
      </c>
      <c r="E33" s="4" t="inlineStr">
        <is>
          <t>گران — CHF 1,450–1,800</t>
        </is>
      </c>
      <c r="F33" s="4" t="inlineStr">
        <is>
          <t>Swiss Joint MSc Computer Science (ثبت‌نام در Fribourg)</t>
        </is>
      </c>
      <c r="G33" s="4" t="inlineStr">
        <is>
          <t>مهندسی نرم‌افزار / علوم کامپیوتر</t>
        </is>
      </c>
      <c r="H33" s="4" t="inlineStr">
        <is>
          <t>۱.۵ سال (90 ECTS)</t>
        </is>
      </c>
      <c r="I33" s="4" t="inlineStr">
        <is>
          <t>CHF 870 + 115 = CHF 985 در ترم (خارجی؛ رسمی) = CHF 1,970/سال</t>
        </is>
      </c>
      <c r="J33" s="4" t="inlineStr">
        <is>
          <t>$2,400</t>
        </is>
      </c>
      <c r="K33" s="4" t="inlineStr">
        <is>
          <t>کارشناسی CS یا معادل (بررسی موردی؛ حداکثر ۶۰ ECTS تکمیلی)</t>
        </is>
      </c>
      <c r="L33" s="4" t="inlineStr">
        <is>
          <t>بدون آزمون (B2 توصیه — FAQ رسمی)</t>
        </is>
      </c>
      <c r="M33" s="4">
        <f>670</f>
        <v/>
      </c>
      <c r="N33" s="10" t="inlineStr">
        <is>
          <t>Target</t>
        </is>
      </c>
      <c r="O33" s="4" t="inlineStr">
        <is>
          <t>4/5 — بیشترین حجم آگهی در هر ۶ کشور؛ ورود جونیور از ۲۰۲۳ سخت‌تر شده — سابقهٔ کار شما مزیت است</t>
        </is>
      </c>
      <c r="P33" s="4" t="inlineStr">
        <is>
          <t>همان برنامهٔ مشترک Bern/Neuchâtel؛ شهر دوزبانه و ارزان‌تر؛ ⚠️ مهلت ویزایی‌ها ۱–۲۸ فوریه ۲۰۲۷ (رسمی unifr.ch)</t>
        </is>
      </c>
      <c r="Q33" s="8" t="inlineStr">
        <is>
          <t>https://www.unifr.ch/inf/en/</t>
        </is>
      </c>
    </row>
    <row r="34">
      <c r="A34" s="2" t="n">
        <v>33</v>
      </c>
      <c r="B34" s="2" t="inlineStr">
        <is>
          <t>سوئیس</t>
        </is>
      </c>
      <c r="C34" s="4" t="inlineStr">
        <is>
          <t>University of Basel</t>
        </is>
      </c>
      <c r="D34" s="4" t="inlineStr">
        <is>
          <t>Basel (بازل) — Roche، Novartis؛ مرز آلمان/فرانسه</t>
        </is>
      </c>
      <c r="E34" s="4" t="inlineStr">
        <is>
          <t>گران — CHF 1,600–2,100</t>
        </is>
      </c>
      <c r="F34" s="4" t="inlineStr">
        <is>
          <t>MSc Computer Science</t>
        </is>
      </c>
      <c r="G34" s="4" t="inlineStr">
        <is>
          <t>مهندسی نرم‌افزار / علوم کامپیوتر</t>
        </is>
      </c>
      <c r="H34" s="4" t="inlineStr">
        <is>
          <t>۱.۵ سال (90 ECTS)</t>
        </is>
      </c>
      <c r="I34" s="4" t="inlineStr">
        <is>
          <t>CHF 850 در ترم (برای همه؛ بدون اضافهٔ خارجی‌ها — رسمی 2026/27) = CHF 1,700/سال</t>
        </is>
      </c>
      <c r="J34" s="4" t="inlineStr">
        <is>
          <t>$2,100</t>
        </is>
      </c>
      <c r="K34" s="4" t="inlineStr">
        <is>
          <t>کارشناسی CS یا معادل با نمرات خوب؛ بررسی فردی</t>
        </is>
      </c>
      <c r="L34" s="4" t="inlineStr">
        <is>
          <t>B2–C1 (چک شود)</t>
        </is>
      </c>
      <c r="M34" s="4">
        <f>150</f>
        <v/>
      </c>
      <c r="N34" s="11" t="inlineStr">
        <is>
          <t>Target/Reach</t>
        </is>
      </c>
      <c r="O34" s="4" t="inlineStr">
        <is>
          <t>4/5 — بیشترین حجم آگهی در هر ۶ کشور؛ ورود جونیور از ۲۰۲۳ سخت‌تر شده — سابقهٔ کار شما مزیت است</t>
        </is>
      </c>
      <c r="P34" s="4" t="inlineStr">
        <is>
          <t>رتبهٔ ۱۵۰؛ 90 ECTS انگلیسی؛ هزینهٔ درخواست CHF 100؛ ⚠️ کانتون Basel تمکن CHF 24,000/سال می‌خواهد؛ مهلت ۳۰ آوریل (رسمی)</t>
        </is>
      </c>
      <c r="Q34" s="8" t="inlineStr">
        <is>
          <t>https://dmi.unibas.ch/en/studies/computer-science/masters/</t>
        </is>
      </c>
    </row>
    <row r="35">
      <c r="A35" s="2" t="n">
        <v>34</v>
      </c>
      <c r="B35" s="2" t="inlineStr">
        <is>
          <t>سوئیس</t>
        </is>
      </c>
      <c r="C35" s="4" t="inlineStr">
        <is>
          <t>University of Zurich (UZH)</t>
        </is>
      </c>
      <c r="D35" s="4" t="inlineStr">
        <is>
          <t>Zürich (زوریخ) — Google، UBS، ETH؛ گران‌ترین شهر دانشگاهی اروپا</t>
        </is>
      </c>
      <c r="E35" s="4" t="inlineStr">
        <is>
          <t>خیلی گران — CHF 1,900–2,500</t>
        </is>
      </c>
      <c r="F35" s="4" t="inlineStr">
        <is>
          <t>MSc Informatics (گرایش‌ها: Software Systems، Data Science، People-Oriented Computing…)</t>
        </is>
      </c>
      <c r="G35" s="4" t="inlineStr">
        <is>
          <t>مهندسی نرم‌افزار / علوم کامپیوتر</t>
        </is>
      </c>
      <c r="H35" s="4" t="inlineStr">
        <is>
          <t>۱.۵–۲ سال (90/120 ECTS)</t>
        </is>
      </c>
      <c r="I35" s="4" t="inlineStr">
        <is>
          <t>CHF 720 + 100 (خارجی) + 59 = CHF 879 در ترم (≈ CHF 1,760/سال)</t>
        </is>
      </c>
      <c r="J35" s="4" t="inlineStr">
        <is>
          <t>$2,100</t>
        </is>
      </c>
      <c r="K35" s="4" t="inlineStr">
        <is>
          <t>کارشناسی Informatics/CS با نمرات بسیار خوب؛ فقط یک درخواست در هر ترم؛ هزینهٔ درخواست CHF 150</t>
        </is>
      </c>
      <c r="L35" s="4" t="inlineStr">
        <is>
          <t>C1 / IELTS 7.0</t>
        </is>
      </c>
      <c r="M35" s="4">
        <f>98</f>
        <v/>
      </c>
      <c r="N35" s="12" t="inlineStr">
        <is>
          <t>Reach</t>
        </is>
      </c>
      <c r="O35" s="4" t="inlineStr">
        <is>
          <t>4/5 — بیشترین حجم آگهی در هر ۶ کشور؛ ورود جونیور از ۲۰۲۳ سخت‌تر شده — سابقهٔ کار شما مزیت است</t>
        </is>
      </c>
      <c r="P35" s="4" t="inlineStr">
        <is>
          <t>⚠️ مهلت ویزایی‌ها ۲۸ فوریه ۲۰۲۷ (بدون ویزا ۳۰ آوریل)؛ کانتون زوریخ: تمکن CHF 21,000 فقط در بانک سوئیسی به نام خودتان</t>
        </is>
      </c>
      <c r="Q35" s="8" t="inlineStr">
        <is>
          <t>https://www.ifi.uzh.ch/en/studies/master.html</t>
        </is>
      </c>
    </row>
    <row r="36">
      <c r="A36" s="2" t="n">
        <v>35</v>
      </c>
      <c r="B36" s="2" t="inlineStr">
        <is>
          <t>سوئیس</t>
        </is>
      </c>
      <c r="C36" s="4" t="inlineStr">
        <is>
          <t>ZHAW School of Engineering</t>
        </is>
      </c>
      <c r="D36" s="4" t="inlineStr">
        <is>
          <t>Zürich / Winterthur (زوریخ / وینترتور؛ کمپوس‌های ZHAW)</t>
        </is>
      </c>
      <c r="E36" s="4" t="inlineStr">
        <is>
          <t>خیلی گران — CHF 1,800–2,400</t>
        </is>
      </c>
      <c r="F36" s="4" t="inlineStr">
        <is>
          <t>MSc in Engineering (MSE) — پروفایل Computer Science / Data Science / Information &amp; Cyber Security</t>
        </is>
      </c>
      <c r="G36" s="4" t="inlineStr">
        <is>
          <t>چندحوزه‌ای (انتخاب گرایش)</t>
        </is>
      </c>
      <c r="H36" s="4" t="inlineStr">
        <is>
          <t>۱.۵ سال (90 ECTS؛ پاره‌وقت تا ۳ سال)</t>
        </is>
      </c>
      <c r="I36" s="4" t="inlineStr">
        <is>
          <t>CHF 1,220 در ترم (خارجی) + CHF 60 ≈ CHF 2,560/سال</t>
        </is>
      </c>
      <c r="J36" s="4" t="inlineStr">
        <is>
          <t>$3,100</t>
        </is>
      </c>
      <c r="K36" s="4" t="inlineStr">
        <is>
          <t>کارشناسی با نمرات A یا B (≈ یک‌سوم بالای کلاس) — گواهی رتبهٔ کلاسی از سمنان بگیرید</t>
        </is>
      </c>
      <c r="L36" s="4" t="inlineStr">
        <is>
          <t>B2–C1</t>
        </is>
      </c>
      <c r="M36" s="4" t="inlineStr">
        <is>
          <t>851–900</t>
        </is>
      </c>
      <c r="N36" s="11" t="inlineStr">
        <is>
          <t>Target/Reach</t>
        </is>
      </c>
      <c r="O36" s="4" t="inlineStr">
        <is>
          <t>4/5 — گرایش را بعد از ورود انتخاب می‌کنید؛ امتیاز بازار = گرایشی که برمی‌دارید</t>
        </is>
      </c>
      <c r="P36" s="4" t="inlineStr">
        <is>
          <t>کاربردی و پروژه‌محور (کار در مؤسسات ZHAW، اغلب با حقوق دستیاری)؛ مهلت پایان آوریل؛ کانتون زوریخ (تمکن در بانک سوئیسی)</t>
        </is>
      </c>
      <c r="Q36" s="8" t="inlineStr">
        <is>
          <t>https://www.zhaw.ch/en/engineering/study/masters-degree-programme</t>
        </is>
      </c>
    </row>
    <row r="37">
      <c r="A37" s="2" t="n">
        <v>36</v>
      </c>
      <c r="B37" s="2" t="inlineStr">
        <is>
          <t>سوئیس</t>
        </is>
      </c>
      <c r="C37" s="4" t="inlineStr">
        <is>
          <t>EPFL</t>
        </is>
      </c>
      <c r="D37" s="4" t="inlineStr">
        <is>
          <t>Lausanne (لوزان) — کنار دریاچهٔ ژنو؛ فرانسه‌زبان؛ EPFL</t>
        </is>
      </c>
      <c r="E37" s="4" t="inlineStr">
        <is>
          <t>خیلی گران — CHF 1,700–2,200</t>
        </is>
      </c>
      <c r="F37" s="4" t="inlineStr">
        <is>
          <t>MSc Computer Science</t>
        </is>
      </c>
      <c r="G37" s="4" t="inlineStr">
        <is>
          <t>مهندسی نرم‌افزار / علوم کامپیوتر</t>
        </is>
      </c>
      <c r="H37" s="4" t="inlineStr">
        <is>
          <t>۲ سال (120 ECTS)</t>
        </is>
      </c>
      <c r="I37" s="4" t="inlineStr">
        <is>
          <t>CHF 2,240 در ترم برای خارجی‌های غیرمقیم (از پاییز ۲۰۲۵؛ ≈ CHF 4,480/سال)</t>
        </is>
      </c>
      <c r="J37" s="4" t="inlineStr">
        <is>
          <t>$5,400</t>
        </is>
      </c>
      <c r="K37" s="4" t="inlineStr">
        <is>
          <t>کارشناسی CS با نمرات عالی (بالای کلاس)؛ فقط یک برنامه در سال</t>
        </is>
      </c>
      <c r="L37" s="4" t="inlineStr">
        <is>
          <t>مدرک زبان الزامی نیست (C1 عملاً لازم)</t>
        </is>
      </c>
      <c r="M37" s="4">
        <f>22</f>
        <v/>
      </c>
      <c r="N37" s="12" t="inlineStr">
        <is>
          <t>Reach</t>
        </is>
      </c>
      <c r="O37" s="4" t="inlineStr">
        <is>
          <t>4/5 — بیشترین حجم آگهی در هر ۶ کشور؛ ورود جونیور از ۲۰۲۳ سخت‌تر شده — سابقهٔ کار شما مزیت است</t>
        </is>
      </c>
      <c r="P37" s="4" t="inlineStr">
        <is>
          <t>دور اول ۱۵ دسامبر ۲۰۲۶ (توصیه برای ویزایی‌ها؛ پاسخ اوایل آوریل)، دور دوم ۳۱ مارس ۲۰۲۷؛ ⚠️ احتمال افزایش دوبارهٔ شهریه (EP27)</t>
        </is>
      </c>
      <c r="Q37" s="8" t="inlineStr">
        <is>
          <t>https://www.epfl.ch/education/master/programs/computer-science/</t>
        </is>
      </c>
    </row>
    <row r="38">
      <c r="A38" s="2" t="n">
        <v>37</v>
      </c>
      <c r="B38" s="2" t="inlineStr">
        <is>
          <t>سوئیس</t>
        </is>
      </c>
      <c r="C38" s="4" t="inlineStr">
        <is>
          <t>EPFL</t>
        </is>
      </c>
      <c r="D38" s="4" t="inlineStr">
        <is>
          <t>Lausanne (لوزان) — کنار دریاچهٔ ژنو؛ فرانسه‌زبان؛ EPFL</t>
        </is>
      </c>
      <c r="E38" s="4" t="inlineStr">
        <is>
          <t>خیلی گران — CHF 1,700–2,200</t>
        </is>
      </c>
      <c r="F38" s="4" t="inlineStr">
        <is>
          <t>MSc Data Science</t>
        </is>
      </c>
      <c r="G38" s="4" t="inlineStr">
        <is>
          <t>علم داده / تحلیل داده</t>
        </is>
      </c>
      <c r="H38" s="4" t="inlineStr">
        <is>
          <t>۲ سال (120 ECTS)</t>
        </is>
      </c>
      <c r="I38" s="4" t="inlineStr">
        <is>
          <t>CHF 2,240 در ترم (≈ CHF 4,480/سال)</t>
        </is>
      </c>
      <c r="J38" s="4" t="inlineStr">
        <is>
          <t>$5,400</t>
        </is>
      </c>
      <c r="K38" s="4" t="inlineStr">
        <is>
          <t>کارشناسی CS/ریاضی/مهندسی با نمرات عالی</t>
        </is>
      </c>
      <c r="L38" s="4" t="inlineStr">
        <is>
          <t>مدرک زبان الزامی نیست</t>
        </is>
      </c>
      <c r="M38" s="4">
        <f>22</f>
        <v/>
      </c>
      <c r="N38" s="12" t="inlineStr">
        <is>
          <t>Reach</t>
        </is>
      </c>
      <c r="O38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38" s="4" t="inlineStr">
        <is>
          <t>بسیار رقابتی؛ کارآموزی صنعتی جزو برنامه است</t>
        </is>
      </c>
      <c r="Q38" s="8" t="inlineStr">
        <is>
          <t>https://www.epfl.ch/education/master/programs/data-science/</t>
        </is>
      </c>
    </row>
    <row r="39">
      <c r="A39" s="2" t="n">
        <v>38</v>
      </c>
      <c r="B39" s="2" t="inlineStr">
        <is>
          <t>سوئیس</t>
        </is>
      </c>
      <c r="C39" s="4" t="inlineStr">
        <is>
          <t>ETH Zürich</t>
        </is>
      </c>
      <c r="D39" s="4" t="inlineStr">
        <is>
          <t>Zürich (زوریخ) — Google، UBS، ETH؛ گران‌ترین شهر دانشگاهی اروپا</t>
        </is>
      </c>
      <c r="E39" s="4" t="inlineStr">
        <is>
          <t>خیلی گران — CHF 1,900–2,500</t>
        </is>
      </c>
      <c r="F39" s="4" t="inlineStr">
        <is>
          <t>MSc Computer Science</t>
        </is>
      </c>
      <c r="G39" s="4" t="inlineStr">
        <is>
          <t>مهندسی نرم‌افزار / علوم کامپیوتر</t>
        </is>
      </c>
      <c r="H39" s="4" t="inlineStr">
        <is>
          <t>۲ سال (120 ECTS)</t>
        </is>
      </c>
      <c r="I39" s="4" t="inlineStr">
        <is>
          <t>CHF 2,190 + ≈ CHF 74 = ≈ CHF 2,264 در ترم (≈ CHF 4,530/سال)</t>
        </is>
      </c>
      <c r="J39" s="4" t="inlineStr">
        <is>
          <t>$5,500</t>
        </is>
      </c>
      <c r="K39" s="4" t="inlineStr">
        <is>
          <t>کارشناسی CS با نمرات ممتاز (عملاً ۱۰٪ بالای کلاس)؛ هزینهٔ درخواست CHF 150؛ تا ۲ برنامه</t>
        </is>
      </c>
      <c r="L39" s="4" t="inlineStr">
        <is>
          <t>C1 / IELTS 7.0</t>
        </is>
      </c>
      <c r="M39" s="4">
        <f>8</f>
        <v/>
      </c>
      <c r="N39" s="12" t="inlineStr">
        <is>
          <t>Reach</t>
        </is>
      </c>
      <c r="O39" s="4" t="inlineStr">
        <is>
          <t>4/5 — بیشترین حجم آگهی در هر ۶ کشور؛ ورود جونیور از ۲۰۲۳ سخت‌تر شده — سابقهٔ کار شما مزیت است</t>
        </is>
      </c>
      <c r="P39" s="4" t="inlineStr">
        <is>
          <t>بهترین دانشگاه قارهٔ اروپا؛ اپلای فقط ۱–۳۰ نوامبر ۲۰۲۶، پاسخ تا پایان مارس ۲۰۲۷، شروع ۲۰ سپتامبر ۲۰۲۷؛ با معدل ۱۵.۷۷ احتمال پذیرش کم</t>
        </is>
      </c>
      <c r="Q39" s="8" t="inlineStr">
        <is>
          <t>https://ethz.ch/en/studies/master/degree-programmes/engineering-sciences/computer-science.html</t>
        </is>
      </c>
    </row>
    <row r="40">
      <c r="A40" s="2" t="n">
        <v>39</v>
      </c>
      <c r="B40" s="2" t="inlineStr">
        <is>
          <t>سوئیس</t>
        </is>
      </c>
      <c r="C40" s="4" t="inlineStr">
        <is>
          <t>ETH Zürich + EPFL</t>
        </is>
      </c>
      <c r="D40" s="4" t="inlineStr">
        <is>
          <t>Zürich (زوریخ) — Google، UBS، ETH؛ گران‌ترین شهر دانشگاهی اروپا</t>
        </is>
      </c>
      <c r="E40" s="4" t="inlineStr">
        <is>
          <t>خیلی گران — CHF 1,900–2,500</t>
        </is>
      </c>
      <c r="F40" s="4" t="inlineStr">
        <is>
          <t>MSc Cyber Security (مشترک ETH–EPFL؛ یک سال در هر کدام)</t>
        </is>
      </c>
      <c r="G40" s="4" t="inlineStr">
        <is>
          <t>امنیت سایبری</t>
        </is>
      </c>
      <c r="H40" s="4" t="inlineStr">
        <is>
          <t>۲ سال (120 ECTS)</t>
        </is>
      </c>
      <c r="I40" s="4" t="inlineStr">
        <is>
          <t>شهریهٔ ETH: ≈ CHF 2,264 در ترم (≈ CHF 4,530/سال)</t>
        </is>
      </c>
      <c r="J40" s="4" t="inlineStr">
        <is>
          <t>$5,500</t>
        </is>
      </c>
      <c r="K40" s="4" t="inlineStr">
        <is>
          <t>کارشناسی CS با نمرات ممتاز؛ پیش‌زمینهٔ ریاضی/سیستم قوی</t>
        </is>
      </c>
      <c r="L40" s="4" t="inlineStr">
        <is>
          <t>C1 / IELTS 7.0</t>
        </is>
      </c>
      <c r="M40" s="4">
        <f>8</f>
        <v/>
      </c>
      <c r="N40" s="12" t="inlineStr">
        <is>
          <t>Reach</t>
        </is>
      </c>
      <c r="O40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40" s="4" t="inlineStr">
        <is>
          <t>قوی‌ترین ارشد امنیت اروپا؛ همان پنجرهٔ نوامبر ETH؛ Reach</t>
        </is>
      </c>
      <c r="Q40" s="8" t="inlineStr">
        <is>
          <t>https://ethz.ch/en/studies/master/degree-programmes/engineering-sciences/cyber-security.html</t>
        </is>
      </c>
    </row>
    <row r="41">
      <c r="A41" s="2" t="n">
        <v>40</v>
      </c>
      <c r="B41" s="2" t="inlineStr">
        <is>
          <t>آلمان</t>
        </is>
      </c>
      <c r="C41" s="4" t="inlineStr">
        <is>
          <t>Universität Stuttgart</t>
        </is>
      </c>
      <c r="D41" s="4" t="inlineStr">
        <is>
          <t>Stuttgart (اشتوتگارت) — Bosch، Mercedes، Porsche</t>
        </is>
      </c>
      <c r="E41" s="4" t="inlineStr">
        <is>
          <t>گران — €1,100–1,350</t>
        </is>
      </c>
      <c r="F41" s="4" t="inlineStr">
        <is>
          <t>M.Sc. Computer Science (انگلیسی، بدون NC)</t>
        </is>
      </c>
      <c r="G41" s="4" t="inlineStr">
        <is>
          <t>مهندسی نرم‌افزار / علوم کامپیوتر</t>
        </is>
      </c>
      <c r="H41" s="4" t="inlineStr">
        <is>
          <t>۲ سال</t>
        </is>
      </c>
      <c r="I41" s="4" t="inlineStr">
        <is>
          <t>€1,500 در ترم + ≈ €200 سهم ترم = ≈ €3,400/سال</t>
        </is>
      </c>
      <c r="J41" s="4" t="inlineStr">
        <is>
          <t>$3,900</t>
        </is>
      </c>
      <c r="K41" s="4" t="inlineStr">
        <is>
          <t>کارشناسی CS/مرتبط؛ بدون NC</t>
        </is>
      </c>
      <c r="L41" s="4" t="inlineStr">
        <is>
          <t>7.0 (C1)</t>
        </is>
      </c>
      <c r="M41" s="4" t="inlineStr">
        <is>
          <t>318</t>
        </is>
      </c>
      <c r="N41" s="10" t="inlineStr">
        <is>
          <t>Target</t>
        </is>
      </c>
      <c r="O41" s="4" t="inlineStr">
        <is>
          <t>4/5 — بیشترین حجم آگهی در هر ۶ کشور؛ ورود جونیور از ۲۰۲۳ سخت‌تر شده — سابقهٔ کار شما مزیت است</t>
        </is>
      </c>
      <c r="P41" s="4" t="inlineStr">
        <is>
          <t>شهریهٔ بادن-وورتمبرگ برای غیر-EU</t>
        </is>
      </c>
      <c r="Q41" s="8" t="inlineStr">
        <is>
          <t>https://www.uni-stuttgart.de/en/study/study-programs/</t>
        </is>
      </c>
    </row>
    <row r="42">
      <c r="A42" s="2" t="n">
        <v>41</v>
      </c>
      <c r="B42" s="2" t="inlineStr">
        <is>
          <t>آلمان</t>
        </is>
      </c>
      <c r="C42" s="4" t="inlineStr">
        <is>
          <t>Universität Stuttgart</t>
        </is>
      </c>
      <c r="D42" s="4" t="inlineStr">
        <is>
          <t>Stuttgart (اشتوتگارت) — Bosch، Mercedes، Porsche</t>
        </is>
      </c>
      <c r="E42" s="4" t="inlineStr">
        <is>
          <t>گران — €1,100–1,350</t>
        </is>
      </c>
      <c r="F42" s="4" t="inlineStr">
        <is>
          <t>M.Sc. Information Technology (INFOTECH)</t>
        </is>
      </c>
      <c r="G42" s="4" t="inlineStr">
        <is>
          <t>سیستم‌های نهفته / رباتیک / خودران</t>
        </is>
      </c>
      <c r="H42" s="4" t="inlineStr">
        <is>
          <t>۲ سال</t>
        </is>
      </c>
      <c r="I42" s="4" t="inlineStr">
        <is>
          <t>€1,500 در ترم + سهم ترم ≈ €3,400/سال</t>
        </is>
      </c>
      <c r="J42" s="4" t="inlineStr">
        <is>
          <t>$3,900</t>
        </is>
      </c>
      <c r="K42" s="4" t="inlineStr">
        <is>
          <t>کارشناسی EE/CS/Computer Engineering؛ گزینش</t>
        </is>
      </c>
      <c r="L42" s="4" t="inlineStr">
        <is>
          <t>7.0 (C1)</t>
        </is>
      </c>
      <c r="M42" s="4" t="inlineStr">
        <is>
          <t>318</t>
        </is>
      </c>
      <c r="N42" s="10" t="inlineStr">
        <is>
          <t>Target</t>
        </is>
      </c>
      <c r="O42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42" s="4" t="inlineStr">
        <is>
          <t>گرایش‌های Embedded/Communication؛ Bosch و Daimler همان شهر</t>
        </is>
      </c>
      <c r="Q42" s="8" t="inlineStr">
        <is>
          <t>https://www.mygermanuniversity.com/master/information-technology-infotech/678</t>
        </is>
      </c>
    </row>
    <row r="43">
      <c r="A43" s="2" t="n">
        <v>42</v>
      </c>
      <c r="B43" s="2" t="inlineStr">
        <is>
          <t>آلمان</t>
        </is>
      </c>
      <c r="C43" s="4" t="inlineStr">
        <is>
          <t>FAU Erlangen-Nürnberg</t>
        </is>
      </c>
      <c r="D43" s="4" t="inlineStr">
        <is>
          <t>Erlangen / Nürnberg (ارلانگن / نورنبرگ) — Siemens</t>
        </is>
      </c>
      <c r="E43" s="4" t="inlineStr">
        <is>
          <t>متوسط — €950–1,150</t>
        </is>
      </c>
      <c r="F43" s="4" t="inlineStr">
        <is>
          <t>M.Sc. Artificial Intelligence</t>
        </is>
      </c>
      <c r="G43" s="4" t="inlineStr">
        <is>
          <t>هوش مصنوعی / یادگیری ماشین</t>
        </is>
      </c>
      <c r="H43" s="4" t="inlineStr">
        <is>
          <t>۲ سال</t>
        </is>
      </c>
      <c r="I43" s="4" t="inlineStr">
        <is>
          <t>€4,000 در ترم برای غیر-EU از ترم تابستان ۲۰۲۷ (€8,000/سال) + €82 سهم ترم</t>
        </is>
      </c>
      <c r="J43" s="4" t="inlineStr">
        <is>
          <t>$9,300</t>
        </is>
      </c>
      <c r="K43" s="4" t="inlineStr">
        <is>
          <t>کارشناسی CS/مرتبط؛ بررسی ریزنمرات</t>
        </is>
      </c>
      <c r="L43" s="4" t="inlineStr">
        <is>
          <t>B2 (IELTS 6.0)</t>
        </is>
      </c>
      <c r="M43" s="4" t="inlineStr">
        <is>
          <t>218</t>
        </is>
      </c>
      <c r="N43" s="10" t="inlineStr">
        <is>
          <t>Target</t>
        </is>
      </c>
      <c r="O43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43" s="4" t="inlineStr">
        <is>
          <t>⚠️ FAU طبق BayHIG §13 از تابستان ۲۰۲۷ برای ورودی‌های جدید غیر-EU شهریه می‌گیرد (AI و CS: €4,000/ترم) — ورودی اکتبر ۲۰۲۷ شما مشمول است؛ دیگر «رایگان» نیست. Siemens/adidas/Schaeffler در منطقه</t>
        </is>
      </c>
      <c r="Q43" s="8" t="inlineStr">
        <is>
          <t>https://www.fau.eu/degree-program/artificial-intelligence-m-sc/</t>
        </is>
      </c>
    </row>
    <row r="44">
      <c r="A44" s="2" t="n">
        <v>43</v>
      </c>
      <c r="B44" s="2" t="inlineStr">
        <is>
          <t>آلمان</t>
        </is>
      </c>
      <c r="C44" s="4" t="inlineStr">
        <is>
          <t>FAU Erlangen-Nürnberg</t>
        </is>
      </c>
      <c r="D44" s="4" t="inlineStr">
        <is>
          <t>Erlangen / Nürnberg (ارلانگن / نورنبرگ) — Siemens</t>
        </is>
      </c>
      <c r="E44" s="4" t="inlineStr">
        <is>
          <t>متوسط — €950–1,150</t>
        </is>
      </c>
      <c r="F44" s="4" t="inlineStr">
        <is>
          <t>M.Sc. Autonomy Technologies</t>
        </is>
      </c>
      <c r="G44" s="4" t="inlineStr">
        <is>
          <t>سیستم‌های نهفته / رباتیک / خودران</t>
        </is>
      </c>
      <c r="H44" s="4" t="inlineStr">
        <is>
          <t>۲ سال</t>
        </is>
      </c>
      <c r="I44" s="4" t="inlineStr">
        <is>
          <t>€2,000 در ترم از تابستان ۲۰۲۷ (€4,000/سال) + €82 سهم ترم</t>
        </is>
      </c>
      <c r="J44" s="4" t="inlineStr">
        <is>
          <t>$4,700</t>
        </is>
      </c>
      <c r="K44" s="4" t="inlineStr">
        <is>
          <t>کارشناسی مرتبط؛ آلمانی لازم نیست</t>
        </is>
      </c>
      <c r="L44" s="4" t="inlineStr">
        <is>
          <t>B2 (IELTS 6.0)</t>
        </is>
      </c>
      <c r="M44" s="4" t="inlineStr">
        <is>
          <t>218</t>
        </is>
      </c>
      <c r="N44" s="10" t="inlineStr">
        <is>
          <t>Target</t>
        </is>
      </c>
      <c r="O44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44" s="4" t="inlineStr">
        <is>
          <t>رباتیک/خودران؛ ⚠️ مشمول شهریهٔ جدید FAU از ۲۰۲۷ (صفحهٔ رسمی شهریه، ۲۰۲۶)</t>
        </is>
      </c>
      <c r="Q44" s="8" t="inlineStr">
        <is>
          <t>https://www.fau.eu/degree-program/autonomy-technologies-m-sc/</t>
        </is>
      </c>
    </row>
    <row r="45">
      <c r="A45" s="2" t="n">
        <v>44</v>
      </c>
      <c r="B45" s="2" t="inlineStr">
        <is>
          <t>آلمان</t>
        </is>
      </c>
      <c r="C45" s="4" t="inlineStr">
        <is>
          <t>TU Darmstadt</t>
        </is>
      </c>
      <c r="D45" s="4" t="inlineStr">
        <is>
          <t>Darmstadt (دارمشتات) — ۲۵ دقیقه تا فرانکفورت</t>
        </is>
      </c>
      <c r="E45" s="4" t="inlineStr">
        <is>
          <t>گران — €1,050–1,300</t>
        </is>
      </c>
      <c r="F45" s="4" t="inlineStr">
        <is>
          <t>M.Sc. Distributed Software Systems (انگلیسی)</t>
        </is>
      </c>
      <c r="G45" s="4" t="inlineStr">
        <is>
          <t>ابری / سیستم‌های توزیع‌شده / DevOps</t>
        </is>
      </c>
      <c r="H45" s="4" t="inlineStr">
        <is>
          <t>۲ سال</t>
        </is>
      </c>
      <c r="I45" s="4" t="inlineStr">
        <is>
          <t>€0 + ≈ €300 سهم ترم (≈ €600/سال)</t>
        </is>
      </c>
      <c r="J45" s="4" t="inlineStr">
        <is>
          <t>$700</t>
        </is>
      </c>
      <c r="K45" s="4" t="inlineStr">
        <is>
          <t>کارشناسی CS با پیش‌نیازهای مشخص</t>
        </is>
      </c>
      <c r="L45" s="4" t="inlineStr">
        <is>
          <t>≈ 7.0 (C1) — چک شود</t>
        </is>
      </c>
      <c r="M45" s="4" t="inlineStr">
        <is>
          <t>250</t>
        </is>
      </c>
      <c r="N45" s="11" t="inlineStr">
        <is>
          <t>Target/Reach</t>
        </is>
      </c>
      <c r="O45" s="4" t="inlineStr">
        <is>
          <t>4/5 — تقاضای پایدار و کمتر مدرک‌محور؛ گواهی AWS/Azure کنار مدرک وزن زیادی دارد</t>
        </is>
      </c>
      <c r="P45" s="4" t="inlineStr">
        <is>
          <t>منطقهٔ Rhein-Main (SAP، Deutsche Bank، Software AG)</t>
        </is>
      </c>
      <c r="Q45" s="8" t="inlineStr">
        <is>
          <t>https://www.tu-darmstadt.de/studieren/</t>
        </is>
      </c>
    </row>
    <row r="46">
      <c r="A46" s="2" t="n">
        <v>45</v>
      </c>
      <c r="B46" s="2" t="inlineStr">
        <is>
          <t>آلمان</t>
        </is>
      </c>
      <c r="C46" s="4" t="inlineStr">
        <is>
          <t>TU Dresden</t>
        </is>
      </c>
      <c r="D46" s="4" t="inlineStr">
        <is>
          <t>Dresden (درسدن) — «سیلیکون ساکسونی»</t>
        </is>
      </c>
      <c r="E46" s="4" t="inlineStr">
        <is>
          <t>ارزان — €850–1,050</t>
        </is>
      </c>
      <c r="F46" s="4" t="inlineStr">
        <is>
          <t>M.Sc. Computer Science (انگلیسی)</t>
        </is>
      </c>
      <c r="G46" s="4" t="inlineStr">
        <is>
          <t>مهندسی نرم‌افزار / علوم کامپیوتر</t>
        </is>
      </c>
      <c r="H46" s="4" t="inlineStr">
        <is>
          <t>۲ سال</t>
        </is>
      </c>
      <c r="I46" s="4" t="inlineStr">
        <is>
          <t>€0 + ≈ €300 سهم ترم</t>
        </is>
      </c>
      <c r="J46" s="4" t="inlineStr">
        <is>
          <t>$700</t>
        </is>
      </c>
      <c r="K46" s="4" t="inlineStr">
        <is>
          <t>کارشناسی CS؛ ارزیابی استعداد</t>
        </is>
      </c>
      <c r="L46" s="4" t="inlineStr">
        <is>
          <t>7.0</t>
        </is>
      </c>
      <c r="M46" s="4" t="inlineStr">
        <is>
          <t>185</t>
        </is>
      </c>
      <c r="N46" s="12" t="inlineStr">
        <is>
          <t>Reach</t>
        </is>
      </c>
      <c r="O46" s="4" t="inlineStr">
        <is>
          <t>4/5 — بیشترین حجم آگهی در هر ۶ کشور؛ ورود جونیور از ۲۰۲۳ سخت‌تر شده — سابقهٔ کار شما مزیت است</t>
        </is>
      </c>
      <c r="P46" s="4" t="inlineStr">
        <is>
          <t>Dresden ارزان‌ترین شهر جدول؛ GlobalFoundries/Infineon/Bosch</t>
        </is>
      </c>
      <c r="Q46" s="8" t="inlineStr">
        <is>
          <t>https://tu-dresden.de/studium/vor-dem-studium/studienangebot</t>
        </is>
      </c>
    </row>
    <row r="47">
      <c r="A47" s="2" t="n">
        <v>46</v>
      </c>
      <c r="B47" s="2" t="inlineStr">
        <is>
          <t>آلمان</t>
        </is>
      </c>
      <c r="C47" s="4" t="inlineStr">
        <is>
          <t>Saarland University (UdS)</t>
        </is>
      </c>
      <c r="D47" s="4" t="inlineStr">
        <is>
          <t>Saarbrücken (زاربروکن) — مرز فرانسه؛ CISPA/DFKI</t>
        </is>
      </c>
      <c r="E47" s="4" t="inlineStr">
        <is>
          <t>متوسط — €900–1,100</t>
        </is>
      </c>
      <c r="F47" s="4" t="inlineStr">
        <is>
          <t>M.Sc. Cybersecurity</t>
        </is>
      </c>
      <c r="G47" s="4" t="inlineStr">
        <is>
          <t>امنیت سایبری</t>
        </is>
      </c>
      <c r="H47" s="4" t="inlineStr">
        <is>
          <t>۲ سال</t>
        </is>
      </c>
      <c r="I47" s="4" t="inlineStr">
        <is>
          <t>€0 + ≈ €394 سهم ترم (≈ €790/سال)</t>
        </is>
      </c>
      <c r="J47" s="4" t="inlineStr">
        <is>
          <t>$900</t>
        </is>
      </c>
      <c r="K47" s="4" t="inlineStr">
        <is>
          <t>کارشناسی CS + اثبات دروس پایه + ۲ توصیه‌نامه؛ بدون NC</t>
        </is>
      </c>
      <c r="L47" s="4" t="inlineStr">
        <is>
          <t>7.0 (C1؛ MOI پذیرفته نمی‌شود)</t>
        </is>
      </c>
      <c r="M47" s="4">
        <f>588 (CS ≈ 251)</f>
        <v/>
      </c>
      <c r="N47" s="10" t="inlineStr">
        <is>
          <t>Target</t>
        </is>
      </c>
      <c r="O47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47" s="4" t="inlineStr">
        <is>
          <t>CISPA — بهترین مرکز امنیت آلمان؛ IELTS 7 شرط سخت شماست</t>
        </is>
      </c>
      <c r="Q47" s="8" t="inlineStr">
        <is>
          <t>https://www.uni-saarland.de/en/study/programmes/master/cybersecurity.html</t>
        </is>
      </c>
    </row>
    <row r="48">
      <c r="A48" s="2" t="n">
        <v>47</v>
      </c>
      <c r="B48" s="2" t="inlineStr">
        <is>
          <t>آلمان</t>
        </is>
      </c>
      <c r="C48" s="4" t="inlineStr">
        <is>
          <t>Saarland University (UdS)</t>
        </is>
      </c>
      <c r="D48" s="4" t="inlineStr">
        <is>
          <t>Saarbrücken (زاربروکن) — مرز فرانسه؛ CISPA/DFKI</t>
        </is>
      </c>
      <c r="E48" s="4" t="inlineStr">
        <is>
          <t>متوسط — €900–1,100</t>
        </is>
      </c>
      <c r="F48" s="4" t="inlineStr">
        <is>
          <t>M.Sc. Data Science and Artificial Intelligence</t>
        </is>
      </c>
      <c r="G48" s="4" t="inlineStr">
        <is>
          <t>هوش مصنوعی / یادگیری ماشین</t>
        </is>
      </c>
      <c r="H48" s="4" t="inlineStr">
        <is>
          <t>۲ سال</t>
        </is>
      </c>
      <c r="I48" s="4" t="inlineStr">
        <is>
          <t>€0 + ≈ €394 سهم ترم</t>
        </is>
      </c>
      <c r="J48" s="4" t="inlineStr">
        <is>
          <t>$900</t>
        </is>
      </c>
      <c r="K48" s="4" t="inlineStr">
        <is>
          <t>کارشناسی CS/مرتبط؛ بدون NC</t>
        </is>
      </c>
      <c r="L48" s="4" t="inlineStr">
        <is>
          <t>7.0 (C1)</t>
        </is>
      </c>
      <c r="M48" s="4">
        <f>588 (CS ≈ 251)</f>
        <v/>
      </c>
      <c r="N48" s="10" t="inlineStr">
        <is>
          <t>Target</t>
        </is>
      </c>
      <c r="O48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48" s="4" t="inlineStr">
        <is>
          <t>MPI Informatics و DFKI در همان کمپوس</t>
        </is>
      </c>
      <c r="Q48" s="8" t="inlineStr">
        <is>
          <t>https://www.uni-saarland.de/en/study/programmes/master/data-science.html</t>
        </is>
      </c>
    </row>
    <row r="49">
      <c r="A49" s="2" t="n">
        <v>48</v>
      </c>
      <c r="B49" s="2" t="inlineStr">
        <is>
          <t>آلمان</t>
        </is>
      </c>
      <c r="C49" s="4" t="inlineStr">
        <is>
          <t>TU Chemnitz</t>
        </is>
      </c>
      <c r="D49" s="4" t="inlineStr">
        <is>
          <t>Chemnitz (کمنیتس) — ساکسونی</t>
        </is>
      </c>
      <c r="E49" s="4" t="inlineStr">
        <is>
          <t>ارزان — €800–1,000</t>
        </is>
      </c>
      <c r="F49" s="4" t="inlineStr">
        <is>
          <t>M.Sc. Automotive Software Engineering</t>
        </is>
      </c>
      <c r="G49" s="4" t="inlineStr">
        <is>
          <t>سیستم‌های نهفته / رباتیک / خودران</t>
        </is>
      </c>
      <c r="H49" s="4" t="inlineStr">
        <is>
          <t>۲ سال</t>
        </is>
      </c>
      <c r="I49" s="4" t="inlineStr">
        <is>
          <t>€0 + ≈ €320 سهم ترم (≈ €640/سال)</t>
        </is>
      </c>
      <c r="J49" s="4" t="inlineStr">
        <is>
          <t>$700</t>
        </is>
      </c>
      <c r="K49" s="4" t="inlineStr">
        <is>
          <t>کارشناسی CS/مرتبط؛ بدون محدودیت پذیرش</t>
        </is>
      </c>
      <c r="L49" s="4" t="inlineStr">
        <is>
          <t>B2 (IELTS 5.5)</t>
        </is>
      </c>
      <c r="M49" s="4" t="inlineStr">
        <is>
          <t>—</t>
        </is>
      </c>
      <c r="N49" s="7" t="inlineStr">
        <is>
          <t>Safe</t>
        </is>
      </c>
      <c r="O49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49" s="4" t="inlineStr">
        <is>
          <t>آسان‌ترین ورود؛ شهر ارزان؛ ولی صنعت خودرو ۲۰۲۴–۲۵ ضعیف و آلمانی در کارفرمایان محلی</t>
        </is>
      </c>
      <c r="Q49" s="8" t="inlineStr">
        <is>
          <t>https://www.mygermanuniversity.com/master/automotive-software-engineering/91</t>
        </is>
      </c>
    </row>
    <row r="50">
      <c r="A50" s="2" t="n">
        <v>49</v>
      </c>
      <c r="B50" s="2" t="inlineStr">
        <is>
          <t>آلمان</t>
        </is>
      </c>
      <c r="C50" s="4" t="inlineStr">
        <is>
          <t>Universität Passau</t>
        </is>
      </c>
      <c r="D50" s="4" t="inlineStr">
        <is>
          <t>Passau (پاساو) — شهر کوچک، مرز اتریش</t>
        </is>
      </c>
      <c r="E50" s="4" t="inlineStr">
        <is>
          <t>متوسط — €900–1,100</t>
        </is>
      </c>
      <c r="F50" s="4" t="inlineStr">
        <is>
          <t>M.Sc. Artificial Intelligence Engineering</t>
        </is>
      </c>
      <c r="G50" s="4" t="inlineStr">
        <is>
          <t>هوش مصنوعی / یادگیری ماشین</t>
        </is>
      </c>
      <c r="H50" s="4" t="inlineStr">
        <is>
          <t>۲ سال</t>
        </is>
      </c>
      <c r="I50" s="4" t="inlineStr">
        <is>
          <t>€0 + ≈ €100–200 سهم ترم</t>
        </is>
      </c>
      <c r="J50" s="4" t="inlineStr">
        <is>
          <t>$300</t>
        </is>
      </c>
      <c r="K50" s="4" t="inlineStr">
        <is>
          <t>معدل آلمانی ≤ 2.7 (معدل شما ≈ 2.3 ✓)؛ ۳۵ ECTS ریاضی + ۴۰ ECTS CS</t>
        </is>
      </c>
      <c r="L50" s="4" t="inlineStr">
        <is>
          <t>B2؛ + آلمانی A1 تا پایان سال اول (کلاس رایگان)</t>
        </is>
      </c>
      <c r="M50" s="4" t="inlineStr">
        <is>
          <t>—</t>
        </is>
      </c>
      <c r="N50" s="7" t="inlineStr">
        <is>
          <t>Safe</t>
        </is>
      </c>
      <c r="O50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50" s="4" t="inlineStr">
        <is>
          <t>کاملاً انگلیسی؛ شهر کوچک و ارزان؛ Passau رسماً اعلام کرده «فعلاً» شهریهٔ غیر-EU نمی‌گیرد (برخلاف FAU/TUM) ولی طبق قانون باواریا می‌تواند — قبل از اپلای چک کنید</t>
        </is>
      </c>
      <c r="Q50" s="8" t="inlineStr">
        <is>
          <t>https://www.uni-passau.de/en/msc-ai-eng</t>
        </is>
      </c>
    </row>
    <row r="51">
      <c r="A51" s="2" t="n">
        <v>50</v>
      </c>
      <c r="B51" s="2" t="inlineStr">
        <is>
          <t>آلمان</t>
        </is>
      </c>
      <c r="C51" s="4" t="inlineStr">
        <is>
          <t>Otto-von-Guericke-Universität (OVGU)</t>
        </is>
      </c>
      <c r="D51" s="4" t="inlineStr">
        <is>
          <t>Magdeburg (ماگدبورگ) — ساکسونی-آنهالت</t>
        </is>
      </c>
      <c r="E51" s="4" t="inlineStr">
        <is>
          <t>ارزان — €850–1,000</t>
        </is>
      </c>
      <c r="F51" s="4" t="inlineStr">
        <is>
          <t>M.Sc. Data and Knowledge Engineering</t>
        </is>
      </c>
      <c r="G51" s="4" t="inlineStr">
        <is>
          <t>علم داده / تحلیل داده</t>
        </is>
      </c>
      <c r="H51" s="4" t="inlineStr">
        <is>
          <t>۲ سال</t>
        </is>
      </c>
      <c r="I51" s="4" t="inlineStr">
        <is>
          <t>€0 + ≈ €311 سهم ترم</t>
        </is>
      </c>
      <c r="J51" s="4" t="inlineStr">
        <is>
          <t>$700</t>
        </is>
      </c>
      <c r="K51" s="4" t="inlineStr">
        <is>
          <t>معدل آلمانی ≤ 2.3 (معدل شما ≈ 2.27 — دقیقاً مرزی)؛ کارشناسی CS</t>
        </is>
      </c>
      <c r="L51" s="4" t="inlineStr">
        <is>
          <t>6.0–7.0 (منابع متناقض؛ رسمی را چک کنید)</t>
        </is>
      </c>
      <c r="M51" s="4" t="inlineStr">
        <is>
          <t>—</t>
        </is>
      </c>
      <c r="N51" s="9" t="inlineStr">
        <is>
          <t>Safe/Target</t>
        </is>
      </c>
      <c r="O51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51" s="4" t="inlineStr"/>
      <c r="Q51" s="8" t="inlineStr">
        <is>
          <t>https://www.dke.ovgu.de/</t>
        </is>
      </c>
    </row>
    <row r="52">
      <c r="A52" s="2" t="n">
        <v>51</v>
      </c>
      <c r="B52" s="2" t="inlineStr">
        <is>
          <t>آلمان</t>
        </is>
      </c>
      <c r="C52" s="4" t="inlineStr">
        <is>
          <t>TH Köln – Cologne Game Lab</t>
        </is>
      </c>
      <c r="D52" s="4" t="inlineStr">
        <is>
          <t>Köln / Cologne (کلن) — چهارمین شهر آلمان</t>
        </is>
      </c>
      <c r="E52" s="4" t="inlineStr">
        <is>
          <t>گران — €1,050–1,300</t>
        </is>
      </c>
      <c r="F52" s="4" t="inlineStr">
        <is>
          <t>M.A. Game Development and Research</t>
        </is>
      </c>
      <c r="G52" s="4" t="inlineStr">
        <is>
          <t>توسعه بازی</t>
        </is>
      </c>
      <c r="H52" s="4" t="inlineStr">
        <is>
          <t>۲ سال</t>
        </is>
      </c>
      <c r="I52" s="4" t="inlineStr">
        <is>
          <t>€2,500 در ترم (غیر-EU) + €277 سهم ترم ≈ €5,550/سال</t>
        </is>
      </c>
      <c r="J52" s="4" t="inlineStr">
        <is>
          <t>$6,300</t>
        </is>
      </c>
      <c r="K52" s="4" t="inlineStr">
        <is>
          <t>هر کارشناسی + ≥ ۱۲ ماه سابقهٔ مرتبط + آزمون استعداد (مهلت ۳۱ مارس)</t>
        </is>
      </c>
      <c r="L52" s="4" t="inlineStr">
        <is>
          <t>B2</t>
        </is>
      </c>
      <c r="M52" s="4" t="inlineStr">
        <is>
          <t>— (UAS)</t>
        </is>
      </c>
      <c r="N52" s="10" t="inlineStr">
        <is>
          <t>Target</t>
        </is>
      </c>
      <c r="O52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52" s="4" t="inlineStr">
        <is>
          <t>معتبرترین مدرسهٔ بازی آلمان؛ ۷ ماه Unity + ۲ سال IT شما احتمالاً شرط ۱۲ ماه را می‌پوشاند — بپرسید</t>
        </is>
      </c>
      <c r="Q52" s="8" t="inlineStr">
        <is>
          <t>https://colognegamelab.de/study-programs/post-graduate-programs/game-development-research-ma/faqs/</t>
        </is>
      </c>
    </row>
    <row r="53">
      <c r="A53" s="2" t="n">
        <v>52</v>
      </c>
      <c r="B53" s="2" t="inlineStr">
        <is>
          <t>آلمان</t>
        </is>
      </c>
      <c r="C53" s="4" t="inlineStr">
        <is>
          <t>Universität Siegen</t>
        </is>
      </c>
      <c r="D53" s="4" t="inlineStr">
        <is>
          <t>Siegen (زیگن) — شهر کوچک، NRW</t>
        </is>
      </c>
      <c r="E53" s="4" t="inlineStr">
        <is>
          <t>متوسط — €900–1,100</t>
        </is>
      </c>
      <c r="F53" s="4" t="inlineStr">
        <is>
          <t>M.Sc. Human Computer Interaction</t>
        </is>
      </c>
      <c r="G53" s="4" t="inlineStr">
        <is>
          <t>HCI / طراحی تعامل / UX</t>
        </is>
      </c>
      <c r="H53" s="4" t="inlineStr">
        <is>
          <t>۲ سال</t>
        </is>
      </c>
      <c r="I53" s="4" t="inlineStr">
        <is>
          <t>€0 + ≈ €372 سهم ترم</t>
        </is>
      </c>
      <c r="J53" s="4" t="inlineStr">
        <is>
          <t>$800</t>
        </is>
      </c>
      <c r="K53" s="4" t="inlineStr">
        <is>
          <t>معدل آلمانی ≤ 2.5؛ کارشناسی CS/IS/Design/Psychology</t>
        </is>
      </c>
      <c r="L53" s="4" t="inlineStr">
        <is>
          <t>6.5</t>
        </is>
      </c>
      <c r="M53" s="4" t="inlineStr">
        <is>
          <t>—</t>
        </is>
      </c>
      <c r="N53" s="7" t="inlineStr">
        <is>
          <t>Safe</t>
        </is>
      </c>
      <c r="O53" s="4" t="inlineStr">
        <is>
          <t>2/5 — آگهی‌های UX/UXR از ۲۰۲۲ حدود ۷۰٪ کم شده و از ۲۰۲۳ ثابت مانده؛ رقابت شدید، حقوق شروع کمتر از توسعه‌دهنده</t>
        </is>
      </c>
      <c r="P53" s="4" t="inlineStr">
        <is>
          <t>شروع زمستان و تابستان؛ شهر کوچک</t>
        </is>
      </c>
      <c r="Q53" s="8" t="inlineStr">
        <is>
          <t>https://www2.daad.de/deutschland/studienangebote/international-programmes/en/detail/4686/</t>
        </is>
      </c>
    </row>
    <row r="54">
      <c r="A54" s="2" t="n">
        <v>53</v>
      </c>
      <c r="B54" s="2" t="inlineStr">
        <is>
          <t>آلمان</t>
        </is>
      </c>
      <c r="C54" s="4" t="inlineStr">
        <is>
          <t>Hochschule Bonn-Rhein-Sieg (H-BRS)</t>
        </is>
      </c>
      <c r="D54" s="4" t="inlineStr">
        <is>
          <t>Sankt Augustin (زانکت آگوستین) — حومهٔ Bonn</t>
        </is>
      </c>
      <c r="E54" s="4" t="inlineStr">
        <is>
          <t>متوسط — €950–1,200</t>
        </is>
      </c>
      <c r="F54" s="4" t="inlineStr">
        <is>
          <t>M.Sc. Autonomous Systems</t>
        </is>
      </c>
      <c r="G54" s="4" t="inlineStr">
        <is>
          <t>سیستم‌های نهفته / رباتیک / خودران</t>
        </is>
      </c>
      <c r="H54" s="4" t="inlineStr">
        <is>
          <t>۲ سال</t>
        </is>
      </c>
      <c r="I54" s="4" t="inlineStr">
        <is>
          <t>€0 + €349 سهم ترم</t>
        </is>
      </c>
      <c r="J54" s="4" t="inlineStr">
        <is>
          <t>$800</t>
        </is>
      </c>
      <c r="K54" s="4" t="inlineStr">
        <is>
          <t>معدل آلمانی ≤ 2.5؛ ۲۵ جای محدود؛ آزمون استعداد؛ uni-assist</t>
        </is>
      </c>
      <c r="L54" s="4" t="inlineStr">
        <is>
          <t>6.5 (B2+)</t>
        </is>
      </c>
      <c r="M54" s="4" t="inlineStr">
        <is>
          <t>— (UAS)</t>
        </is>
      </c>
      <c r="N54" s="10" t="inlineStr">
        <is>
          <t>Target</t>
        </is>
      </c>
      <c r="O54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54" s="4" t="inlineStr">
        <is>
          <t>رباتیک کاربردی با Fraunhofer؛ نزدیک Bonn/Köln</t>
        </is>
      </c>
      <c r="Q54" s="8" t="inlineStr">
        <is>
          <t>https://www.h-brs.de/en/inf/admission-application-master-autonomous-systems</t>
        </is>
      </c>
    </row>
    <row r="55">
      <c r="A55" s="2" t="n">
        <v>54</v>
      </c>
      <c r="B55" s="2" t="inlineStr">
        <is>
          <t>آلمان</t>
        </is>
      </c>
      <c r="C55" s="4" t="inlineStr">
        <is>
          <t>RWTH Aachen</t>
        </is>
      </c>
      <c r="D55" s="4" t="inlineStr">
        <is>
          <t>Aachen (آخن) — مرز هلند/بلژیک</t>
        </is>
      </c>
      <c r="E55" s="4" t="inlineStr">
        <is>
          <t>متوسط — €950–1,200</t>
        </is>
      </c>
      <c r="F55" s="4" t="inlineStr">
        <is>
          <t>M.Sc. Software Systems Engineering</t>
        </is>
      </c>
      <c r="G55" s="4" t="inlineStr">
        <is>
          <t>مهندسی نرم‌افزار / علوم کامپیوتر</t>
        </is>
      </c>
      <c r="H55" s="4" t="inlineStr">
        <is>
          <t>۲ سال</t>
        </is>
      </c>
      <c r="I55" s="4" t="inlineStr">
        <is>
          <t>€0 + ≈ €330 سهم ترم</t>
        </is>
      </c>
      <c r="J55" s="4" t="inlineStr">
        <is>
          <t>$800</t>
        </is>
      </c>
      <c r="K55" s="4" t="inlineStr">
        <is>
          <t>کارشناسی CS، معدل ≥ ۶۵٪ (شما ۷۹٪ ✓)؛ ۲ درس پیشرفتهٔ سیستم؛ مهلت ۱ مارس</t>
        </is>
      </c>
      <c r="L55" s="4" t="inlineStr">
        <is>
          <t>B2 (IELTS 5.5)</t>
        </is>
      </c>
      <c r="M55" s="4" t="inlineStr">
        <is>
          <t>104</t>
        </is>
      </c>
      <c r="N55" s="12" t="inlineStr">
        <is>
          <t>Reach</t>
        </is>
      </c>
      <c r="O55" s="4" t="inlineStr">
        <is>
          <t>4/5 — بیشترین حجم آگهی در هر ۶ کشور؛ ورود جونیور از ۲۰۲۳ سخت‌تر شده — سابقهٔ کار شما مزیت است</t>
        </is>
      </c>
      <c r="P55" s="4" t="inlineStr">
        <is>
          <t>TU9؛ رقابتی — معدل شما حداقل را رد می‌کند ولی متقاضیان قوی‌ترند</t>
        </is>
      </c>
      <c r="Q55" s="8" t="inlineStr">
        <is>
          <t>https://sc.informatik.rwth-aachen.de/en/studium/master/sse/</t>
        </is>
      </c>
    </row>
    <row r="56">
      <c r="A56" s="2" t="n">
        <v>55</v>
      </c>
      <c r="B56" s="2" t="inlineStr">
        <is>
          <t>آلمان</t>
        </is>
      </c>
      <c r="C56" s="4" t="inlineStr">
        <is>
          <t>Universität Tübingen</t>
        </is>
      </c>
      <c r="D56" s="4" t="inlineStr">
        <is>
          <t>Tübingen (توبینگن) — شهر دانشگاهی کوچک؛ Cyber Valley</t>
        </is>
      </c>
      <c r="E56" s="4" t="inlineStr">
        <is>
          <t>گران — €1,050–1,300</t>
        </is>
      </c>
      <c r="F56" s="4" t="inlineStr">
        <is>
          <t>M.Sc. Machine Learning</t>
        </is>
      </c>
      <c r="G56" s="4" t="inlineStr">
        <is>
          <t>هوش مصنوعی / یادگیری ماشین</t>
        </is>
      </c>
      <c r="H56" s="4" t="inlineStr">
        <is>
          <t>۲ سال</t>
        </is>
      </c>
      <c r="I56" s="4" t="inlineStr">
        <is>
          <t>€1,500 در ترم + ≈ €200 = ≈ €3,400/سال</t>
        </is>
      </c>
      <c r="J56" s="4" t="inlineStr">
        <is>
          <t>$3,900</t>
        </is>
      </c>
      <c r="K56" s="4" t="inlineStr">
        <is>
          <t>کارشناسی CS/ریاضی؛ آزمون توانایی؛ مهلت ۳۰ آوریل</t>
        </is>
      </c>
      <c r="L56" s="4" t="inlineStr">
        <is>
          <t>7.0</t>
        </is>
      </c>
      <c r="M56" s="4">
        <f>230</f>
        <v/>
      </c>
      <c r="N56" s="12" t="inlineStr">
        <is>
          <t>Reach</t>
        </is>
      </c>
      <c r="O56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56" s="4" t="inlineStr">
        <is>
          <t>Cyber Valley — بهترین ML آلمان؛ پذیرش بسیار سخت</t>
        </is>
      </c>
      <c r="Q56" s="8" t="inlineStr">
        <is>
          <t>https://uni-tuebingen.de/fakultaeten/mathematisch-naturwissenschaftliche-fakultaet/fachbereiche/informatik/studium/studierende/lehre-studienorganisation/studiengaenge/machine-learning/admission-and-application/</t>
        </is>
      </c>
    </row>
    <row r="57">
      <c r="A57" s="2" t="n">
        <v>56</v>
      </c>
      <c r="B57" s="2" t="inlineStr">
        <is>
          <t>آلمان</t>
        </is>
      </c>
      <c r="C57" s="4" t="inlineStr">
        <is>
          <t>TU München (TUM)</t>
        </is>
      </c>
      <c r="D57" s="4" t="inlineStr">
        <is>
          <t>München – Garching (مونیخ، کمپوس گارشینگ)</t>
        </is>
      </c>
      <c r="E57" s="4" t="inlineStr">
        <is>
          <t>خیلی گران — €1,300–1,600</t>
        </is>
      </c>
      <c r="F57" s="4" t="inlineStr">
        <is>
          <t>M.Sc. Informatics</t>
        </is>
      </c>
      <c r="G57" s="4" t="inlineStr">
        <is>
          <t>مهندسی نرم‌افزار / علوم کامپیوتر</t>
        </is>
      </c>
      <c r="H57" s="4" t="inlineStr">
        <is>
          <t>۲ سال</t>
        </is>
      </c>
      <c r="I57" s="4" t="inlineStr">
        <is>
          <t>€6,000 در ترم برای غیر-EU (€12,000/سال) + €97</t>
        </is>
      </c>
      <c r="J57" s="4" t="inlineStr">
        <is>
          <t>$13,900</t>
        </is>
      </c>
      <c r="K57" s="4" t="inlineStr">
        <is>
          <t>کارشناسی CS؛ ارزیابی استعداد؛ بسیار رقابتی</t>
        </is>
      </c>
      <c r="L57" s="4" t="inlineStr">
        <is>
          <t>6.5</t>
        </is>
      </c>
      <c r="M57" s="4" t="inlineStr">
        <is>
          <t>≈ 25</t>
        </is>
      </c>
      <c r="N57" s="12" t="inlineStr">
        <is>
          <t>Reach</t>
        </is>
      </c>
      <c r="O57" s="4" t="inlineStr">
        <is>
          <t>4/5 — بیشترین حجم آگهی در هر ۶ کشور؛ ورود جونیور از ۲۰۲۳ سخت‌تر شده — سابقهٔ کار شما مزیت است</t>
        </is>
      </c>
      <c r="P57" s="4" t="inlineStr">
        <is>
          <t>⚠️ TUM از ۲۰۲۴ شهریهٔ غیر-EU می‌گیرد — دیگر «رایگان» نیست؛ Munich گران‌ترین شهر آلمان</t>
        </is>
      </c>
      <c r="Q57" s="8" t="inlineStr">
        <is>
          <t>https://www.tum.de/en/studies/degree-programs/detail/informatics-master-of-science-msc</t>
        </is>
      </c>
    </row>
    <row r="58">
      <c r="A58" s="2" t="n">
        <v>57</v>
      </c>
      <c r="B58" s="2" t="inlineStr">
        <is>
          <t>هلند</t>
        </is>
      </c>
      <c r="C58" s="4" t="inlineStr">
        <is>
          <t>University of Twente (UT)</t>
        </is>
      </c>
      <c r="D58" s="4" t="inlineStr">
        <is>
          <t>Enschede (انسخده) — شرق هلند، مرز آلمان</t>
        </is>
      </c>
      <c r="E58" s="4" t="inlineStr">
        <is>
          <t>متوسط — €1,000–1,300</t>
        </is>
      </c>
      <c r="F58" s="4" t="inlineStr">
        <is>
          <t>MSc Computer Science (گرایش‌ها: Cyber Security، Data Science، Software Tech، ...)</t>
        </is>
      </c>
      <c r="G58" s="4" t="inlineStr">
        <is>
          <t>مهندسی نرم‌افزار / علوم کامپیوتر</t>
        </is>
      </c>
      <c r="H58" s="4" t="inlineStr">
        <is>
          <t>۲ سال</t>
        </is>
      </c>
      <c r="I58" s="4" t="inlineStr">
        <is>
          <t>€21,700</t>
        </is>
      </c>
      <c r="J58" s="4" t="inlineStr">
        <is>
          <t>$24,700</t>
        </is>
      </c>
      <c r="K58" s="4" t="inlineStr">
        <is>
          <t>حداقل رسمی برای مدرک ایرانی ۱۵/۲۰</t>
        </is>
      </c>
      <c r="L58" s="4" t="inlineStr">
        <is>
          <t>6.5</t>
        </is>
      </c>
      <c r="M58" s="4" t="inlineStr">
        <is>
          <t>223</t>
        </is>
      </c>
      <c r="N58" s="10" t="inlineStr">
        <is>
          <t>Target</t>
        </is>
      </c>
      <c r="O58" s="4" t="inlineStr">
        <is>
          <t>4/5 — بیشترین حجم آگهی در هر ۶ کشور؛ ورود جونیور از ۲۰۲۳ سخت‌تر شده — سابقهٔ کار شما مزیت است</t>
        </is>
      </c>
      <c r="P58" s="4" t="inlineStr">
        <is>
          <t>گزینهٔ Target جدول اصلی</t>
        </is>
      </c>
      <c r="Q58" s="8" t="inlineStr">
        <is>
          <t>https://www.utwente.nl/en/education/master/programmes/computer-science/</t>
        </is>
      </c>
    </row>
    <row r="59">
      <c r="A59" s="2" t="n">
        <v>58</v>
      </c>
      <c r="B59" s="2" t="inlineStr">
        <is>
          <t>هلند</t>
        </is>
      </c>
      <c r="C59" s="4" t="inlineStr">
        <is>
          <t>University of Twente (UT)</t>
        </is>
      </c>
      <c r="D59" s="4" t="inlineStr">
        <is>
          <t>Enschede (انسخده) — شرق هلند، مرز آلمان</t>
        </is>
      </c>
      <c r="E59" s="4" t="inlineStr">
        <is>
          <t>متوسط — €1,000–1,300</t>
        </is>
      </c>
      <c r="F59" s="4" t="inlineStr">
        <is>
          <t>MSc Embedded Systems</t>
        </is>
      </c>
      <c r="G59" s="4" t="inlineStr">
        <is>
          <t>سیستم‌های نهفته / رباتیک / خودران</t>
        </is>
      </c>
      <c r="H59" s="4" t="inlineStr">
        <is>
          <t>۲ سال</t>
        </is>
      </c>
      <c r="I59" s="4" t="inlineStr">
        <is>
          <t>€21,700</t>
        </is>
      </c>
      <c r="J59" s="4" t="inlineStr">
        <is>
          <t>$24,700</t>
        </is>
      </c>
      <c r="K59" s="4" t="inlineStr">
        <is>
          <t>CGPA ≥ ۷۰–۷۵٪؛ کارشناسی CS/EE/Computer Eng</t>
        </is>
      </c>
      <c r="L59" s="4" t="inlineStr">
        <is>
          <t>6.5</t>
        </is>
      </c>
      <c r="M59" s="4" t="inlineStr">
        <is>
          <t>223</t>
        </is>
      </c>
      <c r="N59" s="10" t="inlineStr">
        <is>
          <t>Target</t>
        </is>
      </c>
      <c r="O59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59" s="4" t="inlineStr">
        <is>
          <t>شهریهٔ رسمی 2026/27؛ مهلت غیر-EU ۱ مه</t>
        </is>
      </c>
      <c r="Q59" s="8" t="inlineStr">
        <is>
          <t>https://www.utwente.nl/en/education/master/programmes/embedded-systems/finance/</t>
        </is>
      </c>
    </row>
    <row r="60">
      <c r="A60" s="2" t="n">
        <v>59</v>
      </c>
      <c r="B60" s="2" t="inlineStr">
        <is>
          <t>هلند</t>
        </is>
      </c>
      <c r="C60" s="4" t="inlineStr">
        <is>
          <t>University of Twente (UT)</t>
        </is>
      </c>
      <c r="D60" s="4" t="inlineStr">
        <is>
          <t>Enschede (انسخده) — شرق هلند، مرز آلمان</t>
        </is>
      </c>
      <c r="E60" s="4" t="inlineStr">
        <is>
          <t>متوسط — €1,000–1,300</t>
        </is>
      </c>
      <c r="F60" s="4" t="inlineStr">
        <is>
          <t>MSc Interaction Technology</t>
        </is>
      </c>
      <c r="G60" s="4" t="inlineStr">
        <is>
          <t>HCI / طراحی تعامل / UX</t>
        </is>
      </c>
      <c r="H60" s="4" t="inlineStr">
        <is>
          <t>۲ سال</t>
        </is>
      </c>
      <c r="I60" s="4" t="inlineStr">
        <is>
          <t>€21,700</t>
        </is>
      </c>
      <c r="J60" s="4" t="inlineStr">
        <is>
          <t>$24,700</t>
        </is>
      </c>
      <c r="K60" s="4" t="inlineStr">
        <is>
          <t>کارشناسی CS/مرتبط</t>
        </is>
      </c>
      <c r="L60" s="4" t="inlineStr">
        <is>
          <t>6.5</t>
        </is>
      </c>
      <c r="M60" s="4" t="inlineStr">
        <is>
          <t>223</t>
        </is>
      </c>
      <c r="N60" s="10" t="inlineStr">
        <is>
          <t>Target</t>
        </is>
      </c>
      <c r="O60" s="4" t="inlineStr">
        <is>
          <t>2/5 — آگهی‌های UX/UXR از ۲۰۲۲ حدود ۷۰٪ کم شده و از ۲۰۲۳ ثابت مانده؛ رقابت شدید، حقوق شروع کمتر از توسعه‌دهنده</t>
        </is>
      </c>
      <c r="P60" s="4" t="inlineStr">
        <is>
          <t>HCI فنی (نه طراحی صرف)</t>
        </is>
      </c>
      <c r="Q60" s="8" t="inlineStr">
        <is>
          <t>https://www.utwente.nl/en/education/master/programmes/interaction-technology/</t>
        </is>
      </c>
    </row>
    <row r="61">
      <c r="A61" s="2" t="n">
        <v>60</v>
      </c>
      <c r="B61" s="2" t="inlineStr">
        <is>
          <t>هلند</t>
        </is>
      </c>
      <c r="C61" s="4" t="inlineStr">
        <is>
          <t>Radboud University</t>
        </is>
      </c>
      <c r="D61" s="4" t="inlineStr">
        <is>
          <t>Nijmegen (نایمخن) — شرق هلند</t>
        </is>
      </c>
      <c r="E61" s="4" t="inlineStr">
        <is>
          <t>متوسط — €1,050–1,350</t>
        </is>
      </c>
      <c r="F61" s="4" t="inlineStr">
        <is>
          <t>MSc Computing Science (گرایش‌ها: Cyber Security، Data Science، Software Science)</t>
        </is>
      </c>
      <c r="G61" s="4" t="inlineStr">
        <is>
          <t>مهندسی نرم‌افزار / علوم کامپیوتر</t>
        </is>
      </c>
      <c r="H61" s="4" t="inlineStr">
        <is>
          <t>۲ سال</t>
        </is>
      </c>
      <c r="I61" s="4" t="inlineStr">
        <is>
          <t>€19,714 (2026/27 — نرخ رسمی دانشکدهٔ علوم)</t>
        </is>
      </c>
      <c r="J61" s="4" t="inlineStr">
        <is>
          <t>$22,500</t>
        </is>
      </c>
      <c r="K61" s="4" t="inlineStr">
        <is>
          <t>کارشناسی CS با ریاضی/الگوریتم کافی</t>
        </is>
      </c>
      <c r="L61" s="4" t="inlineStr">
        <is>
          <t>6.5</t>
        </is>
      </c>
      <c r="M61" s="4" t="inlineStr">
        <is>
          <t>283</t>
        </is>
      </c>
      <c r="N61" s="10" t="inlineStr">
        <is>
          <t>Target</t>
        </is>
      </c>
      <c r="O61" s="4" t="inlineStr">
        <is>
          <t>4/5 — بیشترین حجم آگهی در هر ۶ کشور؛ ورود جونیور از ۲۰۲۳ سخت‌تر شده — سابقهٔ کار شما مزیت است</t>
        </is>
      </c>
      <c r="P61" s="4" t="inlineStr">
        <is>
          <t>گزینهٔ Target جدول اصلی</t>
        </is>
      </c>
      <c r="Q61" s="8" t="inlineStr">
        <is>
          <t>https://www.ru.nl/en/education/masters/computing-science</t>
        </is>
      </c>
    </row>
    <row r="62">
      <c r="A62" s="2" t="n">
        <v>61</v>
      </c>
      <c r="B62" s="2" t="inlineStr">
        <is>
          <t>هلند</t>
        </is>
      </c>
      <c r="C62" s="4" t="inlineStr">
        <is>
          <t>Radboud University</t>
        </is>
      </c>
      <c r="D62" s="4" t="inlineStr">
        <is>
          <t>Nijmegen (نایمخن) — شرق هلند</t>
        </is>
      </c>
      <c r="E62" s="4" t="inlineStr">
        <is>
          <t>متوسط — €1,050–1,350</t>
        </is>
      </c>
      <c r="F62" s="4" t="inlineStr">
        <is>
          <t>MSc Artificial Intelligence</t>
        </is>
      </c>
      <c r="G62" s="4" t="inlineStr">
        <is>
          <t>هوش مصنوعی / یادگیری ماشین</t>
        </is>
      </c>
      <c r="H62" s="4" t="inlineStr">
        <is>
          <t>۲ سال</t>
        </is>
      </c>
      <c r="I62" s="4" t="inlineStr">
        <is>
          <t>€19,714 (2026/27 — نرخ رسمی دانشکدهٔ علوم)</t>
        </is>
      </c>
      <c r="J62" s="4" t="inlineStr">
        <is>
          <t>$22,500</t>
        </is>
      </c>
      <c r="K62" s="4" t="inlineStr">
        <is>
          <t>کارشناسی CS/AI/مرتبط</t>
        </is>
      </c>
      <c r="L62" s="4" t="inlineStr">
        <is>
          <t>6.5</t>
        </is>
      </c>
      <c r="M62" s="4" t="inlineStr">
        <is>
          <t>283</t>
        </is>
      </c>
      <c r="N62" s="10" t="inlineStr">
        <is>
          <t>Target</t>
        </is>
      </c>
      <c r="O62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62" s="4" t="inlineStr">
        <is>
          <t>AI شناختی (Donders Institute)</t>
        </is>
      </c>
      <c r="Q62" s="8" t="inlineStr">
        <is>
          <t>https://www.ru.nl/en/education/masters/artificial-intelligence</t>
        </is>
      </c>
    </row>
    <row r="63">
      <c r="A63" s="2" t="n">
        <v>62</v>
      </c>
      <c r="B63" s="2" t="inlineStr">
        <is>
          <t>هلند</t>
        </is>
      </c>
      <c r="C63" s="4" t="inlineStr">
        <is>
          <t>Leiden University</t>
        </is>
      </c>
      <c r="D63" s="4" t="inlineStr">
        <is>
          <t>Leiden (لایدن) — بین Den Haag و Amsterdam</t>
        </is>
      </c>
      <c r="E63" s="4" t="inlineStr">
        <is>
          <t>گران — €1,200–1,500</t>
        </is>
      </c>
      <c r="F63" s="4" t="inlineStr">
        <is>
          <t>MSc Computer Science (گرایش‌ها: Artificial Intelligence، Data Science، ...)</t>
        </is>
      </c>
      <c r="G63" s="4" t="inlineStr">
        <is>
          <t>چندحوزه‌ای (انتخاب گرایش)</t>
        </is>
      </c>
      <c r="H63" s="4" t="inlineStr">
        <is>
          <t>۲ سال</t>
        </is>
      </c>
      <c r="I63" s="4" t="inlineStr">
        <is>
          <t>€22,500</t>
        </is>
      </c>
      <c r="J63" s="4" t="inlineStr">
        <is>
          <t>$25,600</t>
        </is>
      </c>
      <c r="K63" s="4" t="inlineStr">
        <is>
          <t>کارشناسی CS</t>
        </is>
      </c>
      <c r="L63" s="4" t="inlineStr">
        <is>
          <t>6.5</t>
        </is>
      </c>
      <c r="M63" s="4" t="inlineStr">
        <is>
          <t>119</t>
        </is>
      </c>
      <c r="N63" s="11" t="inlineStr">
        <is>
          <t>Target/Reach</t>
        </is>
      </c>
      <c r="O63" s="4" t="inlineStr">
        <is>
          <t>4/5 — گرایش را بعد از ورود انتخاب می‌کنید؛ امتیاز بازار = گرایشی که برمی‌دارید</t>
        </is>
      </c>
      <c r="P63" s="4" t="inlineStr">
        <is>
          <t>شهریهٔ رسمی 2026/27؛ نزدیک Den Haag/Amsterdam</t>
        </is>
      </c>
      <c r="Q63" s="8" t="inlineStr">
        <is>
          <t>https://www.universiteitleiden.nl/en/education/study-programmes/master/computer-science/artificial-intelligence/admission-and-application/tuition-fees</t>
        </is>
      </c>
    </row>
    <row r="64">
      <c r="A64" s="2" t="n">
        <v>63</v>
      </c>
      <c r="B64" s="2" t="inlineStr">
        <is>
          <t>هلند</t>
        </is>
      </c>
      <c r="C64" s="4" t="inlineStr">
        <is>
          <t>University of Groningen (RUG)</t>
        </is>
      </c>
      <c r="D64" s="4" t="inlineStr">
        <is>
          <t>Groningen (خرونینگن) — شمال هلند</t>
        </is>
      </c>
      <c r="E64" s="4" t="inlineStr">
        <is>
          <t>متوسط — €1,050–1,350</t>
        </is>
      </c>
      <c r="F64" s="4" t="inlineStr">
        <is>
          <t>MSc Artificial Intelligence</t>
        </is>
      </c>
      <c r="G64" s="4" t="inlineStr">
        <is>
          <t>هوش مصنوعی / یادگیری ماشین</t>
        </is>
      </c>
      <c r="H64" s="4" t="inlineStr">
        <is>
          <t>۲ سال</t>
        </is>
      </c>
      <c r="I64" s="4" t="inlineStr">
        <is>
          <t>€24,900</t>
        </is>
      </c>
      <c r="J64" s="4" t="inlineStr">
        <is>
          <t>$28,400</t>
        </is>
      </c>
      <c r="K64" s="4" t="inlineStr">
        <is>
          <t>کارشناسی AI/CS با ریاضی</t>
        </is>
      </c>
      <c r="L64" s="4" t="inlineStr">
        <is>
          <t>6.5</t>
        </is>
      </c>
      <c r="M64" s="4" t="inlineStr">
        <is>
          <t>157</t>
        </is>
      </c>
      <c r="N64" s="11" t="inlineStr">
        <is>
          <t>Target/Reach</t>
        </is>
      </c>
      <c r="O64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64" s="4" t="inlineStr">
        <is>
          <t>شهریهٔ رسمی 2026/27؛ بورس ASML €5k</t>
        </is>
      </c>
      <c r="Q64" s="8" t="inlineStr">
        <is>
          <t>https://www.rug.nl/masters/artificial-intelligence/?lang=en</t>
        </is>
      </c>
    </row>
    <row r="65">
      <c r="A65" s="2" t="n">
        <v>64</v>
      </c>
      <c r="B65" s="2" t="inlineStr">
        <is>
          <t>هلند</t>
        </is>
      </c>
      <c r="C65" s="4" t="inlineStr">
        <is>
          <t>University of Groningen (RUG)</t>
        </is>
      </c>
      <c r="D65" s="4" t="inlineStr">
        <is>
          <t>Groningen (خرونینگن) — شمال هلند</t>
        </is>
      </c>
      <c r="E65" s="4" t="inlineStr">
        <is>
          <t>متوسط — €1,050–1,350</t>
        </is>
      </c>
      <c r="F65" s="4" t="inlineStr">
        <is>
          <t>MSc Computing Science</t>
        </is>
      </c>
      <c r="G65" s="4" t="inlineStr">
        <is>
          <t>مهندسی نرم‌افزار / علوم کامپیوتر</t>
        </is>
      </c>
      <c r="H65" s="4" t="inlineStr">
        <is>
          <t>۲ سال</t>
        </is>
      </c>
      <c r="I65" s="4" t="inlineStr">
        <is>
          <t>≈ €21,400 (2025) → ≈ €22,500</t>
        </is>
      </c>
      <c r="J65" s="4" t="inlineStr">
        <is>
          <t>$25,600</t>
        </is>
      </c>
      <c r="K65" s="4" t="inlineStr">
        <is>
          <t>کارشناسی CS</t>
        </is>
      </c>
      <c r="L65" s="4" t="inlineStr">
        <is>
          <t>6.5</t>
        </is>
      </c>
      <c r="M65" s="4" t="inlineStr">
        <is>
          <t>157</t>
        </is>
      </c>
      <c r="N65" s="10" t="inlineStr">
        <is>
          <t>Target</t>
        </is>
      </c>
      <c r="O65" s="4" t="inlineStr">
        <is>
          <t>4/5 — بیشترین حجم آگهی در هر ۶ کشور؛ ورود جونیور از ۲۰۲۳ سخت‌تر شده — سابقهٔ کار شما مزیت است</t>
        </is>
      </c>
      <c r="P65" s="4" t="inlineStr"/>
      <c r="Q65" s="8" t="inlineStr">
        <is>
          <t>https://www.rug.nl/masters/computing-science/?lang=en</t>
        </is>
      </c>
    </row>
    <row r="66">
      <c r="A66" s="2" t="n">
        <v>65</v>
      </c>
      <c r="B66" s="2" t="inlineStr">
        <is>
          <t>هلند</t>
        </is>
      </c>
      <c r="C66" s="4" t="inlineStr">
        <is>
          <t>Utrecht University</t>
        </is>
      </c>
      <c r="D66" s="4" t="inlineStr">
        <is>
          <t>Utrecht (اوترخت) — مرکز هلند؛ قطب استودیوهای بازی</t>
        </is>
      </c>
      <c r="E66" s="4" t="inlineStr">
        <is>
          <t>گران — €1,200–1,500</t>
        </is>
      </c>
      <c r="F66" s="4" t="inlineStr">
        <is>
          <t>MSc Game and Media Technology</t>
        </is>
      </c>
      <c r="G66" s="4" t="inlineStr">
        <is>
          <t>توسعه بازی</t>
        </is>
      </c>
      <c r="H66" s="4" t="inlineStr">
        <is>
          <t>۲ سال</t>
        </is>
      </c>
      <c r="I66" s="4" t="inlineStr">
        <is>
          <t>€25,306</t>
        </is>
      </c>
      <c r="J66" s="4" t="inlineStr">
        <is>
          <t>$28,800</t>
        </is>
      </c>
      <c r="K66" s="4" t="inlineStr">
        <is>
          <t>کارشناسی CS؛ ارشد پژوهشی گزینشی</t>
        </is>
      </c>
      <c r="L66" s="4" t="inlineStr">
        <is>
          <t>6.5</t>
        </is>
      </c>
      <c r="M66" s="4" t="inlineStr">
        <is>
          <t>113</t>
        </is>
      </c>
      <c r="N66" s="12" t="inlineStr">
        <is>
          <t>Reach</t>
        </is>
      </c>
      <c r="O66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66" s="4" t="inlineStr">
        <is>
          <t>تنها ارشد پژوهشی بازی هلند؛ Utrecht قطب استودیوهای بازی</t>
        </is>
      </c>
      <c r="Q66" s="8" t="inlineStr">
        <is>
          <t>https://www.uu.nl/en/masters/game-and-media-technology</t>
        </is>
      </c>
    </row>
    <row r="67">
      <c r="A67" s="2" t="n">
        <v>66</v>
      </c>
      <c r="B67" s="2" t="inlineStr">
        <is>
          <t>هلند</t>
        </is>
      </c>
      <c r="C67" s="4" t="inlineStr">
        <is>
          <t>Utrecht University</t>
        </is>
      </c>
      <c r="D67" s="4" t="inlineStr">
        <is>
          <t>Utrecht (اوترخت) — مرکز هلند؛ قطب استودیوهای بازی</t>
        </is>
      </c>
      <c r="E67" s="4" t="inlineStr">
        <is>
          <t>گران — €1,200–1,500</t>
        </is>
      </c>
      <c r="F67" s="4" t="inlineStr">
        <is>
          <t>MSc Artificial Intelligence</t>
        </is>
      </c>
      <c r="G67" s="4" t="inlineStr">
        <is>
          <t>هوش مصنوعی / یادگیری ماشین</t>
        </is>
      </c>
      <c r="H67" s="4" t="inlineStr">
        <is>
          <t>۲ سال</t>
        </is>
      </c>
      <c r="I67" s="4" t="inlineStr">
        <is>
          <t>€25,306</t>
        </is>
      </c>
      <c r="J67" s="4" t="inlineStr">
        <is>
          <t>$28,800</t>
        </is>
      </c>
      <c r="K67" s="4" t="inlineStr">
        <is>
          <t>کارشناسی CS/AI؛ گزینشی</t>
        </is>
      </c>
      <c r="L67" s="4" t="inlineStr">
        <is>
          <t>6.5</t>
        </is>
      </c>
      <c r="M67" s="4" t="inlineStr">
        <is>
          <t>113</t>
        </is>
      </c>
      <c r="N67" s="12" t="inlineStr">
        <is>
          <t>Reach</t>
        </is>
      </c>
      <c r="O67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67" s="4" t="inlineStr">
        <is>
          <t>همان باند شهریهٔ Utrecht 2026/27</t>
        </is>
      </c>
      <c r="Q67" s="8" t="inlineStr">
        <is>
          <t>https://www.uu.nl/en/masters/artificial-intelligence</t>
        </is>
      </c>
    </row>
    <row r="68">
      <c r="A68" s="2" t="n">
        <v>67</v>
      </c>
      <c r="B68" s="2" t="inlineStr">
        <is>
          <t>هلند</t>
        </is>
      </c>
      <c r="C68" s="4" t="inlineStr">
        <is>
          <t>University of Amsterdam (UvA)</t>
        </is>
      </c>
      <c r="D68" s="4" t="inlineStr">
        <is>
          <t>Amsterdam (آمستردام)</t>
        </is>
      </c>
      <c r="E68" s="4" t="inlineStr">
        <is>
          <t>خیلی گران — €1,300–1,700</t>
        </is>
      </c>
      <c r="F68" s="4" t="inlineStr">
        <is>
          <t>MSc Software Engineering (۱ ساله!)</t>
        </is>
      </c>
      <c r="G68" s="4" t="inlineStr">
        <is>
          <t>مهندسی نرم‌افزار / علوم کامپیوتر</t>
        </is>
      </c>
      <c r="H68" s="4" t="inlineStr">
        <is>
          <t>۱ سال</t>
        </is>
      </c>
      <c r="I68" s="4" t="inlineStr">
        <is>
          <t>≈ €23,540</t>
        </is>
      </c>
      <c r="J68" s="4" t="inlineStr">
        <is>
          <t>$26,800</t>
        </is>
      </c>
      <c r="K68" s="4" t="inlineStr">
        <is>
          <t>کارشناسی CS</t>
        </is>
      </c>
      <c r="L68" s="4" t="inlineStr">
        <is>
          <t>6.5</t>
        </is>
      </c>
      <c r="M68" s="4" t="inlineStr">
        <is>
          <t>60</t>
        </is>
      </c>
      <c r="N68" s="11" t="inlineStr">
        <is>
          <t>Target/Reach</t>
        </is>
      </c>
      <c r="O68" s="4" t="inlineStr">
        <is>
          <t>4/5 — بیشترین حجم آگهی در هر ۶ کشور؛ ورود جونیور از ۲۰۲۳ سخت‌تر شده — سابقهٔ کار شما مزیت است</t>
        </is>
      </c>
      <c r="P68" s="4" t="inlineStr">
        <is>
          <t>تنها ارشد ۱ سالهٔ معتبر هلند → کل هزینه نصف؛ اما اجارهٔ Amsterdam €900–1,300</t>
        </is>
      </c>
      <c r="Q68" s="8" t="inlineStr">
        <is>
          <t>https://www.uva.nl/en/programmes/masters/software-engineering/software-engineering.html</t>
        </is>
      </c>
    </row>
    <row r="69">
      <c r="A69" s="2" t="n">
        <v>68</v>
      </c>
      <c r="B69" s="2" t="inlineStr">
        <is>
          <t>هلند</t>
        </is>
      </c>
      <c r="C69" s="4" t="inlineStr">
        <is>
          <t>University of Amsterdam (UvA)</t>
        </is>
      </c>
      <c r="D69" s="4" t="inlineStr">
        <is>
          <t>Amsterdam (آمستردام)</t>
        </is>
      </c>
      <c r="E69" s="4" t="inlineStr">
        <is>
          <t>خیلی گران — €1,300–1,700</t>
        </is>
      </c>
      <c r="F69" s="4" t="inlineStr">
        <is>
          <t>MSc Artificial Intelligence</t>
        </is>
      </c>
      <c r="G69" s="4" t="inlineStr">
        <is>
          <t>هوش مصنوعی / یادگیری ماشین</t>
        </is>
      </c>
      <c r="H69" s="4" t="inlineStr">
        <is>
          <t>۲ سال</t>
        </is>
      </c>
      <c r="I69" s="4" t="inlineStr">
        <is>
          <t>≈ €26,000</t>
        </is>
      </c>
      <c r="J69" s="4" t="inlineStr">
        <is>
          <t>$29,600</t>
        </is>
      </c>
      <c r="K69" s="4" t="inlineStr">
        <is>
          <t>کارشناسی AI/CS با ریاضی قوی؛ بسیار رقابتی</t>
        </is>
      </c>
      <c r="L69" s="4" t="inlineStr">
        <is>
          <t>6.5</t>
        </is>
      </c>
      <c r="M69" s="4" t="inlineStr">
        <is>
          <t>60</t>
        </is>
      </c>
      <c r="N69" s="12" t="inlineStr">
        <is>
          <t>Reach</t>
        </is>
      </c>
      <c r="O69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69" s="4" t="inlineStr"/>
      <c r="Q69" s="8" t="inlineStr">
        <is>
          <t>https://www.uva.nl/en/programmes/masters/artificial-intelligence/artificial-intelligence.html</t>
        </is>
      </c>
    </row>
    <row r="70">
      <c r="A70" s="2" t="n">
        <v>69</v>
      </c>
      <c r="B70" s="2" t="inlineStr">
        <is>
          <t>هلند</t>
        </is>
      </c>
      <c r="C70" s="4" t="inlineStr">
        <is>
          <t>TU Eindhoven (TU/e)</t>
        </is>
      </c>
      <c r="D70" s="4" t="inlineStr">
        <is>
          <t>Eindhoven (آیندهوون) — Brainport: ASML، Philips، NXP</t>
        </is>
      </c>
      <c r="E70" s="4" t="inlineStr">
        <is>
          <t>گران — €1,100–1,400</t>
        </is>
      </c>
      <c r="F70" s="4" t="inlineStr">
        <is>
          <t>MSc Data Science and Artificial Intelligence</t>
        </is>
      </c>
      <c r="G70" s="4" t="inlineStr">
        <is>
          <t>علم داده / تحلیل داده</t>
        </is>
      </c>
      <c r="H70" s="4" t="inlineStr">
        <is>
          <t>۲ سال</t>
        </is>
      </c>
      <c r="I70" s="4" t="inlineStr">
        <is>
          <t>€22,400 (2027/28 رسمی؛ 2026/27: €21,700)</t>
        </is>
      </c>
      <c r="J70" s="4" t="inlineStr">
        <is>
          <t>$25,500</t>
        </is>
      </c>
      <c r="K70" s="4" t="inlineStr">
        <is>
          <t>کارشناسی CS/ریاضی؛ گزینش بر اساس معدل</t>
        </is>
      </c>
      <c r="L70" s="4" t="inlineStr">
        <is>
          <t>6.5</t>
        </is>
      </c>
      <c r="M70" s="4" t="inlineStr">
        <is>
          <t>152</t>
        </is>
      </c>
      <c r="N70" s="12" t="inlineStr">
        <is>
          <t>Reach</t>
        </is>
      </c>
      <c r="O70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70" s="4" t="inlineStr">
        <is>
          <t>Brainport (ASML، Philips، NXP)</t>
        </is>
      </c>
      <c r="Q70" s="8" t="inlineStr">
        <is>
          <t>https://www.tue.nl/en/education/graduate-school/master-data-science-and-artificial-intelligence</t>
        </is>
      </c>
    </row>
    <row r="71">
      <c r="A71" s="2" t="n">
        <v>70</v>
      </c>
      <c r="B71" s="2" t="inlineStr">
        <is>
          <t>هلند</t>
        </is>
      </c>
      <c r="C71" s="4" t="inlineStr">
        <is>
          <t>TU Eindhoven (TU/e)</t>
        </is>
      </c>
      <c r="D71" s="4" t="inlineStr">
        <is>
          <t>Eindhoven (آیندهوون) — Brainport: ASML، Philips، NXP</t>
        </is>
      </c>
      <c r="E71" s="4" t="inlineStr">
        <is>
          <t>گران — €1,100–1,400</t>
        </is>
      </c>
      <c r="F71" s="4" t="inlineStr">
        <is>
          <t>MSc Embedded Systems</t>
        </is>
      </c>
      <c r="G71" s="4" t="inlineStr">
        <is>
          <t>سیستم‌های نهفته / رباتیک / خودران</t>
        </is>
      </c>
      <c r="H71" s="4" t="inlineStr">
        <is>
          <t>۲ سال</t>
        </is>
      </c>
      <c r="I71" s="4" t="inlineStr">
        <is>
          <t>€22,400 (2027/28 رسمی؛ 2026/27: €21,700)</t>
        </is>
      </c>
      <c r="J71" s="4" t="inlineStr">
        <is>
          <t>$25,500</t>
        </is>
      </c>
      <c r="K71" s="4" t="inlineStr">
        <is>
          <t>کارشناسی CS/EE؛ گزینش</t>
        </is>
      </c>
      <c r="L71" s="4" t="inlineStr">
        <is>
          <t>6.5</t>
        </is>
      </c>
      <c r="M71" s="4" t="inlineStr">
        <is>
          <t>152</t>
        </is>
      </c>
      <c r="N71" s="12" t="inlineStr">
        <is>
          <t>Reach</t>
        </is>
      </c>
      <c r="O71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71" s="4" t="inlineStr">
        <is>
          <t>ASML/NXP بزرگ‌ترین کارفرمایان Embedded اروپا</t>
        </is>
      </c>
      <c r="Q71" s="8" t="inlineStr">
        <is>
          <t>https://www.tue.nl/en/education/graduate-school/master-embedded-systems</t>
        </is>
      </c>
    </row>
    <row r="72">
      <c r="A72" s="2" t="n">
        <v>71</v>
      </c>
      <c r="B72" s="2" t="inlineStr">
        <is>
          <t>هلند</t>
        </is>
      </c>
      <c r="C72" s="4" t="inlineStr">
        <is>
          <t>TU Delft</t>
        </is>
      </c>
      <c r="D72" s="4" t="inlineStr">
        <is>
          <t>Delft (دلفت) — کنار Den Haag/Rotterdam</t>
        </is>
      </c>
      <c r="E72" s="4" t="inlineStr">
        <is>
          <t>گران — €1,200–1,500</t>
        </is>
      </c>
      <c r="F72" s="4" t="inlineStr">
        <is>
          <t>MSc Computer Science / MSc Computer &amp; Embedded Systems Engineering</t>
        </is>
      </c>
      <c r="G72" s="4" t="inlineStr">
        <is>
          <t>مهندسی نرم‌افزار / علوم کامپیوتر</t>
        </is>
      </c>
      <c r="H72" s="4" t="inlineStr">
        <is>
          <t>۲ سال</t>
        </is>
      </c>
      <c r="I72" s="4" t="inlineStr">
        <is>
          <t>€22,290 (2025/26) → ≈ €23,000</t>
        </is>
      </c>
      <c r="J72" s="4" t="inlineStr">
        <is>
          <t>$26,200</t>
        </is>
      </c>
      <c r="K72" s="4" t="inlineStr">
        <is>
          <t>معدل ≥ ۷۵٪ / ۲۰٪ برتر</t>
        </is>
      </c>
      <c r="L72" s="4" t="inlineStr">
        <is>
          <t>7.0</t>
        </is>
      </c>
      <c r="M72" s="4" t="inlineStr">
        <is>
          <t>48</t>
        </is>
      </c>
      <c r="N72" s="12" t="inlineStr">
        <is>
          <t>Reach</t>
        </is>
      </c>
      <c r="O72" s="4" t="inlineStr">
        <is>
          <t>4/5 — بیشترین حجم آگهی در هر ۶ کشور؛ ورود جونیور از ۲۰۲۳ سخت‌تر شده — سابقهٔ کار شما مزیت است</t>
        </is>
      </c>
      <c r="P72" s="4" t="inlineStr">
        <is>
          <t>معتبرترین، ولی برای معدل ۱۵.۷۷ دور از دسترس</t>
        </is>
      </c>
      <c r="Q72" s="8" t="inlineStr">
        <is>
          <t>https://www.tudelft.nl/onderwijs/opleidingen/masters/cs/msc-computer-science</t>
        </is>
      </c>
    </row>
    <row r="73">
      <c r="A73" s="2" t="n">
        <v>72</v>
      </c>
      <c r="B73" s="2" t="inlineStr">
        <is>
          <t>هلند</t>
        </is>
      </c>
      <c r="C73" s="4" t="inlineStr">
        <is>
          <t>Breda University of Applied Sciences (BUas)</t>
        </is>
      </c>
      <c r="D73" s="4" t="inlineStr">
        <is>
          <t>Breda (بردا) — جنوب هلند</t>
        </is>
      </c>
      <c r="E73" s="4" t="inlineStr">
        <is>
          <t>متوسط — €1,000–1,300</t>
        </is>
      </c>
      <c r="F73" s="4" t="inlineStr">
        <is>
          <t>Master Game Technology (۱ ساله)</t>
        </is>
      </c>
      <c r="G73" s="4" t="inlineStr">
        <is>
          <t>توسعه بازی</t>
        </is>
      </c>
      <c r="H73" s="4" t="inlineStr">
        <is>
          <t>۱ سال</t>
        </is>
      </c>
      <c r="I73" s="4" t="inlineStr">
        <is>
          <t>≈ €15,200</t>
        </is>
      </c>
      <c r="J73" s="4" t="inlineStr">
        <is>
          <t>$17,300</t>
        </is>
      </c>
      <c r="K73" s="4" t="inlineStr">
        <is>
          <t>کارشناسی IT/برنامه‌نویسی/بازی + پیشنهاد پروژه</t>
        </is>
      </c>
      <c r="L73" s="4" t="inlineStr">
        <is>
          <t>6.0</t>
        </is>
      </c>
      <c r="M73" s="4" t="inlineStr">
        <is>
          <t>— (UAS)</t>
        </is>
      </c>
      <c r="N73" s="9" t="inlineStr">
        <is>
          <t>Safe/Target</t>
        </is>
      </c>
      <c r="O73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73" s="4" t="inlineStr">
        <is>
          <t>برنامهٔ بازی BUas در اروپا شناخته‌شده است؛ مدرک UAS (نه پژوهشی)</t>
        </is>
      </c>
      <c r="Q73" s="8" t="inlineStr">
        <is>
          <t>https://www.topuniversities.com/universities/breda-university-applied-sciences/postgrad/master-game-technology</t>
        </is>
      </c>
    </row>
    <row r="74">
      <c r="A74" s="2" t="n">
        <v>73</v>
      </c>
      <c r="B74" s="2" t="inlineStr">
        <is>
          <t>سوئد</t>
        </is>
      </c>
      <c r="C74" s="4" t="inlineStr">
        <is>
          <t>Linköping University (LiU)</t>
        </is>
      </c>
      <c r="D74" s="4" t="inlineStr">
        <is>
          <t>Linköping (لینشوپینگ) — Saab، Ericsson</t>
        </is>
      </c>
      <c r="E74" s="4" t="inlineStr">
        <is>
          <t>متوسط — SEK 10,500–12,500</t>
        </is>
      </c>
      <c r="F74" s="4" t="inlineStr">
        <is>
          <t>MSc Computer Science</t>
        </is>
      </c>
      <c r="G74" s="4" t="inlineStr">
        <is>
          <t>مهندسی نرم‌افزار / علوم کامپیوتر</t>
        </is>
      </c>
      <c r="H74" s="4" t="inlineStr">
        <is>
          <t>۲ سال</t>
        </is>
      </c>
      <c r="I74" s="4" t="inlineStr">
        <is>
          <t>SEK 166,000</t>
        </is>
      </c>
      <c r="J74" s="4" t="inlineStr">
        <is>
          <t>$16,800</t>
        </is>
      </c>
      <c r="K74" s="4" t="inlineStr">
        <is>
          <t>گزینش بر اساس گروه معدل</t>
        </is>
      </c>
      <c r="L74" s="4" t="inlineStr">
        <is>
          <t>6.5</t>
        </is>
      </c>
      <c r="M74" s="4" t="inlineStr">
        <is>
          <t>308</t>
        </is>
      </c>
      <c r="N74" s="10" t="inlineStr">
        <is>
          <t>Target</t>
        </is>
      </c>
      <c r="O74" s="4" t="inlineStr">
        <is>
          <t>4/5 — بیشترین حجم آگهی در هر ۶ کشور؛ ورود جونیور از ۲۰۲۳ سخت‌تر شده — سابقهٔ کار شما مزیت است</t>
        </is>
      </c>
      <c r="P74" s="4" t="inlineStr">
        <is>
          <t>گزینهٔ Target جدول اصلی</t>
        </is>
      </c>
      <c r="Q74" s="8" t="inlineStr">
        <is>
          <t>https://liu.se/en/education/program/6mics</t>
        </is>
      </c>
    </row>
    <row r="75">
      <c r="A75" s="2" t="n">
        <v>74</v>
      </c>
      <c r="B75" s="2" t="inlineStr">
        <is>
          <t>سوئد</t>
        </is>
      </c>
      <c r="C75" s="4" t="inlineStr">
        <is>
          <t>Linköping University (LiU)</t>
        </is>
      </c>
      <c r="D75" s="4" t="inlineStr">
        <is>
          <t>Linköping (لینشوپینگ) — Saab، Ericsson</t>
        </is>
      </c>
      <c r="E75" s="4" t="inlineStr">
        <is>
          <t>متوسط — SEK 10,500–12,500</t>
        </is>
      </c>
      <c r="F75" s="4" t="inlineStr">
        <is>
          <t>MSc Statistics and Machine Learning</t>
        </is>
      </c>
      <c r="G75" s="4" t="inlineStr">
        <is>
          <t>هوش مصنوعی / یادگیری ماشین</t>
        </is>
      </c>
      <c r="H75" s="4" t="inlineStr">
        <is>
          <t>۲ سال</t>
        </is>
      </c>
      <c r="I75" s="4" t="inlineStr">
        <is>
          <t>≈ SEK 166,000 (همان باند)</t>
        </is>
      </c>
      <c r="J75" s="4" t="inlineStr">
        <is>
          <t>$16,800</t>
        </is>
      </c>
      <c r="K75" s="4" t="inlineStr">
        <is>
          <t>کارشناسی با ≥ ۳۰ واحد ریاضی/آمار + برنامه‌نویسی</t>
        </is>
      </c>
      <c r="L75" s="4" t="inlineStr">
        <is>
          <t>6.5</t>
        </is>
      </c>
      <c r="M75" s="4" t="inlineStr">
        <is>
          <t>308</t>
        </is>
      </c>
      <c r="N75" s="10" t="inlineStr">
        <is>
          <t>Target</t>
        </is>
      </c>
      <c r="O75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75" s="4" t="inlineStr"/>
      <c r="Q75" s="8" t="inlineStr">
        <is>
          <t>https://liu.se/en/education/program/f7msl</t>
        </is>
      </c>
    </row>
    <row r="76">
      <c r="A76" s="2" t="n">
        <v>75</v>
      </c>
      <c r="B76" s="2" t="inlineStr">
        <is>
          <t>سوئد</t>
        </is>
      </c>
      <c r="C76" s="4" t="inlineStr">
        <is>
          <t>Halmstad University</t>
        </is>
      </c>
      <c r="D76" s="4" t="inlineStr">
        <is>
          <t>Halmstad (هالمستاد) — غرب سوئد</t>
        </is>
      </c>
      <c r="E76" s="4" t="inlineStr">
        <is>
          <t>متوسط — SEK 10,000–12,000</t>
        </is>
      </c>
      <c r="F76" s="4" t="inlineStr">
        <is>
          <t>MSc Embedded and Intelligent Systems (120 cr)</t>
        </is>
      </c>
      <c r="G76" s="4" t="inlineStr">
        <is>
          <t>سیستم‌های نهفته / رباتیک / خودران</t>
        </is>
      </c>
      <c r="H76" s="4" t="inlineStr">
        <is>
          <t>۲ سال</t>
        </is>
      </c>
      <c r="I76" s="4" t="inlineStr">
        <is>
          <t>≈ SEK 151,000</t>
        </is>
      </c>
      <c r="J76" s="4" t="inlineStr">
        <is>
          <t>$15,300</t>
        </is>
      </c>
      <c r="K76" s="4" t="inlineStr">
        <is>
          <t>کارشناسی CS/EE</t>
        </is>
      </c>
      <c r="L76" s="4" t="inlineStr">
        <is>
          <t>6.5</t>
        </is>
      </c>
      <c r="M76" s="4" t="inlineStr">
        <is>
          <t>—</t>
        </is>
      </c>
      <c r="N76" s="7" t="inlineStr">
        <is>
          <t>Safe</t>
        </is>
      </c>
      <c r="O76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76" s="4" t="inlineStr">
        <is>
          <t>Volvo/HMS در منطقه؛ بدون رتبهٔ QS</t>
        </is>
      </c>
      <c r="Q76" s="8" t="inlineStr">
        <is>
          <t>https://www.hh.se/english/education/programmes.html</t>
        </is>
      </c>
    </row>
    <row r="77">
      <c r="A77" s="2" t="n">
        <v>76</v>
      </c>
      <c r="B77" s="2" t="inlineStr">
        <is>
          <t>سوئد</t>
        </is>
      </c>
      <c r="C77" s="4" t="inlineStr">
        <is>
          <t>Blekinge Institute of Technology (BTH)</t>
        </is>
      </c>
      <c r="D77" s="4" t="inlineStr">
        <is>
          <t>Karlskrona (کارلسکرونا) — Ericsson، Telenor</t>
        </is>
      </c>
      <c r="E77" s="4" t="inlineStr">
        <is>
          <t>ارزان — SEK 9,500–11,500</t>
        </is>
      </c>
      <c r="F77" s="4" t="inlineStr">
        <is>
          <t>MSc Software Engineering (120 cr)</t>
        </is>
      </c>
      <c r="G77" s="4" t="inlineStr">
        <is>
          <t>مهندسی نرم‌افزار / علوم کامپیوتر</t>
        </is>
      </c>
      <c r="H77" s="4" t="inlineStr">
        <is>
          <t>۲ سال</t>
        </is>
      </c>
      <c r="I77" s="4" t="inlineStr">
        <is>
          <t>SEK 140,000</t>
        </is>
      </c>
      <c r="J77" s="4" t="inlineStr">
        <is>
          <t>$14,100</t>
        </is>
      </c>
      <c r="K77" s="4" t="inlineStr">
        <is>
          <t>≥ ۹۰ واحد CS/SE</t>
        </is>
      </c>
      <c r="L77" s="4" t="inlineStr">
        <is>
          <t>6.5</t>
        </is>
      </c>
      <c r="M77" s="4" t="inlineStr">
        <is>
          <t>—</t>
        </is>
      </c>
      <c r="N77" s="9" t="inlineStr">
        <is>
          <t>Safe/Target</t>
        </is>
      </c>
      <c r="O77" s="4" t="inlineStr">
        <is>
          <t>4/5 — بیشترین حجم آگهی در هر ۶ کشور؛ ورود جونیور از ۲۰۲۳ سخت‌تر شده — سابقهٔ کار شما مزیت است</t>
        </is>
      </c>
      <c r="P77" s="4" t="inlineStr">
        <is>
          <t>Ericsson و Telenor در Karlskrona؛ ⚠️ نسخهٔ ۶۰ واحدی از راه دور است</t>
        </is>
      </c>
      <c r="Q77" s="8" t="inlineStr">
        <is>
          <t>https://www.bth.se/eng/programmes/</t>
        </is>
      </c>
    </row>
    <row r="78">
      <c r="A78" s="2" t="n">
        <v>77</v>
      </c>
      <c r="B78" s="2" t="inlineStr">
        <is>
          <t>سوئد</t>
        </is>
      </c>
      <c r="C78" s="4" t="inlineStr">
        <is>
          <t>KTH Royal Institute of Technology</t>
        </is>
      </c>
      <c r="D78" s="4" t="inlineStr">
        <is>
          <t>Stockholm (استکهلم)</t>
        </is>
      </c>
      <c r="E78" s="4" t="inlineStr">
        <is>
          <t>گران — SEK 12,500–15,000</t>
        </is>
      </c>
      <c r="F78" s="4" t="inlineStr">
        <is>
          <t>MSc Machine Learning</t>
        </is>
      </c>
      <c r="G78" s="4" t="inlineStr">
        <is>
          <t>هوش مصنوعی / یادگیری ماشین</t>
        </is>
      </c>
      <c r="H78" s="4" t="inlineStr">
        <is>
          <t>۲ سال</t>
        </is>
      </c>
      <c r="I78" s="4" t="inlineStr">
        <is>
          <t>≈ SEK 180,000–190,000 (کل دوره ≈ 360k–380k)</t>
        </is>
      </c>
      <c r="J78" s="4" t="inlineStr">
        <is>
          <t>$18,200–19,200</t>
        </is>
      </c>
      <c r="K78" s="4" t="inlineStr">
        <is>
          <t>کارشناسی CS/ریاضی قوی؛ بسیار رقابتی</t>
        </is>
      </c>
      <c r="L78" s="4" t="inlineStr">
        <is>
          <t>6.5</t>
        </is>
      </c>
      <c r="M78" s="4" t="inlineStr">
        <is>
          <t>82</t>
        </is>
      </c>
      <c r="N78" s="12" t="inlineStr">
        <is>
          <t>Reach</t>
        </is>
      </c>
      <c r="O78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78" s="4" t="inlineStr">
        <is>
          <t>Stockholm گران (اتاق SEK 7–10k)؛ رقم دقیق روی kth.se فقط در سامانهٔ اپلای نمایش داده می‌شود</t>
        </is>
      </c>
      <c r="Q78" s="8" t="inlineStr">
        <is>
          <t>https://www.kth.se/en/studies/master/machine-learning</t>
        </is>
      </c>
    </row>
    <row r="79">
      <c r="A79" s="2" t="n">
        <v>78</v>
      </c>
      <c r="B79" s="2" t="inlineStr">
        <is>
          <t>سوئد</t>
        </is>
      </c>
      <c r="C79" s="4" t="inlineStr">
        <is>
          <t>KTH Royal Institute of Technology</t>
        </is>
      </c>
      <c r="D79" s="4" t="inlineStr">
        <is>
          <t>Stockholm (استکهلم)</t>
        </is>
      </c>
      <c r="E79" s="4" t="inlineStr">
        <is>
          <t>گران — SEK 12,500–15,000</t>
        </is>
      </c>
      <c r="F79" s="4" t="inlineStr">
        <is>
          <t>MSc Cybersecurity</t>
        </is>
      </c>
      <c r="G79" s="4" t="inlineStr">
        <is>
          <t>امنیت سایبری</t>
        </is>
      </c>
      <c r="H79" s="4" t="inlineStr">
        <is>
          <t>۲ سال</t>
        </is>
      </c>
      <c r="I79" s="4" t="inlineStr">
        <is>
          <t>≈ SEK 180,000–190,000</t>
        </is>
      </c>
      <c r="J79" s="4" t="inlineStr">
        <is>
          <t>$18,200–19,200</t>
        </is>
      </c>
      <c r="K79" s="4" t="inlineStr">
        <is>
          <t>کارشناسی CS</t>
        </is>
      </c>
      <c r="L79" s="4" t="inlineStr">
        <is>
          <t>6.5</t>
        </is>
      </c>
      <c r="M79" s="4" t="inlineStr">
        <is>
          <t>82</t>
        </is>
      </c>
      <c r="N79" s="12" t="inlineStr">
        <is>
          <t>Reach</t>
        </is>
      </c>
      <c r="O79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79" s="4" t="inlineStr"/>
      <c r="Q79" s="8" t="inlineStr">
        <is>
          <t>https://www.kth.se/en/studies/master/cybersecurity</t>
        </is>
      </c>
    </row>
    <row r="80">
      <c r="A80" s="2" t="n">
        <v>79</v>
      </c>
      <c r="B80" s="2" t="inlineStr">
        <is>
          <t>سوئد</t>
        </is>
      </c>
      <c r="C80" s="4" t="inlineStr">
        <is>
          <t>KTH Royal Institute of Technology</t>
        </is>
      </c>
      <c r="D80" s="4" t="inlineStr">
        <is>
          <t>Stockholm – Kista (استکهلم، شیستا؛ قطب ICT)</t>
        </is>
      </c>
      <c r="E80" s="4" t="inlineStr">
        <is>
          <t>گران — SEK 12,500–15,000</t>
        </is>
      </c>
      <c r="F80" s="4" t="inlineStr">
        <is>
          <t>MSc Software Engineering of Distributed Systems</t>
        </is>
      </c>
      <c r="G80" s="4" t="inlineStr">
        <is>
          <t>ابری / سیستم‌های توزیع‌شده / DevOps</t>
        </is>
      </c>
      <c r="H80" s="4" t="inlineStr">
        <is>
          <t>۲ سال</t>
        </is>
      </c>
      <c r="I80" s="4" t="inlineStr">
        <is>
          <t>SEK 180,000–190,000</t>
        </is>
      </c>
      <c r="J80" s="4" t="inlineStr">
        <is>
          <t>$18,200–19,200</t>
        </is>
      </c>
      <c r="K80" s="4" t="inlineStr">
        <is>
          <t>کارشناسی CS</t>
        </is>
      </c>
      <c r="L80" s="4" t="inlineStr">
        <is>
          <t>6.5</t>
        </is>
      </c>
      <c r="M80" s="4" t="inlineStr">
        <is>
          <t>82</t>
        </is>
      </c>
      <c r="N80" s="11" t="inlineStr">
        <is>
          <t>Target/Reach</t>
        </is>
      </c>
      <c r="O80" s="4" t="inlineStr">
        <is>
          <t>4/5 — تقاضای پایدار و کمتر مدرک‌محور؛ گواهی AWS/Azure کنار مدرک وزن زیادی دارد</t>
        </is>
      </c>
      <c r="P80" s="4" t="inlineStr">
        <is>
          <t>Kista = قطب ICT سوئد (Ericsson)</t>
        </is>
      </c>
      <c r="Q80" s="8" t="inlineStr">
        <is>
          <t>https://www.kth.se/en/studies/master/software-engineering-of-distributed-systems</t>
        </is>
      </c>
    </row>
    <row r="81">
      <c r="A81" s="2" t="n">
        <v>80</v>
      </c>
      <c r="B81" s="2" t="inlineStr">
        <is>
          <t>سوئد</t>
        </is>
      </c>
      <c r="C81" s="4" t="inlineStr">
        <is>
          <t>Chalmers University of Technology</t>
        </is>
      </c>
      <c r="D81" s="4" t="inlineStr">
        <is>
          <t>Gothenburg / Göteborg (گوتنبرگ) — Volvo، Ericsson</t>
        </is>
      </c>
      <c r="E81" s="4" t="inlineStr">
        <is>
          <t>متوسط تا گران — SEK 11,500–13,500</t>
        </is>
      </c>
      <c r="F81" s="4" t="inlineStr">
        <is>
          <t>MSc Data Science and AI</t>
        </is>
      </c>
      <c r="G81" s="4" t="inlineStr">
        <is>
          <t>علم داده / تحلیل داده</t>
        </is>
      </c>
      <c r="H81" s="4" t="inlineStr">
        <is>
          <t>۲ سال</t>
        </is>
      </c>
      <c r="I81" s="4" t="inlineStr">
        <is>
          <t>≈ SEK 175,000 (2026/27؛ 2025/26: 160,000)</t>
        </is>
      </c>
      <c r="J81" s="4" t="inlineStr">
        <is>
          <t>$17,700</t>
        </is>
      </c>
      <c r="K81" s="4" t="inlineStr">
        <is>
          <t>کارشناسی CS/ریاضی</t>
        </is>
      </c>
      <c r="L81" s="4" t="inlineStr">
        <is>
          <t>6.5</t>
        </is>
      </c>
      <c r="M81" s="4" t="inlineStr">
        <is>
          <t>174</t>
        </is>
      </c>
      <c r="N81" s="11" t="inlineStr">
        <is>
          <t>Target/Reach</t>
        </is>
      </c>
      <c r="O81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81" s="4" t="inlineStr">
        <is>
          <t>Volvo، Ericsson، Zenseact؛ مهلت ۱۵ ژانویه؛ ⚠️ طبق صفحهٔ شهریهٔ Chalmers دانشگاه‌های سوئد فعلاً نمی‌توانند از ایران پول دریافت کنند (تحریم بانکی) — پرداخت از کشور ثالث</t>
        </is>
      </c>
      <c r="Q81" s="8" t="inlineStr">
        <is>
          <t>https://www.chalmers.se/en/education/find-masters-programme/data-science-and-ai-msc/</t>
        </is>
      </c>
    </row>
    <row r="82">
      <c r="A82" s="2" t="n">
        <v>81</v>
      </c>
      <c r="B82" s="2" t="inlineStr">
        <is>
          <t>سوئد</t>
        </is>
      </c>
      <c r="C82" s="4" t="inlineStr">
        <is>
          <t>Chalmers University of Technology</t>
        </is>
      </c>
      <c r="D82" s="4" t="inlineStr">
        <is>
          <t>Gothenburg / Göteborg (گوتنبرگ) — Volvo، Ericsson</t>
        </is>
      </c>
      <c r="E82" s="4" t="inlineStr">
        <is>
          <t>متوسط تا گران — SEK 11,500–13,500</t>
        </is>
      </c>
      <c r="F82" s="4" t="inlineStr">
        <is>
          <t>MSc Software Engineering and Technology</t>
        </is>
      </c>
      <c r="G82" s="4" t="inlineStr">
        <is>
          <t>مهندسی نرم‌افزار / علوم کامپیوتر</t>
        </is>
      </c>
      <c r="H82" s="4" t="inlineStr">
        <is>
          <t>۲ سال</t>
        </is>
      </c>
      <c r="I82" s="4" t="inlineStr">
        <is>
          <t>≈ SEK 175,000 (2026/27)</t>
        </is>
      </c>
      <c r="J82" s="4" t="inlineStr">
        <is>
          <t>$17,700</t>
        </is>
      </c>
      <c r="K82" s="4" t="inlineStr">
        <is>
          <t>کارشناسی CS/SE</t>
        </is>
      </c>
      <c r="L82" s="4" t="inlineStr">
        <is>
          <t>6.5</t>
        </is>
      </c>
      <c r="M82" s="4" t="inlineStr">
        <is>
          <t>174</t>
        </is>
      </c>
      <c r="N82" s="10" t="inlineStr">
        <is>
          <t>Target</t>
        </is>
      </c>
      <c r="O82" s="4" t="inlineStr">
        <is>
          <t>4/5 — بیشترین حجم آگهی در هر ۶ کشور؛ ورود جونیور از ۲۰۲۳ سخت‌تر شده — سابقهٔ کار شما مزیت است</t>
        </is>
      </c>
      <c r="P82" s="4" t="inlineStr"/>
      <c r="Q82" s="8" t="inlineStr">
        <is>
          <t>https://www.chalmers.se/en/education/find-masters-programme/software-engineering-and-technology-msc/</t>
        </is>
      </c>
    </row>
    <row r="83">
      <c r="A83" s="2" t="n">
        <v>82</v>
      </c>
      <c r="B83" s="2" t="inlineStr">
        <is>
          <t>سوئد</t>
        </is>
      </c>
      <c r="C83" s="4" t="inlineStr">
        <is>
          <t>Chalmers University of Technology</t>
        </is>
      </c>
      <c r="D83" s="4" t="inlineStr">
        <is>
          <t>Gothenburg / Göteborg (گوتنبرگ) — Volvo، Ericsson</t>
        </is>
      </c>
      <c r="E83" s="4" t="inlineStr">
        <is>
          <t>متوسط تا گران — SEK 11,500–13,500</t>
        </is>
      </c>
      <c r="F83" s="4" t="inlineStr">
        <is>
          <t>MSc Interaction Design and Technologies</t>
        </is>
      </c>
      <c r="G83" s="4" t="inlineStr">
        <is>
          <t>HCI / طراحی تعامل / UX</t>
        </is>
      </c>
      <c r="H83" s="4" t="inlineStr">
        <is>
          <t>۲ سال</t>
        </is>
      </c>
      <c r="I83" s="4" t="inlineStr">
        <is>
          <t>≈ SEK 175,000 (2026/27)</t>
        </is>
      </c>
      <c r="J83" s="4" t="inlineStr">
        <is>
          <t>$17,700</t>
        </is>
      </c>
      <c r="K83" s="4" t="inlineStr">
        <is>
          <t>کارشناسی CS/Design</t>
        </is>
      </c>
      <c r="L83" s="4" t="inlineStr">
        <is>
          <t>6.5</t>
        </is>
      </c>
      <c r="M83" s="4" t="inlineStr">
        <is>
          <t>174</t>
        </is>
      </c>
      <c r="N83" s="10" t="inlineStr">
        <is>
          <t>Target</t>
        </is>
      </c>
      <c r="O83" s="4" t="inlineStr">
        <is>
          <t>2/5 — آگهی‌های UX/UXR از ۲۰۲۲ حدود ۷۰٪ کم شده و از ۲۰۲۳ ثابت مانده؛ رقابت شدید، حقوق شروع کمتر از توسعه‌دهنده</t>
        </is>
      </c>
      <c r="P83" s="4" t="inlineStr"/>
      <c r="Q83" s="8" t="inlineStr">
        <is>
          <t>https://www.chalmers.se/en/education/find-masters-programme/interaction-design-and-technologies-msc/</t>
        </is>
      </c>
    </row>
    <row r="84">
      <c r="A84" s="2" t="n">
        <v>83</v>
      </c>
      <c r="B84" s="2" t="inlineStr">
        <is>
          <t>سوئد</t>
        </is>
      </c>
      <c r="C84" s="4" t="inlineStr">
        <is>
          <t>University of Gothenburg (مشترک با Chalmers)</t>
        </is>
      </c>
      <c r="D84" s="4" t="inlineStr">
        <is>
          <t>Gothenburg / Göteborg (گوتنبرگ) — Volvo، Ericsson</t>
        </is>
      </c>
      <c r="E84" s="4" t="inlineStr">
        <is>
          <t>متوسط تا گران — SEK 11,500–13,500</t>
        </is>
      </c>
      <c r="F84" s="4" t="inlineStr">
        <is>
          <t>MSc Game Design &amp; Technology</t>
        </is>
      </c>
      <c r="G84" s="4" t="inlineStr">
        <is>
          <t>توسعه بازی</t>
        </is>
      </c>
      <c r="H84" s="4" t="inlineStr">
        <is>
          <t>۲ سال</t>
        </is>
      </c>
      <c r="I84" s="4" t="inlineStr">
        <is>
          <t>SEK 147,000 (ورودی ۲۰۲۷: کل دوره SEK 294,000 رسمی)</t>
        </is>
      </c>
      <c r="J84" s="4" t="inlineStr">
        <is>
          <t>$14,800</t>
        </is>
      </c>
      <c r="K84" s="4" t="inlineStr">
        <is>
          <t>کارشناسی CS/Design/Media</t>
        </is>
      </c>
      <c r="L84" s="4" t="inlineStr">
        <is>
          <t>6.5</t>
        </is>
      </c>
      <c r="M84" s="4" t="inlineStr">
        <is>
          <t>225</t>
        </is>
      </c>
      <c r="N84" s="10" t="inlineStr">
        <is>
          <t>Target</t>
        </is>
      </c>
      <c r="O84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84" s="4" t="inlineStr">
        <is>
          <t>Gothenburg: استودیوهای EA DICE/Ghost؛ بازار بازی ضعیف</t>
        </is>
      </c>
      <c r="Q84" s="8" t="inlineStr">
        <is>
          <t>https://www.gu.se/en/study-gothenburg/game-design-technology-masters-programme-n2gdt</t>
        </is>
      </c>
    </row>
    <row r="85">
      <c r="A85" s="2" t="n">
        <v>84</v>
      </c>
      <c r="B85" s="2" t="inlineStr">
        <is>
          <t>سوئد</t>
        </is>
      </c>
      <c r="C85" s="4" t="inlineStr">
        <is>
          <t>Uppsala University</t>
        </is>
      </c>
      <c r="D85" s="4" t="inlineStr">
        <is>
          <t>Uppsala (اوپسالا) — ۴۰ دقیقه تا استکهلم</t>
        </is>
      </c>
      <c r="E85" s="4" t="inlineStr">
        <is>
          <t>متوسط تا گران — SEK 11,000–13,000</t>
        </is>
      </c>
      <c r="F85" s="4" t="inlineStr">
        <is>
          <t>MSc Computer Science</t>
        </is>
      </c>
      <c r="G85" s="4" t="inlineStr">
        <is>
          <t>مهندسی نرم‌افزار / علوم کامپیوتر</t>
        </is>
      </c>
      <c r="H85" s="4" t="inlineStr">
        <is>
          <t>۲ سال</t>
        </is>
      </c>
      <c r="I85" s="4" t="inlineStr">
        <is>
          <t>≈ SEK 145,000–150,000</t>
        </is>
      </c>
      <c r="J85" s="4" t="inlineStr">
        <is>
          <t>$14,600–15,200</t>
        </is>
      </c>
      <c r="K85" s="4" t="inlineStr">
        <is>
          <t>کارشناسی CS</t>
        </is>
      </c>
      <c r="L85" s="4" t="inlineStr">
        <is>
          <t>6.5</t>
        </is>
      </c>
      <c r="M85" s="4" t="inlineStr">
        <is>
          <t>87</t>
        </is>
      </c>
      <c r="N85" s="11" t="inlineStr">
        <is>
          <t>Target/Reach</t>
        </is>
      </c>
      <c r="O85" s="4" t="inlineStr">
        <is>
          <t>4/5 — بیشترین حجم آگهی در هر ۶ کشور؛ ورود جونیور از ۲۰۲۳ سخت‌تر شده — سابقهٔ کار شما مزیت است</t>
        </is>
      </c>
      <c r="P85" s="4" t="inlineStr">
        <is>
          <t>رتبهٔ بالا با شهریهٔ پایین‌تر از KTH</t>
        </is>
      </c>
      <c r="Q85" s="8" t="inlineStr">
        <is>
          <t>https://www.uu.se/en/study/programme/masters-programme-in-computer-science</t>
        </is>
      </c>
    </row>
    <row r="86">
      <c r="A86" s="2" t="n">
        <v>85</v>
      </c>
      <c r="B86" s="2" t="inlineStr">
        <is>
          <t>سوئد</t>
        </is>
      </c>
      <c r="C86" s="4" t="inlineStr">
        <is>
          <t>Umeå University</t>
        </is>
      </c>
      <c r="D86" s="4" t="inlineStr">
        <is>
          <t>Umeå (اومئو) — شمال سوئد</t>
        </is>
      </c>
      <c r="E86" s="4" t="inlineStr">
        <is>
          <t>ارزان تا متوسط — SEK 10,000–12,000</t>
        </is>
      </c>
      <c r="F86" s="4" t="inlineStr">
        <is>
          <t>MSc Artificial Intelligence</t>
        </is>
      </c>
      <c r="G86" s="4" t="inlineStr">
        <is>
          <t>هوش مصنوعی / یادگیری ماشین</t>
        </is>
      </c>
      <c r="H86" s="4" t="inlineStr">
        <is>
          <t>۲ سال</t>
        </is>
      </c>
      <c r="I86" s="4" t="inlineStr">
        <is>
          <t>SEK 152,300</t>
        </is>
      </c>
      <c r="J86" s="4" t="inlineStr">
        <is>
          <t>$15,400</t>
        </is>
      </c>
      <c r="K86" s="4" t="inlineStr">
        <is>
          <t>کارشناسی CS/ریاضی</t>
        </is>
      </c>
      <c r="L86" s="4" t="inlineStr">
        <is>
          <t>6.5</t>
        </is>
      </c>
      <c r="M86" s="4" t="inlineStr">
        <is>
          <t>438</t>
        </is>
      </c>
      <c r="N86" s="10" t="inlineStr">
        <is>
          <t>Target</t>
        </is>
      </c>
      <c r="O86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86" s="4" t="inlineStr">
        <is>
          <t>شمال سوئد، شهر دانشجویی ارزان؛ کل دوره SEK 304,600</t>
        </is>
      </c>
      <c r="Q86" s="8" t="inlineStr">
        <is>
          <t>https://www.umu.se/en/education/master/masters-programme-in-artificial-intelligence/</t>
        </is>
      </c>
    </row>
    <row r="87">
      <c r="A87" s="2" t="n">
        <v>86</v>
      </c>
      <c r="B87" s="2" t="inlineStr">
        <is>
          <t>سوئد</t>
        </is>
      </c>
      <c r="C87" s="4" t="inlineStr">
        <is>
          <t>University of Skövde</t>
        </is>
      </c>
      <c r="D87" s="4" t="inlineStr">
        <is>
          <t>Skövde (شوده) — Sweden Game Arena</t>
        </is>
      </c>
      <c r="E87" s="4" t="inlineStr">
        <is>
          <t>ارزان — SEK 9,500–11,500</t>
        </is>
      </c>
      <c r="F87" s="4" t="inlineStr">
        <is>
          <t>MSc Data Science (120 cr)</t>
        </is>
      </c>
      <c r="G87" s="4" t="inlineStr">
        <is>
          <t>علم داده / تحلیل داده</t>
        </is>
      </c>
      <c r="H87" s="4" t="inlineStr">
        <is>
          <t>۲ سال</t>
        </is>
      </c>
      <c r="I87" s="4" t="inlineStr">
        <is>
          <t>SEK 135,000</t>
        </is>
      </c>
      <c r="J87" s="4" t="inlineStr">
        <is>
          <t>$13,600</t>
        </is>
      </c>
      <c r="K87" s="4" t="inlineStr">
        <is>
          <t>کارشناسی CS/مرتبط</t>
        </is>
      </c>
      <c r="L87" s="4" t="inlineStr">
        <is>
          <t>6.5</t>
        </is>
      </c>
      <c r="M87" s="4" t="inlineStr">
        <is>
          <t>—</t>
        </is>
      </c>
      <c r="N87" s="7" t="inlineStr">
        <is>
          <t>Safe</t>
        </is>
      </c>
      <c r="O87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87" s="4" t="inlineStr">
        <is>
          <t>ارزان؛ Skövde قطب بازی سوئد (Sweden Game Arena)</t>
        </is>
      </c>
      <c r="Q87" s="8" t="inlineStr">
        <is>
          <t>https://www.his.se/en/education/</t>
        </is>
      </c>
    </row>
    <row r="88">
      <c r="A88" s="2" t="n">
        <v>87</v>
      </c>
      <c r="B88" s="2" t="inlineStr">
        <is>
          <t>سوئد</t>
        </is>
      </c>
      <c r="C88" s="4" t="inlineStr">
        <is>
          <t>Mälardalen University (MDU)</t>
        </is>
      </c>
      <c r="D88" s="4" t="inlineStr">
        <is>
          <t>Västerås (وسترئوس) — ABB، Westinghouse؛ ۱ ساعت تا استکهلم</t>
        </is>
      </c>
      <c r="E88" s="4" t="inlineStr">
        <is>
          <t>متوسط — SEK 10,000–12,000</t>
        </is>
      </c>
      <c r="F88" s="4" t="inlineStr">
        <is>
          <t>MSc Intelligent Embedded Systems</t>
        </is>
      </c>
      <c r="G88" s="4" t="inlineStr">
        <is>
          <t>سیستم‌های نهفته / رباتیک / خودران</t>
        </is>
      </c>
      <c r="H88" s="4" t="inlineStr">
        <is>
          <t>۲ سال</t>
        </is>
      </c>
      <c r="I88" s="4" t="inlineStr">
        <is>
          <t>≈ SEK 135,000</t>
        </is>
      </c>
      <c r="J88" s="4" t="inlineStr">
        <is>
          <t>$13,600</t>
        </is>
      </c>
      <c r="K88" s="4" t="inlineStr">
        <is>
          <t>کارشناسی CS/EE</t>
        </is>
      </c>
      <c r="L88" s="4" t="inlineStr">
        <is>
          <t>6.5</t>
        </is>
      </c>
      <c r="M88" s="4" t="inlineStr">
        <is>
          <t>—</t>
        </is>
      </c>
      <c r="N88" s="7" t="inlineStr">
        <is>
          <t>Safe</t>
        </is>
      </c>
      <c r="O88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88" s="4" t="inlineStr">
        <is>
          <t>ABB و Westinghouse در Västerås؛ رقم 2024/25</t>
        </is>
      </c>
      <c r="Q88" s="8" t="inlineStr">
        <is>
          <t>https://www.mdu.se/en/malardalen-university/education</t>
        </is>
      </c>
    </row>
    <row r="89">
      <c r="A89" s="2" t="n">
        <v>88</v>
      </c>
      <c r="B89" s="2" t="inlineStr">
        <is>
          <t>سوئد</t>
        </is>
      </c>
      <c r="C89" s="4" t="inlineStr">
        <is>
          <t>Mälardalen University (MDU)</t>
        </is>
      </c>
      <c r="D89" s="4" t="inlineStr">
        <is>
          <t>Västerås (وسترئوس) — ABB، Westinghouse؛ ۱ ساعت تا استکهلم</t>
        </is>
      </c>
      <c r="E89" s="4" t="inlineStr">
        <is>
          <t>متوسط — SEK 10,000–12,000</t>
        </is>
      </c>
      <c r="F89" s="4" t="inlineStr">
        <is>
          <t>MSc Software Engineering</t>
        </is>
      </c>
      <c r="G89" s="4" t="inlineStr">
        <is>
          <t>مهندسی نرم‌افزار / علوم کامپیوتر</t>
        </is>
      </c>
      <c r="H89" s="4" t="inlineStr">
        <is>
          <t>۲ سال</t>
        </is>
      </c>
      <c r="I89" s="4" t="inlineStr">
        <is>
          <t>≈ SEK 135,000</t>
        </is>
      </c>
      <c r="J89" s="4" t="inlineStr">
        <is>
          <t>$13,600</t>
        </is>
      </c>
      <c r="K89" s="4" t="inlineStr">
        <is>
          <t>کارشناسی CS/SE</t>
        </is>
      </c>
      <c r="L89" s="4" t="inlineStr">
        <is>
          <t>6.5</t>
        </is>
      </c>
      <c r="M89" s="4" t="inlineStr">
        <is>
          <t>—</t>
        </is>
      </c>
      <c r="N89" s="7" t="inlineStr">
        <is>
          <t>Safe</t>
        </is>
      </c>
      <c r="O89" s="4" t="inlineStr">
        <is>
          <t>4/5 — بیشترین حجم آگهی در هر ۶ کشور؛ ورود جونیور از ۲۰۲۳ سخت‌تر شده — سابقهٔ کار شما مزیت است</t>
        </is>
      </c>
      <c r="P89" s="4" t="inlineStr"/>
      <c r="Q89" s="8" t="inlineStr">
        <is>
          <t>https://www.mdu.se/en/malardalen-university/education</t>
        </is>
      </c>
    </row>
    <row r="90">
      <c r="A90" s="2" t="n">
        <v>89</v>
      </c>
      <c r="B90" s="2" t="inlineStr">
        <is>
          <t>دانمارک</t>
        </is>
      </c>
      <c r="C90" s="4" t="inlineStr">
        <is>
          <t>Aalborg University (AAU)</t>
        </is>
      </c>
      <c r="D90" s="4" t="inlineStr">
        <is>
          <t>Aalborg (آلبورگ) — شمال یوتلند</t>
        </is>
      </c>
      <c r="E90" s="4" t="inlineStr">
        <is>
          <t>متوسط — DKK 8,000–9,500</t>
        </is>
      </c>
      <c r="F90" s="4" t="inlineStr">
        <is>
          <t>MSc Computer Science (IT)</t>
        </is>
      </c>
      <c r="G90" s="4" t="inlineStr">
        <is>
          <t>مهندسی نرم‌افزار / علوم کامپیوتر</t>
        </is>
      </c>
      <c r="H90" s="4" t="inlineStr">
        <is>
          <t>۲ سال</t>
        </is>
      </c>
      <c r="I90" s="4" t="inlineStr">
        <is>
          <t>≈ €14,910 (2025/26: €7,455 در ترم؛ نرخ ۲۰۲۶ روی سایت AAU منتشر نشده — mastersportal: €15,340)</t>
        </is>
      </c>
      <c r="J90" s="4" t="inlineStr">
        <is>
          <t>$17,000–17,500</t>
        </is>
      </c>
      <c r="K90" s="4" t="inlineStr">
        <is>
          <t>رسمی: حداقل ۱۵۰ ECTS دروس مرتبط با CS (برنامه‌نویسی ۱۵، مهندسی نرم‌افزار ۵، الگوریتم ۵، پایگاه داده ۵، ریاضیات گسسته ۵)؛ از ورودی ۲۰۲۷ سابقهٔ کار و انگیزه‌نامه هم در رتبه‌بندی حساب می‌شود</t>
        </is>
      </c>
      <c r="L90" s="4" t="inlineStr">
        <is>
          <t>6.5 (هر بخش ≥ 6.0)</t>
        </is>
      </c>
      <c r="M90" s="4">
        <f>329</f>
        <v/>
      </c>
      <c r="N90" s="10" t="inlineStr">
        <is>
          <t>Target</t>
        </is>
      </c>
      <c r="O90" s="4" t="inlineStr">
        <is>
          <t>4/5 — بیشترین حجم آگهی در هر ۶ کشور؛ ورود جونیور از ۲۰۲۳ سخت‌تر شده — سابقهٔ کار شما مزیت است</t>
        </is>
      </c>
      <c r="P90" s="4" t="inlineStr">
        <is>
          <t>گزینهٔ Target جدول اصلی؛ PBL (پروژه‌محور)؛ ظرفیت محدود</t>
        </is>
      </c>
      <c r="Q90" s="8" t="inlineStr">
        <is>
          <t>https://www.en.aau.dk/education/master/computer-science-it</t>
        </is>
      </c>
    </row>
    <row r="91">
      <c r="A91" s="2" t="n">
        <v>90</v>
      </c>
      <c r="B91" s="2" t="inlineStr">
        <is>
          <t>دانمارک</t>
        </is>
      </c>
      <c r="C91" s="4" t="inlineStr">
        <is>
          <t>Aalborg University (AAU)</t>
        </is>
      </c>
      <c r="D91" s="4" t="inlineStr">
        <is>
          <t>Aalborg (آلبورگ) — شمال یوتلند</t>
        </is>
      </c>
      <c r="E91" s="4" t="inlineStr">
        <is>
          <t>متوسط — DKK 8,000–9,500</t>
        </is>
      </c>
      <c r="F91" s="4" t="inlineStr">
        <is>
          <t>MSc Software</t>
        </is>
      </c>
      <c r="G91" s="4" t="inlineStr">
        <is>
          <t>مهندسی نرم‌افزار / علوم کامپیوتر</t>
        </is>
      </c>
      <c r="H91" s="4" t="inlineStr">
        <is>
          <t>۲ سال</t>
        </is>
      </c>
      <c r="I91" s="4" t="inlineStr">
        <is>
          <t>≈ €14,910–15,340</t>
        </is>
      </c>
      <c r="J91" s="4" t="inlineStr">
        <is>
          <t>$17,000–17,500</t>
        </is>
      </c>
      <c r="K91" s="4" t="inlineStr">
        <is>
          <t>کارشناسی SE/CS</t>
        </is>
      </c>
      <c r="L91" s="4" t="inlineStr">
        <is>
          <t>6.5</t>
        </is>
      </c>
      <c r="M91" s="4">
        <f>329</f>
        <v/>
      </c>
      <c r="N91" s="10" t="inlineStr">
        <is>
          <t>Target</t>
        </is>
      </c>
      <c r="O91" s="4" t="inlineStr">
        <is>
          <t>4/5 — بیشترین حجم آگهی در هر ۶ کشور؛ ورود جونیور از ۲۰۲۳ سخت‌تر شده — سابقهٔ کار شما مزیت است</t>
        </is>
      </c>
      <c r="P91" s="4" t="inlineStr"/>
      <c r="Q91" s="8" t="inlineStr">
        <is>
          <t>https://www.en.aau.dk/education/master/software</t>
        </is>
      </c>
    </row>
    <row r="92">
      <c r="A92" s="2" t="n">
        <v>91</v>
      </c>
      <c r="B92" s="2" t="inlineStr">
        <is>
          <t>دانمارک</t>
        </is>
      </c>
      <c r="C92" s="4" t="inlineStr">
        <is>
          <t>Aalborg University (AAU)</t>
        </is>
      </c>
      <c r="D92" s="4" t="inlineStr">
        <is>
          <t>Copenhagen – Sydhavn (کپنهاگ؛ کمپوس AAU)</t>
        </is>
      </c>
      <c r="E92" s="4" t="inlineStr">
        <is>
          <t>خیلی گران — DKK 10,000–12,500</t>
        </is>
      </c>
      <c r="F92" s="4" t="inlineStr">
        <is>
          <t>MSc Eng Cyber Security</t>
        </is>
      </c>
      <c r="G92" s="4" t="inlineStr">
        <is>
          <t>امنیت سایبری</t>
        </is>
      </c>
      <c r="H92" s="4" t="inlineStr">
        <is>
          <t>۲ سال</t>
        </is>
      </c>
      <c r="I92" s="4" t="inlineStr">
        <is>
          <t>≈ €14,910–15,340</t>
        </is>
      </c>
      <c r="J92" s="4" t="inlineStr">
        <is>
          <t>$17,000–17,500</t>
        </is>
      </c>
      <c r="K92" s="4" t="inlineStr">
        <is>
          <t>کارشناسی CS/EE مرتبط؛ مهلت ۱ مارس</t>
        </is>
      </c>
      <c r="L92" s="4" t="inlineStr">
        <is>
          <t>6.5</t>
        </is>
      </c>
      <c r="M92" s="4">
        <f>329</f>
        <v/>
      </c>
      <c r="N92" s="10" t="inlineStr">
        <is>
          <t>Target</t>
        </is>
      </c>
      <c r="O92" s="4" t="inlineStr">
        <is>
          <t>4/5 — کمبود ساختاری (Bitkom: جزو ۳ کمبود اصلی آلمان)؛ اما ۳۱٪ تیم‌ها هیچ نیروی جونیور ندارند → کارآموزی/گواهی لازم است</t>
        </is>
      </c>
      <c r="P92" s="4" t="inlineStr">
        <is>
          <t>کمپوس کپنهاگ: اجاره بالاتر ولی بازار کار بزرگ</t>
        </is>
      </c>
      <c r="Q92" s="8" t="inlineStr">
        <is>
          <t>https://www.en.aau.dk/education/master/cyber-security/</t>
        </is>
      </c>
    </row>
    <row r="93">
      <c r="A93" s="2" t="n">
        <v>92</v>
      </c>
      <c r="B93" s="2" t="inlineStr">
        <is>
          <t>دانمارک</t>
        </is>
      </c>
      <c r="C93" s="4" t="inlineStr">
        <is>
          <t>Aalborg University (AAU)</t>
        </is>
      </c>
      <c r="D93" s="4" t="inlineStr">
        <is>
          <t>Aalborg یا Copenhagen (هر دو کمپوس)</t>
        </is>
      </c>
      <c r="E93" s="4" t="inlineStr">
        <is>
          <t>متوسط (Aalborg) تا خیلی گران (Copenhagen)</t>
        </is>
      </c>
      <c r="F93" s="4" t="inlineStr">
        <is>
          <t>MSc Medialogy</t>
        </is>
      </c>
      <c r="G93" s="4" t="inlineStr">
        <is>
          <t>HCI / طراحی تعامل / UX</t>
        </is>
      </c>
      <c r="H93" s="4" t="inlineStr">
        <is>
          <t>۲ سال</t>
        </is>
      </c>
      <c r="I93" s="4" t="inlineStr">
        <is>
          <t>≈ €14,910–15,340</t>
        </is>
      </c>
      <c r="J93" s="4" t="inlineStr">
        <is>
          <t>$17,000–17,500</t>
        </is>
      </c>
      <c r="K93" s="4" t="inlineStr">
        <is>
          <t>کارشناسی مرتبط (Medialogy، CS، Media Tech)</t>
        </is>
      </c>
      <c r="L93" s="4" t="inlineStr">
        <is>
          <t>6.5</t>
        </is>
      </c>
      <c r="M93" s="4">
        <f>329</f>
        <v/>
      </c>
      <c r="N93" s="10" t="inlineStr">
        <is>
          <t>Target</t>
        </is>
      </c>
      <c r="O93" s="4" t="inlineStr">
        <is>
          <t>2/5 — آگهی‌های UX/UXR از ۲۰۲۲ حدود ۷۰٪ کم شده و از ۲۰۲۳ ثابت مانده؛ رقابت شدید، حقوق شروع کمتر از توسعه‌دهنده</t>
        </is>
      </c>
      <c r="P93" s="4" t="inlineStr">
        <is>
          <t>تعامل، AR/VR، بازی؛ بین HCI و Game</t>
        </is>
      </c>
      <c r="Q93" s="8" t="inlineStr">
        <is>
          <t>https://www.en.aau.dk/education/master/medialogy-aal</t>
        </is>
      </c>
    </row>
    <row r="94">
      <c r="A94" s="2" t="n">
        <v>93</v>
      </c>
      <c r="B94" s="2" t="inlineStr">
        <is>
          <t>دانمارک</t>
        </is>
      </c>
      <c r="C94" s="4" t="inlineStr">
        <is>
          <t>University of Southern Denmark (SDU)</t>
        </is>
      </c>
      <c r="D94" s="4" t="inlineStr">
        <is>
          <t>Odense (اودنسه) — سومین شهر؛ خوشهٔ رباتیک</t>
        </is>
      </c>
      <c r="E94" s="4" t="inlineStr">
        <is>
          <t>متوسط — DKK 8,000–10,000</t>
        </is>
      </c>
      <c r="F94" s="4" t="inlineStr">
        <is>
          <t>MSc Computer Science</t>
        </is>
      </c>
      <c r="G94" s="4" t="inlineStr">
        <is>
          <t>مهندسی نرم‌افزار / علوم کامپیوتر</t>
        </is>
      </c>
      <c r="H94" s="4" t="inlineStr">
        <is>
          <t>۲ سال</t>
        </is>
      </c>
      <c r="I94" s="4" t="inlineStr">
        <is>
          <t>€17,300 (از ورودی سپتامبر ۲۰۲۶؛ قبلاً €13,900)</t>
        </is>
      </c>
      <c r="J94" s="4" t="inlineStr">
        <is>
          <t>$19,700</t>
        </is>
      </c>
      <c r="K94" s="4" t="inlineStr">
        <is>
          <t>≥ ۱۰۰ ECTS دروس CS؛ ظرفیت محدود + آزمون</t>
        </is>
      </c>
      <c r="L94" s="4" t="inlineStr">
        <is>
          <t>6.5</t>
        </is>
      </c>
      <c r="M94" s="4">
        <f>283</f>
        <v/>
      </c>
      <c r="N94" s="10" t="inlineStr">
        <is>
          <t>Target</t>
        </is>
      </c>
      <c r="O94" s="4" t="inlineStr">
        <is>
          <t>4/5 — بیشترین حجم آگهی در هر ۶ کشور؛ ورود جونیور از ۲۰۲۳ سخت‌تر شده — سابقهٔ کار شما مزیت است</t>
        </is>
      </c>
      <c r="P94" s="4" t="inlineStr">
        <is>
          <t>⚠️ افزایش شهریهٔ ۲۰۲۶ — جدول اصلی اصلاح شد</t>
        </is>
      </c>
      <c r="Q94" s="8" t="inlineStr">
        <is>
          <t>https://www.sdu.dk/en/uddannelse/fees_and_funding/tuition</t>
        </is>
      </c>
    </row>
    <row r="95">
      <c r="A95" s="2" t="n">
        <v>94</v>
      </c>
      <c r="B95" s="2" t="inlineStr">
        <is>
          <t>دانمارک</t>
        </is>
      </c>
      <c r="C95" s="4" t="inlineStr">
        <is>
          <t>University of Southern Denmark (SDU)</t>
        </is>
      </c>
      <c r="D95" s="4" t="inlineStr">
        <is>
          <t>Odense (اودنسه) — سومین شهر؛ خوشهٔ رباتیک</t>
        </is>
      </c>
      <c r="E95" s="4" t="inlineStr">
        <is>
          <t>متوسط — DKK 8,000–10,000</t>
        </is>
      </c>
      <c r="F95" s="4" t="inlineStr">
        <is>
          <t>MSc Eng Software Engineering</t>
        </is>
      </c>
      <c r="G95" s="4" t="inlineStr">
        <is>
          <t>مهندسی نرم‌افزار / علوم کامپیوتر</t>
        </is>
      </c>
      <c r="H95" s="4" t="inlineStr">
        <is>
          <t>۲ سال</t>
        </is>
      </c>
      <c r="I95" s="4" t="inlineStr">
        <is>
          <t>€17,300</t>
        </is>
      </c>
      <c r="J95" s="4" t="inlineStr">
        <is>
          <t>$19,700</t>
        </is>
      </c>
      <c r="K95" s="4" t="inlineStr">
        <is>
          <t>کارشناسی SE/CS</t>
        </is>
      </c>
      <c r="L95" s="4" t="inlineStr">
        <is>
          <t>6.5</t>
        </is>
      </c>
      <c r="M95" s="4">
        <f>283</f>
        <v/>
      </c>
      <c r="N95" s="10" t="inlineStr">
        <is>
          <t>Target</t>
        </is>
      </c>
      <c r="O95" s="4" t="inlineStr">
        <is>
          <t>4/5 — بیشترین حجم آگهی در هر ۶ کشور؛ ورود جونیور از ۲۰۲۳ سخت‌تر شده — سابقهٔ کار شما مزیت است</t>
        </is>
      </c>
      <c r="P95" s="4" t="inlineStr">
        <is>
          <t>گرایش‌های Interactive Tech &amp; Games، Cyber-security &amp; Data Intelligence</t>
        </is>
      </c>
      <c r="Q95" s="8" t="inlineStr">
        <is>
          <t>https://www.sdu.dk/en/uddannelse/kandidat/softwareengineering</t>
        </is>
      </c>
    </row>
    <row r="96">
      <c r="A96" s="2" t="n">
        <v>95</v>
      </c>
      <c r="B96" s="2" t="inlineStr">
        <is>
          <t>دانمارک</t>
        </is>
      </c>
      <c r="C96" s="4" t="inlineStr">
        <is>
          <t>University of Southern Denmark (SDU)</t>
        </is>
      </c>
      <c r="D96" s="4" t="inlineStr">
        <is>
          <t>Odense (اودنسه) — سومین شهر؛ خوشهٔ رباتیک</t>
        </is>
      </c>
      <c r="E96" s="4" t="inlineStr">
        <is>
          <t>متوسط — DKK 8,000–10,000</t>
        </is>
      </c>
      <c r="F96" s="4" t="inlineStr">
        <is>
          <t>MSc Artificial Intelligence</t>
        </is>
      </c>
      <c r="G96" s="4" t="inlineStr">
        <is>
          <t>هوش مصنوعی / یادگیری ماشین</t>
        </is>
      </c>
      <c r="H96" s="4" t="inlineStr">
        <is>
          <t>۲ سال</t>
        </is>
      </c>
      <c r="I96" s="4" t="inlineStr">
        <is>
          <t>€17,300</t>
        </is>
      </c>
      <c r="J96" s="4" t="inlineStr">
        <is>
          <t>$19,700</t>
        </is>
      </c>
      <c r="K96" s="4" t="inlineStr">
        <is>
          <t>کارشناسی CS/AI</t>
        </is>
      </c>
      <c r="L96" s="4" t="inlineStr">
        <is>
          <t>6.5</t>
        </is>
      </c>
      <c r="M96" s="4">
        <f>283</f>
        <v/>
      </c>
      <c r="N96" s="10" t="inlineStr">
        <is>
          <t>Target</t>
        </is>
      </c>
      <c r="O96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96" s="4" t="inlineStr">
        <is>
          <t>شروع سپتامبر و فوریه</t>
        </is>
      </c>
      <c r="Q96" s="8" t="inlineStr">
        <is>
          <t>https://www.sdu.dk/en/studyscience</t>
        </is>
      </c>
    </row>
    <row r="97">
      <c r="A97" s="2" t="n">
        <v>96</v>
      </c>
      <c r="B97" s="2" t="inlineStr">
        <is>
          <t>دانمارک</t>
        </is>
      </c>
      <c r="C97" s="4" t="inlineStr">
        <is>
          <t>University of Southern Denmark (SDU)</t>
        </is>
      </c>
      <c r="D97" s="4" t="inlineStr">
        <is>
          <t>Odense (اودنسه) — سومین شهر؛ خوشهٔ رباتیک</t>
        </is>
      </c>
      <c r="E97" s="4" t="inlineStr">
        <is>
          <t>متوسط — DKK 8,000–10,000</t>
        </is>
      </c>
      <c r="F97" s="4" t="inlineStr">
        <is>
          <t>MSc Eng Robot Systems</t>
        </is>
      </c>
      <c r="G97" s="4" t="inlineStr">
        <is>
          <t>سیستم‌های نهفته / رباتیک / خودران</t>
        </is>
      </c>
      <c r="H97" s="4" t="inlineStr">
        <is>
          <t>۲ سال</t>
        </is>
      </c>
      <c r="I97" s="4" t="inlineStr">
        <is>
          <t>€17,300</t>
        </is>
      </c>
      <c r="J97" s="4" t="inlineStr">
        <is>
          <t>$19,700</t>
        </is>
      </c>
      <c r="K97" s="4" t="inlineStr">
        <is>
          <t>کارشناسی مرتبط (CS/EE/Mechatronics)</t>
        </is>
      </c>
      <c r="L97" s="4" t="inlineStr">
        <is>
          <t>6.5</t>
        </is>
      </c>
      <c r="M97" s="4">
        <f>283</f>
        <v/>
      </c>
      <c r="N97" s="10" t="inlineStr">
        <is>
          <t>Target</t>
        </is>
      </c>
      <c r="O97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97" s="4" t="inlineStr">
        <is>
          <t>Odense Robotics cluster (Universal Robots، MiR)</t>
        </is>
      </c>
      <c r="Q97" s="8" t="inlineStr">
        <is>
          <t>https://www.sdu.dk/en/uddannelse/kandidat/alle-kandidatuddannelser</t>
        </is>
      </c>
    </row>
    <row r="98">
      <c r="A98" s="2" t="n">
        <v>97</v>
      </c>
      <c r="B98" s="2" t="inlineStr">
        <is>
          <t>دانمارک</t>
        </is>
      </c>
      <c r="C98" s="4" t="inlineStr">
        <is>
          <t>University of Southern Denmark (SDU)</t>
        </is>
      </c>
      <c r="D98" s="4" t="inlineStr">
        <is>
          <t>Kolding (کولدینگ) — جنوب یوتلند</t>
        </is>
      </c>
      <c r="E98" s="4" t="inlineStr">
        <is>
          <t>ارزان تا متوسط — DKK 7,500–9,000</t>
        </is>
      </c>
      <c r="F98" s="4" t="inlineStr">
        <is>
          <t>MSc Data Science</t>
        </is>
      </c>
      <c r="G98" s="4" t="inlineStr">
        <is>
          <t>علم داده / تحلیل داده</t>
        </is>
      </c>
      <c r="H98" s="4" t="inlineStr">
        <is>
          <t>۲ سال</t>
        </is>
      </c>
      <c r="I98" s="4" t="inlineStr">
        <is>
          <t>€17,300</t>
        </is>
      </c>
      <c r="J98" s="4" t="inlineStr">
        <is>
          <t>$19,700</t>
        </is>
      </c>
      <c r="K98" s="4" t="inlineStr">
        <is>
          <t>کارشناسی با محتوای کمی/برنامه‌نویسی</t>
        </is>
      </c>
      <c r="L98" s="4" t="inlineStr">
        <is>
          <t>6.5</t>
        </is>
      </c>
      <c r="M98" s="4">
        <f>283</f>
        <v/>
      </c>
      <c r="N98" s="10" t="inlineStr">
        <is>
          <t>Target</t>
        </is>
      </c>
      <c r="O98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98" s="4" t="inlineStr"/>
      <c r="Q98" s="8" t="inlineStr">
        <is>
          <t>https://www.sdu.dk/en/uddannelse/kandidat/alle-kandidatuddannelser</t>
        </is>
      </c>
    </row>
    <row r="99">
      <c r="A99" s="2" t="n">
        <v>98</v>
      </c>
      <c r="B99" s="2" t="inlineStr">
        <is>
          <t>دانمارک</t>
        </is>
      </c>
      <c r="C99" s="4" t="inlineStr">
        <is>
          <t>IT University of Copenhagen (ITU)</t>
        </is>
      </c>
      <c r="D99" s="4" t="inlineStr">
        <is>
          <t>Copenhagen (کپنهاگ)</t>
        </is>
      </c>
      <c r="E99" s="4" t="inlineStr">
        <is>
          <t>خیلی گران — DKK 10,000–12,500</t>
        </is>
      </c>
      <c r="F99" s="4" t="inlineStr">
        <is>
          <t>MSc Games — track Game Technology</t>
        </is>
      </c>
      <c r="G99" s="4" t="inlineStr">
        <is>
          <t>توسعه بازی</t>
        </is>
      </c>
      <c r="H99" s="4" t="inlineStr">
        <is>
          <t>۲ سال</t>
        </is>
      </c>
      <c r="I99" s="4" t="inlineStr">
        <is>
          <t>€16,500 (€8,250 در ترم؛ ورودی ۲۰۲۶ — رسمی)</t>
        </is>
      </c>
      <c r="J99" s="4" t="inlineStr">
        <is>
          <t>$18,800</t>
        </is>
      </c>
      <c r="K99" s="4" t="inlineStr">
        <is>
          <t>برای track فنی: کارشناسی CS</t>
        </is>
      </c>
      <c r="L99" s="4" t="inlineStr">
        <is>
          <t>6.5</t>
        </is>
      </c>
      <c r="M99" s="4" t="inlineStr">
        <is>
          <t>— (تخصصی)</t>
        </is>
      </c>
      <c r="N99" s="10" t="inlineStr">
        <is>
          <t>Target</t>
        </is>
      </c>
      <c r="O99" s="4" t="inlineStr">
        <is>
          <t>2/5 — ≈۴۵ هزار اخراج ۲۰۲۲–۲۰۲۵؛ ۲۶٪ توسعه‌دهندگان اروپایی حداقل یک‌بار اخراج شده‌اند؛ حقوق برنامه‌نویس Unity تا ۵۰٪ افت — سابقهٔ Unity شما مزیت ورود است، نه تضمین</t>
        </is>
      </c>
      <c r="P99" s="4" t="inlineStr">
        <is>
          <t>شناخته‌شده‌ترین ارشد بازی اسکاندیناوی؛ Copenhagen (IO Interactive، Unity Copenhagen)</t>
        </is>
      </c>
      <c r="Q99" s="8" t="inlineStr">
        <is>
          <t>https://en.itu.dk/Programmes/MSc-Programmes/Applying-to-a-MSc-programme/Non-EU-EOES</t>
        </is>
      </c>
    </row>
    <row r="100">
      <c r="A100" s="2" t="n">
        <v>99</v>
      </c>
      <c r="B100" s="2" t="inlineStr">
        <is>
          <t>دانمارک</t>
        </is>
      </c>
      <c r="C100" s="4" t="inlineStr">
        <is>
          <t>IT University of Copenhagen (ITU)</t>
        </is>
      </c>
      <c r="D100" s="4" t="inlineStr">
        <is>
          <t>Copenhagen (کپنهاگ)</t>
        </is>
      </c>
      <c r="E100" s="4" t="inlineStr">
        <is>
          <t>خیلی گران — DKK 10,000–12,500</t>
        </is>
      </c>
      <c r="F100" s="4" t="inlineStr">
        <is>
          <t>MSc Computer Science</t>
        </is>
      </c>
      <c r="G100" s="4" t="inlineStr">
        <is>
          <t>مهندسی نرم‌افزار / علوم کامپیوتر</t>
        </is>
      </c>
      <c r="H100" s="4" t="inlineStr">
        <is>
          <t>۲ سال</t>
        </is>
      </c>
      <c r="I100" s="4" t="inlineStr">
        <is>
          <t>€16,500 (€8,250 در ترم)</t>
        </is>
      </c>
      <c r="J100" s="4" t="inlineStr">
        <is>
          <t>$18,800</t>
        </is>
      </c>
      <c r="K100" s="4" t="inlineStr">
        <is>
          <t>کارشناسی CS/SE با برنامه‌نویسی قابل توجه</t>
        </is>
      </c>
      <c r="L100" s="4" t="inlineStr">
        <is>
          <t>6.5</t>
        </is>
      </c>
      <c r="M100" s="4" t="inlineStr">
        <is>
          <t>— (تخصصی)</t>
        </is>
      </c>
      <c r="N100" s="10" t="inlineStr">
        <is>
          <t>Target</t>
        </is>
      </c>
      <c r="O100" s="4" t="inlineStr">
        <is>
          <t>4/5 — بیشترین حجم آگهی در هر ۶ کشور؛ ورود جونیور از ۲۰۲۳ سخت‌تر شده — سابقهٔ کار شما مزیت است</t>
        </is>
      </c>
      <c r="P100" s="4" t="inlineStr">
        <is>
          <t>ارزان‌تر از DTU/KU در کپنهاگ؛ رقم قدیمی €13,400 (پورتال studyindenmark) منسوخ است</t>
        </is>
      </c>
      <c r="Q100" s="8" t="inlineStr">
        <is>
          <t>https://en.itu.dk/Programmes/MSc-Programmes/Applying-to-a-MSc-programme/Non-EU-EOES</t>
        </is>
      </c>
    </row>
    <row r="101">
      <c r="A101" s="2" t="n">
        <v>100</v>
      </c>
      <c r="B101" s="2" t="inlineStr">
        <is>
          <t>دانمارک</t>
        </is>
      </c>
      <c r="C101" s="4" t="inlineStr">
        <is>
          <t>IT University of Copenhagen (ITU)</t>
        </is>
      </c>
      <c r="D101" s="4" t="inlineStr">
        <is>
          <t>Copenhagen (کپنهاگ)</t>
        </is>
      </c>
      <c r="E101" s="4" t="inlineStr">
        <is>
          <t>خیلی گران — DKK 10,000–12,500</t>
        </is>
      </c>
      <c r="F101" s="4" t="inlineStr">
        <is>
          <t>MSc Data Science</t>
        </is>
      </c>
      <c r="G101" s="4" t="inlineStr">
        <is>
          <t>علم داده / تحلیل داده</t>
        </is>
      </c>
      <c r="H101" s="4" t="inlineStr">
        <is>
          <t>۲ سال</t>
        </is>
      </c>
      <c r="I101" s="4" t="inlineStr">
        <is>
          <t>€16,500 (€8,250 در ترم)</t>
        </is>
      </c>
      <c r="J101" s="4" t="inlineStr">
        <is>
          <t>$18,800</t>
        </is>
      </c>
      <c r="K101" s="4" t="inlineStr">
        <is>
          <t>کارشناسی مرتبط با داده/CS</t>
        </is>
      </c>
      <c r="L101" s="4" t="inlineStr">
        <is>
          <t>6.5</t>
        </is>
      </c>
      <c r="M101" s="4" t="inlineStr">
        <is>
          <t>— (تخصصی)</t>
        </is>
      </c>
      <c r="N101" s="10" t="inlineStr">
        <is>
          <t>Target</t>
        </is>
      </c>
      <c r="O101" s="4" t="inlineStr">
        <is>
          <t>3/5 — بازار ارشد/سینیور خوب، ولی سطح جونیور اشباع (ده‌ها هزار فارغ‌التحصیل مشابه)؛ Data Engineer کم‌رقابت‌تر از Data Scientist</t>
        </is>
      </c>
      <c r="P101" s="4" t="inlineStr"/>
      <c r="Q101" s="8" t="inlineStr">
        <is>
          <t>https://en.itu.dk/Programmes/MSc-Programmes/Applying-to-a-MSc-programme/Non-EU-EOES</t>
        </is>
      </c>
    </row>
    <row r="102">
      <c r="A102" s="2" t="n">
        <v>101</v>
      </c>
      <c r="B102" s="2" t="inlineStr">
        <is>
          <t>دانمارک</t>
        </is>
      </c>
      <c r="C102" s="4" t="inlineStr">
        <is>
          <t>Technical University of Denmark (DTU)</t>
        </is>
      </c>
      <c r="D102" s="4" t="inlineStr">
        <is>
          <t>Kgs. Lyngby (لینگبی) — ۱۵ کیلومتری کپنهاگ</t>
        </is>
      </c>
      <c r="E102" s="4" t="inlineStr">
        <is>
          <t>خیلی گران — DKK 9,500–12,000</t>
        </is>
      </c>
      <c r="F102" s="4" t="inlineStr">
        <is>
          <t>MSc Eng Human-Centered Artificial Intelligence</t>
        </is>
      </c>
      <c r="G102" s="4" t="inlineStr">
        <is>
          <t>هوش مصنوعی / یادگیری ماشین</t>
        </is>
      </c>
      <c r="H102" s="4" t="inlineStr">
        <is>
          <t>۲ سال</t>
        </is>
      </c>
      <c r="I102" s="4" t="inlineStr">
        <is>
          <t>€15,000</t>
        </is>
      </c>
      <c r="J102" s="4" t="inlineStr">
        <is>
          <t>$17,100</t>
        </is>
      </c>
      <c r="K102" s="4" t="inlineStr">
        <is>
          <t>ظرفیت محدود؛ امتیازدهی: معدل ۶۰٪ + سابقهٔ کار ۱۰٪</t>
        </is>
      </c>
      <c r="L102" s="4" t="inlineStr">
        <is>
          <t>6.5</t>
        </is>
      </c>
      <c r="M102" s="4" t="inlineStr">
        <is>
          <t>105</t>
        </is>
      </c>
      <c r="N102" s="12" t="inlineStr">
        <is>
          <t>Reach</t>
        </is>
      </c>
      <c r="O102" s="4" t="inlineStr">
        <is>
          <t>5/5 — داغ‌ترین بازار؛ «AI Engineer» سریع‌ترین‌رشد (LinkedIn 2026)؛ ولی برنامه‌های ریاضی‌محور (Tübingen، UvA، KTH) بسیار رقابتی‌اند</t>
        </is>
      </c>
      <c r="P102" s="4" t="inlineStr">
        <is>
          <t>معدل ۱۵.۷۷ در رقابت DTU ضعیف است</t>
        </is>
      </c>
      <c r="Q102" s="8" t="inlineStr">
        <is>
          <t>https://www.dtu.dk/english/education/graduate/msc-programmes/human-centered-artificial-intelligence</t>
        </is>
      </c>
    </row>
    <row r="103">
      <c r="A103" s="2" t="n">
        <v>102</v>
      </c>
      <c r="B103" s="2" t="inlineStr">
        <is>
          <t>دانمارک</t>
        </is>
      </c>
      <c r="C103" s="4" t="inlineStr">
        <is>
          <t>Technical University of Denmark (DTU)</t>
        </is>
      </c>
      <c r="D103" s="4" t="inlineStr">
        <is>
          <t>Kgs. Lyngby (لینگبی) — ۱۵ کیلومتری کپنهاگ</t>
        </is>
      </c>
      <c r="E103" s="4" t="inlineStr">
        <is>
          <t>خیلی گران — DKK 9,500–12,000</t>
        </is>
      </c>
      <c r="F103" s="4" t="inlineStr">
        <is>
          <t>MSc Eng Autonomous Systems</t>
        </is>
      </c>
      <c r="G103" s="4" t="inlineStr">
        <is>
          <t>سیستم‌های نهفته / رباتیک / خودران</t>
        </is>
      </c>
      <c r="H103" s="4" t="inlineStr">
        <is>
          <t>۲ سال</t>
        </is>
      </c>
      <c r="I103" s="4" t="inlineStr">
        <is>
          <t>€15,000</t>
        </is>
      </c>
      <c r="J103" s="4" t="inlineStr">
        <is>
          <t>$17,100</t>
        </is>
      </c>
      <c r="K103" s="4" t="inlineStr">
        <is>
          <t>۸۰–۹۰ ECTS دروس مرتبط؛ ظرفیت محدود</t>
        </is>
      </c>
      <c r="L103" s="4" t="inlineStr">
        <is>
          <t>6.5</t>
        </is>
      </c>
      <c r="M103" s="4" t="inlineStr">
        <is>
          <t>105</t>
        </is>
      </c>
      <c r="N103" s="12" t="inlineStr">
        <is>
          <t>Reach</t>
        </is>
      </c>
      <c r="O103" s="4" t="inlineStr">
        <is>
          <t>4/5 — در آلمان و سوئد قوی (خودرو، Bosch، ABB، Ericsson)؛ ولی کارفرمایان صنعتی خارج از شهرهای بزرگ اغلب آلمانی/سوئدی می‌خواهند</t>
        </is>
      </c>
      <c r="P103" s="4" t="inlineStr"/>
      <c r="Q103" s="8" t="inlineStr">
        <is>
          <t>https://www.dtu.dk/english/education/graduate/msc-programmes/autonomous-systems/prerequisites</t>
        </is>
      </c>
    </row>
    <row r="104">
      <c r="A104" s="2" t="n">
        <v>103</v>
      </c>
      <c r="B104" s="2" t="inlineStr">
        <is>
          <t>دانمارک</t>
        </is>
      </c>
      <c r="C104" s="4" t="inlineStr">
        <is>
          <t>Technical University of Denmark (DTU)</t>
        </is>
      </c>
      <c r="D104" s="4" t="inlineStr">
        <is>
          <t>Kgs. Lyngby (لینگبی) — ۱۵ کیلومتری کپنهاگ</t>
        </is>
      </c>
      <c r="E104" s="4" t="inlineStr">
        <is>
          <t>خیلی گران — DKK 9,500–12,000</t>
        </is>
      </c>
      <c r="F104" s="4" t="inlineStr">
        <is>
          <t>MSc Eng Computer Science and Engineering</t>
        </is>
      </c>
      <c r="G104" s="4" t="inlineStr">
        <is>
          <t>مهندسی نرم‌افزار / علوم کامپیوتر</t>
        </is>
      </c>
      <c r="H104" s="4" t="inlineStr">
        <is>
          <t>۲ سال</t>
        </is>
      </c>
      <c r="I104" s="4" t="inlineStr">
        <is>
          <t>€15,000</t>
        </is>
      </c>
      <c r="J104" s="4" t="inlineStr">
        <is>
          <t>$17,100</t>
        </is>
      </c>
      <c r="K104" s="4" t="inlineStr">
        <is>
          <t>ظرفیت محدود؛ گزینش با معدل</t>
        </is>
      </c>
      <c r="L104" s="4" t="inlineStr">
        <is>
          <t>6.5</t>
        </is>
      </c>
      <c r="M104" s="4" t="inlineStr">
        <is>
          <t>105</t>
        </is>
      </c>
      <c r="N104" s="12" t="inlineStr">
        <is>
          <t>Reach</t>
        </is>
      </c>
      <c r="O104" s="4" t="inlineStr">
        <is>
          <t>4/5 — بیشترین حجم آگهی در هر ۶ کشور؛ ورود جونیور از ۲۰۲۳ سخت‌تر شده — سابقهٔ کار شما مزیت است</t>
        </is>
      </c>
      <c r="P104" s="4" t="inlineStr"/>
      <c r="Q104" s="8" t="inlineStr">
        <is>
          <t>https://www.dtu.dk/english/education/graduate/msc-programmes/computer-science-and-engineering</t>
        </is>
      </c>
    </row>
    <row r="105">
      <c r="A105" s="2" t="n">
        <v>104</v>
      </c>
      <c r="B105" s="2" t="inlineStr">
        <is>
          <t>دانمارک</t>
        </is>
      </c>
      <c r="C105" s="4" t="inlineStr">
        <is>
          <t>Aarhus University (AU)</t>
        </is>
      </c>
      <c r="D105" s="4" t="inlineStr">
        <is>
          <t>Aarhus (آرهوس) — دومین شهر دانمارک</t>
        </is>
      </c>
      <c r="E105" s="4" t="inlineStr">
        <is>
          <t>گران — DKK 9,000–11,000</t>
        </is>
      </c>
      <c r="F105" s="4" t="inlineStr">
        <is>
          <t>MSc Computer Science</t>
        </is>
      </c>
      <c r="G105" s="4" t="inlineStr">
        <is>
          <t>مهندسی نرم‌افزار / علوم کامپیوتر</t>
        </is>
      </c>
      <c r="H105" s="4" t="inlineStr">
        <is>
          <t>۲ سال</t>
        </is>
      </c>
      <c r="I105" s="4" t="inlineStr">
        <is>
          <t>€17,300</t>
        </is>
      </c>
      <c r="J105" s="4" t="inlineStr">
        <is>
          <t>$19,700</t>
        </is>
      </c>
      <c r="K105" s="4" t="inlineStr">
        <is>
          <t>کارشناسی CS با واحدهای مشخص</t>
        </is>
      </c>
      <c r="L105" s="4" t="inlineStr">
        <is>
          <t>6.5</t>
        </is>
      </c>
      <c r="M105" s="4" t="inlineStr">
        <is>
          <t>128</t>
        </is>
      </c>
      <c r="N105" s="11" t="inlineStr">
        <is>
          <t>Target/Reach</t>
        </is>
      </c>
      <c r="O105" s="4" t="inlineStr">
        <is>
          <t>4/5 — بیشترین حجم آگهی در هر ۶ کشور؛ ورود جونیور از ۲۰۲۳ سخت‌تر شده — سابقهٔ کار شما مزیت است</t>
        </is>
      </c>
      <c r="P105" s="4" t="inlineStr">
        <is>
          <t>Aarhus: دومین شهر، ارزان‌تر از کپنهاگ</t>
        </is>
      </c>
      <c r="Q105" s="8" t="inlineStr">
        <is>
          <t>https://masters.au.dk/computerscience</t>
        </is>
      </c>
    </row>
    <row r="107" ht="34" customHeight="1">
      <c r="B107" s="13" t="inlineStr">
        <is>
          <t>راهنما: هر ردیف یک برنامهٔ انگلیسی‌زبان است. Safe/Target/Reach نسبت به معدل ۱۵.۷۷/۲۰ (≈ 2:2 بریتانیا / ≈ 2.3 آلمانی / ≈ ۷۹٪) و IELTS ≈ 7 سنجیده شده و پیش‌بینی پذیرش نیست. «≈» یعنی رقم از منبع ثانویه یا سال قبل است — قبل از اقدام صفحهٔ رسمی را چک کنید.</t>
        </is>
      </c>
    </row>
    <row r="108" ht="34" customHeight="1">
      <c r="B108" s="13" t="inlineStr">
        <is>
          <t>شهریهٔ دلاری با نرخ نرخ تبدیل ۲۷ سپتامبر ۲۰۲۶: €1 = $1.14 · £1 = $1.325 · $1 ≈ SEK 9.9 · $1 ≈ DKK 6.55 · CHF 1 = $1.21 و گرد شده به $100. برای ورودی سپتامبر ۲۰۲۷ نرخ 2027/28 ملاک است (تا بهار ۲۰۲۷ منتشر می‌شود؛ فعلاً +۳–۵٪؛ TU/e و Surrey و Gothenburg همین حالا رسمی‌اند). آلمان: عدد فقط سهم ترم (Semesterbeitrag) است که بلیت حمل‌ونقل را هم شامل می‌شود.</t>
        </is>
      </c>
    </row>
    <row r="109" ht="34" customHeight="1">
      <c r="B109" s="13" t="inlineStr">
        <is>
          <t>امتیاز بازار کار (۱–۵) ارزیابی من بر پایهٔ منابع شیت «حوزه‌ها و بازار کار» است، نه آمار رسمی؛ برای هر برنامه فقط حوزه را نشان می‌دهد، نه کیفیت آن دانشگاه.</t>
        </is>
      </c>
    </row>
    <row r="110" ht="34" customHeight="1">
      <c r="B110" s="13" t="inlineStr">
        <is>
          <t>ستون «هزینهٔ زندگی شهر» برآورد تقریبی هزینهٔ ماهانهٔ دانشجو با اجارهٔ اتاق در همان شهر است (سازگار با ردیف ۶ جدول اصلی)؛ برچسب‌ها: ارزان / متوسط / گران / خیلی گران. برای مقایسهٔ کشورها همچنان ردیف‌های ۶–۸ جدول اصلی معیار است.</t>
        </is>
      </c>
    </row>
    <row r="111" ht="34" customHeight="1">
      <c r="B111" s="13" t="inlineStr">
        <is>
          <t>بازبینی صحت اعداد (۲۷ سپتامبر ۲۰۲۶): ≈۷۰٪ شهریه‌ها مستقیماً از صفحهٔ رسمی 2026/27 است؛ ردیف‌های «≈» از منبع ثانویه یا سال قبل‌اند. اصلاح‌های این بازبینی: FAU از تابستان ۲۰۲۷ شهریه می‌گیرد (AI/CS €4,000/ترم)؛ ITU €16,500 (نه €13,400)؛ Radboud €19,714 رسمی؛ Chalmers ≈ SEK 175k (نه 160k)؛ KTH ≈ 180–190k؛ AAU شرط ≥ ۱۵۰ ECTS؛ Surrey Cyber ورودی ۲۰۲۷؛ Newcastle Games 2:2؛ Sheffield AI ≈ £32.9–34.3k. رتبه‌بندی Safe/Target/Reach، امتیاز بازار و ردهٔ هزینهٔ شهر ارزیابی‌اند، نه دادهٔ رسمی.</t>
        </is>
      </c>
    </row>
    <row r="112" ht="34" customHeight="1">
      <c r="B112" s="13" t="inlineStr">
        <is>
          <t>حذف‌شده‌ها: Essex MSc Computer Games (برای 2025/26 و 2026/27 تعلیق شده)، Hull AI &amp; Data Science (سه رقم متناقض شهریه)، UCD/TCD (2:1 و ≈ €30k → Reach، بررسی نشد)، KU Copenhagen (شهریه تأیید نشد)؛ ایرلند (۱۲ برنامه) به خواست شما در سپتامبر ۲۰۲۶ کامل حذف و ۱۳ برنامهٔ سوئیس جایگزین شد. سوئیس: شهریه‌های ETH، EPFL، UZH، USI، ZHAW و HSLU از صفحات رسمی 2026/27؛ Bern، Fribourg و Basel از مراجع ثانویه (≈) — و یادتان باشد در سوئیس شهریه عدد کوچک است، هزینهٔ زندگی (CHF 1,400–2,500/ماه) و تمکن CHF 21,000 عدد اصلی‌اند.</t>
        </is>
      </c>
    </row>
  </sheetData>
  <autoFilter ref="A1:Q105"/>
  <mergeCells count="6">
    <mergeCell ref="B111:Q111"/>
    <mergeCell ref="B107:Q107"/>
    <mergeCell ref="B108:Q108"/>
    <mergeCell ref="B110:Q110"/>
    <mergeCell ref="B109:Q109"/>
    <mergeCell ref="B112:Q112"/>
  </mergeCells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34" customWidth="1" min="4" max="4"/>
    <col width="56" customWidth="1" min="5" max="5"/>
    <col width="56" customWidth="1" min="6" max="6"/>
    <col width="40" customWidth="1" min="7" max="7"/>
  </cols>
  <sheetData>
    <row r="1" ht="40" customHeight="1">
      <c r="A1" s="1" t="inlineStr">
        <is>
          <t>حوزه</t>
        </is>
      </c>
      <c r="B1" s="1" t="inlineStr">
        <is>
          <t>تقاضای بازار ۲۰۲۶ (۱–۵)</t>
        </is>
      </c>
      <c r="C1" s="1" t="inlineStr">
        <is>
          <t>حقوق شروع نسبت به CS عمومی</t>
        </is>
      </c>
      <c r="D1" s="1" t="inlineStr">
        <is>
          <t>سازگاری با «فقط انگلیسی»</t>
        </is>
      </c>
      <c r="E1" s="1" t="inlineStr">
        <is>
          <t>تناسب با پروفایل شایان (Computer Eng، معدل ۱۵.۷۷، ۲ سال IT + ۷ ماه Unity/C#)</t>
        </is>
      </c>
      <c r="F1" s="1" t="inlineStr">
        <is>
          <t>ریسک‌ها / واقعیت بازار</t>
        </is>
      </c>
      <c r="G1" s="1" t="inlineStr">
        <is>
          <t>منابع</t>
        </is>
      </c>
    </row>
    <row r="2">
      <c r="A2" s="3" t="inlineStr">
        <is>
          <t>هوش مصنوعی / یادگیری ماشین</t>
        </is>
      </c>
      <c r="B2" s="2" t="inlineStr">
        <is>
          <t>۵ — قوی‌ترین رشد</t>
        </is>
      </c>
      <c r="C2" s="4" t="inlineStr">
        <is>
          <t>بالاتر (+۱۰ تا +۲۵٪؛ در آلمان €52–60k، انگلستان £35–45k خارج لندن)</t>
        </is>
      </c>
      <c r="D2" s="4" t="inlineStr">
        <is>
          <t>بسیار خوب — تیم‌های AI/ML در همهٔ ۶ کشور انگلیسی‌زبان‌اند</t>
        </is>
      </c>
      <c r="E2" s="4" t="inlineStr">
        <is>
          <t>خوب: پیش‌زمینهٔ Computer Engineering + Python؛ ولی برای برنامه‌های Reach (Tübingen، UvA، KTH، Sheffield) معدل ۱۵.۷۷ کافی نیست — برنامه‌های کاربردی (Passau AI Eng، FAU، Northumbria/Teesside AI، USI AI (Lugano)، Umeå) هدف بگیرید</t>
        </is>
      </c>
      <c r="F2" s="4" t="inlineStr">
        <is>
          <t>رقابت ورودی شدید؛ بخشی از آگهی‌ها «AI» در عنوان دارند ولی کار مهندسی نرم‌افزار معمولی است؛ مدرک به‌تنهایی بدون پورتفولیو/پروژه کافی نیست</t>
        </is>
      </c>
      <c r="G2" s="5" t="inlineStr">
        <is>
          <t>LinkedIn/WEF ژانویه ۲۰۲۶ (۱.۳ میلیون شغل جدید AI؛ AI Engineer سریع‌ترین‌رشد)؛ Bitkom 2025</t>
        </is>
      </c>
    </row>
    <row r="3">
      <c r="A3" s="3" t="inlineStr">
        <is>
          <t>مهندسی نرم‌افزار / علوم کامپیوتر</t>
        </is>
      </c>
      <c r="B3" s="2" t="inlineStr">
        <is>
          <t>۴ — بیشترین حجم</t>
        </is>
      </c>
      <c r="C3" s="4" t="inlineStr">
        <is>
          <t>مرجع (آلمان €48–55k · هلند €40–50k · سوئد SEK 420–540k · دانمارک DKK 500–540k · سوئیس CHF 85–105k (بالاترین) · انگلستان £28–35k)</t>
        </is>
      </c>
      <c r="D3" s="4" t="inlineStr">
        <is>
          <t>بسیار خوب</t>
        </is>
      </c>
      <c r="E3" s="4" t="inlineStr">
        <is>
          <t>بهترین تناسب با سابقهٔ شما (۲ سال IT + Unity/C#)؛ پذیرش ساده‌تر (2:2)؛ در همهٔ کشورها گزینهٔ Safe دارد</t>
        </is>
      </c>
      <c r="F3" s="4" t="inlineStr">
        <is>
          <t>آگهی‌های جونیور از ۲۰۲۳ کم شده (اثر GenAI)؛ در بریتانیا ۶–۷٪ بیکاری فارغ‌التحصیلان CS — سابقهٔ کار واقعی شما را از این گروه جدا می‌کند</t>
        </is>
      </c>
      <c r="G3" s="5" t="inlineStr">
        <is>
          <t>Bitkom 2025 (۱۰۹ هزار جای خالی IT در آلمان، ۷.۷ ماه زمان پرکردن)؛ IW 2024 (آگهی‌ها ۲۶٪ کمتر از ۲۰۲۳)</t>
        </is>
      </c>
    </row>
    <row r="4">
      <c r="A4" s="3" t="inlineStr">
        <is>
          <t>امنیت سایبری</t>
        </is>
      </c>
      <c r="B4" s="2" t="inlineStr">
        <is>
          <t>۴ — کمبود ساختاری</t>
        </is>
      </c>
      <c r="C4" s="4" t="inlineStr">
        <is>
          <t>مساوی تا کمی بالاتر؛ در انگلستان (NCSC-certified) و سوئیس (بانک‌ها، بیمه‌ها، ETH/EPFL Cyber؛ حقوق بالا) خوب</t>
        </is>
      </c>
      <c r="D4" s="4" t="inlineStr">
        <is>
          <t>خوب — ولی مشاغل دولتی/دفاعی معمولاً به تابعیت یا اقامت بلندمدت نیاز دارند</t>
        </is>
      </c>
      <c r="E4" s="4" t="inlineStr">
        <is>
          <t>خوب: MSc Cyber با 2:2 در Teesside/Northumbria/MMU/Kent/Royal Holloway؛ Saarland (رایگان ولی IELTS 7)؛ AAU کپنهاگ؛ ZHAW MSE Information &amp; Cyber Security (سوئیس، نیاز به معدل A/B)</t>
        </is>
      </c>
      <c r="F4" s="4" t="inlineStr">
        <is>
          <t>عدد «۴.۸ میلیون کمبود» ISC2 در گزارش ۲۰۲۵ حذف شد (نیاز اعلام‌شده بود نه آگهی واقعی)؛ کمبود بودجه دلیل اول جای خالی؛ ۳۱٪ تیم‌ها صفر جونیور دارند → برای اولین شغل، کارآموزی + گواهی (Security+، AZ-500) لازم است</t>
        </is>
      </c>
      <c r="G4" s="5" t="inlineStr">
        <is>
          <t>ISC2 Workforce Study 2024/2025؛ Kent/Surrey NCSC certification</t>
        </is>
      </c>
    </row>
    <row r="5">
      <c r="A5" s="3" t="inlineStr">
        <is>
          <t>ابری / سیستم‌های توزیع‌شده / DevOps</t>
        </is>
      </c>
      <c r="B5" s="2" t="inlineStr">
        <is>
          <t>۴ — پایدار</t>
        </is>
      </c>
      <c r="C5" s="4" t="inlineStr">
        <is>
          <t>بالاتر از توسعه‌دهندهٔ عمومی (+۵ تا +۱۵٪)؛ DevOps/SRE در دانمارک و سوئد پرتقاضا</t>
        </is>
      </c>
      <c r="D5" s="4" t="inlineStr">
        <is>
          <t>بسیار خوب</t>
        </is>
      </c>
      <c r="E5" s="4" t="inlineStr">
        <is>
          <t>خوب: Leicester Cloud Computing، TU Darmstadt DSS، KTH SEDS، USI Software &amp; Data Engineering؛ گواهی AWS/Azure کنار مدرک</t>
        </is>
      </c>
      <c r="F5" s="4" t="inlineStr">
        <is>
          <t>کمتر «مدرک‌محور» است؛ برنامه‌های خالص Cloud کم‌اند — معمولاً گرایشِ CS/SE است</t>
        </is>
      </c>
      <c r="G5" s="5" t="inlineStr">
        <is>
          <t>tribexyz 2026 (Data/Cloud Engineer پرجست‌وجوترین در UK/DE)؛ آگهی‌های شرکت‌ها</t>
        </is>
      </c>
    </row>
    <row r="6">
      <c r="A6" s="3" t="inlineStr">
        <is>
          <t>علم داده / تحلیل داده</t>
        </is>
      </c>
      <c r="B6" s="2" t="inlineStr">
        <is>
          <t>۳ — جونیور اشباع</t>
        </is>
      </c>
      <c r="C6" s="4" t="inlineStr">
        <is>
          <t>مساوی CS در سطح جونیور؛ بالاتر بعد از ۲–۳ سال</t>
        </is>
      </c>
      <c r="D6" s="4" t="inlineStr">
        <is>
          <t>بسیار خوب</t>
        </is>
      </c>
      <c r="E6" s="4" t="inlineStr">
        <is>
          <t>متوسط: مدرک‌های ارزان و Safe زیاد است (HSLU Lucerne ≈ CHF 3,150/سال، Skövde، Brunel، ITU €16.5k) ولی رقابت جونیور بالاست؛ اگر می‌روید، Data Engineering را انتخاب کنید</t>
        </is>
      </c>
      <c r="F6" s="4" t="inlineStr">
        <is>
          <t>تعداد فارغ‌التحصیل خیلی بیشتر از جای خالی جونیور؛ آگهی جونیور Data Engineering هم ↓۶۷٪؛ مسیر رایج: تحلیلگر/بک‌اند → مهندس داده</t>
        </is>
      </c>
      <c r="G6" s="5" t="inlineStr">
        <is>
          <t>research.com 2026؛ careery.pro 2026؛ datadriven.io 2026</t>
        </is>
      </c>
    </row>
    <row r="7">
      <c r="A7" s="3" t="inlineStr">
        <is>
          <t>سیستم‌های نهفته / رباتیک / خودران</t>
        </is>
      </c>
      <c r="B7" s="2" t="inlineStr">
        <is>
          <t>۴ در آلمان/سوئد؛ ۳ در بقیه</t>
        </is>
      </c>
      <c r="C7" s="4" t="inlineStr">
        <is>
          <t>مساوی تا کمی بالاتر در صنعت (Bosch، Continental، ABB، Volvo)؛ پایین‌تر در بریتانیا؛ در سوئیس (ABB، رباتیک ETH) بالا ولی آلمانی‌محور</t>
        </is>
      </c>
      <c r="D7" s="4" t="inlineStr">
        <is>
          <t>متوسط ⚠️ — تیم‌های R&amp;D انگلیسی‌اند ولی شرکت‌های صنعتی متوسط آلمان/سوئد در عمل زبان محلی می‌خواهند</t>
        </is>
      </c>
      <c r="E7" s="4" t="inlineStr">
        <is>
          <t>خوب از نظر پیش‌زمینه (Computer Engineering)؛ گزینه‌ها: Twente ES، Stuttgart INFOTECH، H-BRS Autonomous Systems، FAU Autonomy Tech، Halmstad، MDU، SDU Robot Systems، DTU Autonomous Systems</t>
        </is>
      </c>
      <c r="F7" s="4" t="inlineStr">
        <is>
          <t>با معیار «فقط انگلیسی» شما ضعیف‌تر از AI/SE/Cyber؛ وابسته به صنعت خودرو که در ۲۰۲۴–۲۵ آگهی‌هایش کم شد</t>
        </is>
      </c>
      <c r="G7" s="5" t="inlineStr">
        <is>
          <t>Bitkom/IW 2024–25؛ Twente/H-BRS/FAU program pages</t>
        </is>
      </c>
    </row>
    <row r="8">
      <c r="A8" s="3" t="inlineStr">
        <is>
          <t>HCI / طراحی تعامل / UX</t>
        </is>
      </c>
      <c r="B8" s="2" t="inlineStr">
        <is>
          <t>۲ — رو به کاهش</t>
        </is>
      </c>
      <c r="C8" s="4" t="inlineStr">
        <is>
          <t>پایین‌تر از توسعه‌دهنده (−۱۰ تا −۲۵٪)</t>
        </is>
      </c>
      <c r="D8" s="4" t="inlineStr">
        <is>
          <t>خوب</t>
        </is>
      </c>
      <c r="E8" s="4" t="inlineStr">
        <is>
          <t>ضعیف برای هدف «حقوق شروع بالا»؛ فقط اگر واقعاً به طراحی علاقه دارید (Siegen رایگان، Twente I-Tech، York HCIT، Chalmers IxD، AAU Medialogy)</t>
        </is>
      </c>
      <c r="F8" s="4" t="inlineStr">
        <is>
          <t>آگهی UX ↓۷۱٪ و UXR ↓۷۳٪ نسبت به ۲۰۲۲ و از ۲۰۲۳ ثابت؛ متقاضی به ازای هر آگهی دو برابر شده</t>
        </is>
      </c>
      <c r="G8" s="5" t="inlineStr">
        <is>
          <t>Indeed Hiring Lab تا Q4 2025 (thevoiceofuser, 2026)؛ uxdesigninstitute 2024؛ academyux Q1 2025</t>
        </is>
      </c>
    </row>
    <row r="9">
      <c r="A9" s="3" t="inlineStr">
        <is>
          <t>توسعه بازی</t>
        </is>
      </c>
      <c r="B9" s="2" t="inlineStr">
        <is>
          <t>۲ — کوچک و پرنوسان</t>
        </is>
      </c>
      <c r="C9" s="4" t="inlineStr">
        <is>
          <t>پایین‌تر از نرم‌افزار عمومی (−۲۰ تا −۴۰٪)؛ استودیوهای بزرگ استثنا</t>
        </is>
      </c>
      <c r="D9" s="4" t="inlineStr">
        <is>
          <t>خوب (استودیوهای بزرگ انگلیسی‌زبان: لندن، Guildford، Stockholm، Malmö، Copenhagen، Cologne)</t>
        </is>
      </c>
      <c r="E9" s="4" t="inlineStr">
        <is>
          <t>تنها حوزه‌ای که سابقهٔ Unity/C# شما در آن مستقیماً مزیت است؛ اما بازار ۲۰۲۲–۲۵ بدترین دورهٔ خود را داشت — پیشنهاد: ارشد Software/AI بگیرید و بازی را به‌عنوان تخصص/پورتفولیو نگه دارید، مگر Goldsmiths (£22k) یا Cologne Game Lab را با چشم باز انتخاب کنید</t>
        </is>
      </c>
      <c r="F9" s="4" t="inlineStr">
        <is>
          <t>≈۴۵ هزار اخراج ۲۰۲۲–ژوئیهٔ ۲۰۲۵؛ بیش از ۳۰ استودیو کاملاً بسته شد؛ حقوق برنامه‌نویس Unity ≈۵۰٪ افت؛ Unity Technologies شش دور اخراج</t>
        </is>
      </c>
      <c r="G9" s="5" t="inlineStr">
        <is>
          <t>Wikipedia «2022–2026 video game industry layoffs» (GDC State of the Industry 2026؛ 80.lv)</t>
        </is>
      </c>
    </row>
    <row r="11" ht="70" customHeight="1">
      <c r="A11" s="14" t="inlineStr">
        <is>
          <t>جمع‌بندی برای شما: (۱) هوش مصنوعی/ML و (۲) مهندسی نرم‌افزار بهترین ترکیب «بازار + پذیرش‌پذیری + انگلیسی» را دارند؛ (۳) امنیت سایبری اگر حاضر به گرفتن گواهی و کارآموزی باشید؛ ابری/DevOps به‌عنوان گرایش داخل CS/SE. علم داده فقط با تمرکز Data Engineering. نهفته/رباتیک قوی است ولی با شرط «فقط انگلیسی» شما نمی‌خواند (کارفرمایان صنعتی آلمان/سوئد). HCI/UX و بازی‌سازی با معیار «حقوق شروع بالا» شما در تضادند — سابقهٔ Unity را به‌عنوان پورتفولیو کنار یک ارشد Software/AI نگه دارید.</t>
        </is>
      </c>
    </row>
  </sheetData>
  <mergeCells count="1">
    <mergeCell ref="A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110" customWidth="1" min="4" max="4"/>
    <col width="36" customWidth="1" min="5" max="5"/>
  </cols>
  <sheetData>
    <row r="1" ht="30" customHeight="1">
      <c r="A1" s="1" t="inlineStr">
        <is>
          <t>تاریخ / مهلت</t>
        </is>
      </c>
      <c r="B1" s="1" t="inlineStr">
        <is>
          <t>اقدام</t>
        </is>
      </c>
      <c r="C1" s="1" t="inlineStr">
        <is>
          <t>کشور / برنامه</t>
        </is>
      </c>
      <c r="D1" s="1" t="inlineStr">
        <is>
          <t>جزئیات</t>
        </is>
      </c>
      <c r="E1" s="1" t="inlineStr">
        <is>
          <t>منبع</t>
        </is>
      </c>
    </row>
    <row r="2">
      <c r="A2" s="3" t="inlineStr">
        <is>
          <t>همین هفته (اکتبر ۲۰۲۶)</t>
        </is>
      </c>
      <c r="B2" s="4" t="inlineStr">
        <is>
          <t>تعیین تکلیف نظام‌وظیفه</t>
        </is>
      </c>
      <c r="C2" s="4" t="inlineStr">
        <is>
          <t>همه</t>
        </is>
      </c>
      <c r="D2" s="4" t="inlineStr">
        <is>
          <t>اگر کارت پایان خدمت یا معافیت دائم ندارید: خروج تحصیلی مشمولانِ بدون غیبت فقط با مجوز سامانهٔ «سخا»، وثیقهٔ ۲۰۰ میلیون تومان (از خرداد/تیر ۱۴۰۵؛ قبلاً ۸۰ میلیون) و پذیرش از دانشگاه مورد تأیید وزارت علوم ممکن است؛ مدت مجوز = طول دوره. این را قبل از هر هزینه‌ای روشن کنید.</t>
        </is>
      </c>
      <c r="E2" s="5" t="inlineStr">
        <is>
          <t>sakha.epolice.ir؛ زومیت/فرارو تیر ۱۴۰۵</t>
        </is>
      </c>
    </row>
    <row r="3">
      <c r="A3" s="3" t="inlineStr">
        <is>
          <t>اکتبر ۲۰۲۶</t>
        </is>
      </c>
      <c r="B3" s="4" t="inlineStr">
        <is>
          <t>رزرو آزمون زبان — خارج از ایران</t>
        </is>
      </c>
      <c r="C3" s="4" t="inlineStr">
        <is>
          <t>همه</t>
        </is>
      </c>
      <c r="D3" s="4" t="inlineStr">
        <is>
          <t>IELTS از ۳۱ ژانویه ۲۰۲۶ و TOEFL از ۱۴۰۵ در ایران برگزار نمی‌شوند. IELTS Academic کامپیوتری در استانبول/ایروان/دبی/تفلیس برای نوامبر تا اوایل دسامبر ۲۰۲۶ رزرو کنید (نتیجه ۳–۵ روزه؛ ≈ $250–300 + سفر). هدف 7.0 با هر بخش ≥ 6.5 (Stuttgart C1، Saarland 7.0). Duolingo فقط بعضی دانشگاه‌های انگلستان را باز می‌کند، نه سوئد/دانمارک/هلند/آلمان/سوئیس. برای ETH (۳۰ نوامبر) گواهی باید زودتر آماده باشد.</t>
        </is>
      </c>
      <c r="E3" s="5" t="inlineStr">
        <is>
          <t>اعلام IDP (دسامبر ۲۰۲۵)؛ وضعیت ETS/سنجش شهریور ۱۴۰۵</t>
        </is>
      </c>
    </row>
    <row r="4">
      <c r="A4" s="3" t="inlineStr">
        <is>
          <t>اکتبر ۲۰۲۶</t>
        </is>
      </c>
      <c r="B4" s="4" t="inlineStr">
        <is>
          <t>مدارک پایه</t>
        </is>
      </c>
      <c r="C4" s="4" t="inlineStr">
        <is>
          <t>همه</t>
        </is>
      </c>
      <c r="D4" s="4" t="inlineStr">
        <is>
          <t>ریزنمرات و دانشنامهٔ انگلیسی رسمی (دانشگاه سمنان + تأییدیه‌ها)؛ گواهی رتبه/میانگین کلاس اگر می‌دهند؛ ۲ توصیه‌نامه (استاد + کارفرما)؛ SOP با تکیه بر ۲ سال IT + Unity؛ CV؛ گیت‌هاب مرتب؛ گواهی سابقهٔ کار (AAU از ورودی ۲۰۲۷ برایش امتیاز می‌دهد).</t>
        </is>
      </c>
      <c r="E4" s="5" t="inlineStr">
        <is>
          <t>—</t>
        </is>
      </c>
    </row>
    <row r="5">
      <c r="A5" s="3" t="inlineStr">
        <is>
          <t>۱۵–۱۶ اکتبر ۲۰۲۶</t>
        </is>
      </c>
      <c r="B5" s="4" t="inlineStr">
        <is>
          <t>باز شدن پورتال‌ها</t>
        </is>
      </c>
      <c r="C5" s="4" t="inlineStr">
        <is>
          <t>هلند، سوئد</t>
        </is>
      </c>
      <c r="D5" s="4" t="inlineStr">
        <is>
          <t>فرم بورس UTS Twente (۱۵ اکتبر)، سوئد universityadmissions.se (۱۶ اکتبر — تا ۴ برنامه با یک درخواست، SEK 900). پورتال‌های سوئیس (USI، Neuchâtel، Fribourg، Bern، Basel، UZH، ZHAW، HSLU) از حدود اکتبر–ژانویه برای پاییز ۲۰۲۷ باز می‌شوند.</t>
        </is>
      </c>
      <c r="E5" s="5" t="inlineStr">
        <is>
          <t>utwente.nl؛ universityadmissions.se؛ سایت دانشگاه‌های سوئیس</t>
        </is>
      </c>
    </row>
    <row r="6">
      <c r="A6" s="3" t="inlineStr">
        <is>
          <t>۱ – ۳۰ نوامبر ۲۰۲۶</t>
        </is>
      </c>
      <c r="B6" s="15" t="inlineStr">
        <is>
          <t>⛔ پنجرهٔ ETH Zürich (تنها فرصت سال — Reach)</t>
        </is>
      </c>
      <c r="C6" s="4" t="inlineStr">
        <is>
          <t>سوئیس</t>
        </is>
      </c>
      <c r="D6" s="4" t="inlineStr">
        <is>
          <t>اپلای آنلاین ۱ تا ۳۰ نوامبر ۲۰۲۶ (ساعت ۱۱:۵۹ صبح CET)؛ CHF 150؛ گواهی C1/IELTS 7.0 باید تا آن موقع در دست باشد → یعنی آزمون در اکتبر یا اوایل نوامبر. پاسخ تا پایان مارس ۲۰۲۷؛ تأییدیهٔ ثبت‌نام برای ویزا از می ۲۰۲۷؛ شروع ۲۰ سپتامبر ۲۰۲۷. با معدل ۱۵.۷۷ شانس کم است — فقط اگر هزینهٔ آن را می‌پذیرید.</t>
        </is>
      </c>
      <c r="E6" s="5" t="inlineStr">
        <is>
          <t>ethz.ch/en/studies/master/application/dates.html</t>
        </is>
      </c>
    </row>
    <row r="7">
      <c r="A7" s="3" t="inlineStr">
        <is>
          <t>نوامبر ۲۰۲۶</t>
        </is>
      </c>
      <c r="B7" s="4" t="inlineStr">
        <is>
          <t>VPD از uni-assist</t>
        </is>
      </c>
      <c r="C7" s="4" t="inlineStr">
        <is>
          <t>آلمان</t>
        </is>
      </c>
      <c r="D7" s="4" t="inlineStr">
        <is>
          <t>برای TU Darmstadt، TU Dresden، Saarland، RPTU، Chemnitz، OVGU و Passau (uni-assist) ۴–۶ هفته زمان و €75 هزینه؛ Stuttgart مستقیم در C@MPUS اپلای می‌گیرد (۱۵ نوامبر – ۱۵ ژانویه).</t>
        </is>
      </c>
      <c r="E7" s="5" t="inlineStr">
        <is>
          <t>uni-assist.de؛ uni-stuttgart.de</t>
        </is>
      </c>
    </row>
    <row r="8">
      <c r="A8" s="3" t="inlineStr">
        <is>
          <t>نوامبر – اوایل دسامبر ۲۰۲۶</t>
        </is>
      </c>
      <c r="B8" s="4" t="inlineStr">
        <is>
          <t>آزمون IELTS</t>
        </is>
      </c>
      <c r="C8" s="4" t="inlineStr">
        <is>
          <t>همه</t>
        </is>
      </c>
      <c r="D8" s="4" t="inlineStr">
        <is>
          <t>نتیجه باید تا اوایل ژانویه ۲۰۲۷ در دست باشد (سوئد، دانمارک، Stuttgart). یک تاریخ ذخیره در دسامبر رزرو کنید.</t>
        </is>
      </c>
      <c r="E8" s="5" t="inlineStr">
        <is>
          <t>—</t>
        </is>
      </c>
    </row>
    <row r="9">
      <c r="A9" s="3" t="inlineStr">
        <is>
          <t>۱۵ دسامبر ۲۰۲۶</t>
        </is>
      </c>
      <c r="B9" s="4" t="inlineStr">
        <is>
          <t>دور اول EPFL (توصیه برای ویزایی‌ها — Reach)</t>
        </is>
      </c>
      <c r="C9" s="4" t="inlineStr">
        <is>
          <t>سوئیس</t>
        </is>
      </c>
      <c r="D9" s="4" t="inlineStr">
        <is>
          <t>پنجرهٔ اپلای از اواسط نوامبر تا ۱۵ دسامبر (پاسخ اوایل آوریل)؛ دور دوم ۱۶ دسامبر – ۳۱ مارس ۲۰۲۷ (پاسخ پایان ژوئن — برای ویزای ۸–۱۲ هفته‌ای دیر است). فقط یک برنامه در سال؛ مدرک زبان الزامی نیست؛ CHF 150.</t>
        </is>
      </c>
      <c r="E9" s="5" t="inlineStr">
        <is>
          <t>epfl.ch (online application)</t>
        </is>
      </c>
    </row>
    <row r="10">
      <c r="A10" s="3" t="inlineStr">
        <is>
          <t>اواسط دسامبر ۲۰۲۶</t>
        </is>
      </c>
      <c r="B10" s="4" t="inlineStr">
        <is>
          <t>پورتال AAU باز می‌شود</t>
        </is>
      </c>
      <c r="C10" s="4" t="inlineStr">
        <is>
          <t>دانمارک</t>
        </is>
      </c>
      <c r="D10" s="4" t="inlineStr">
        <is>
          <t>برای شهریه‌پردازها مهلت ۱۵ ژانویه است (۱ مارس فقط برای EU).</t>
        </is>
      </c>
      <c r="E10" s="5" t="inlineStr">
        <is>
          <t>en.aau.dk/how-and-when-to-apply</t>
        </is>
      </c>
    </row>
    <row r="11">
      <c r="A11" s="3" t="inlineStr">
        <is>
          <t>۱۵ ژانویه ۲۰۲۷</t>
        </is>
      </c>
      <c r="B11" s="15" t="inlineStr">
        <is>
          <t>⛔ مهلت اصلی ۱: سوئد + دانمارک + Stuttgart</t>
        </is>
      </c>
      <c r="C11" s="4" t="inlineStr">
        <is>
          <t>سوئد، دانمارک، آلمان</t>
        </is>
      </c>
      <c r="D11" s="4" t="inlineStr">
        <is>
          <t>سوئد (همهٔ دانشگاه‌ها: Linköping، Halmstad، BTH، Chalmers، KTH، Uppsala، Umeå، Skövde)؛ AAU (fee-paying)، Aarhus، DTU (الگوی ۱۵ ژانویه برای غیر-EU)؛ Stuttgart MSc Computer Science / INFOTECH.</t>
        </is>
      </c>
      <c r="E11" s="5" t="inlineStr">
        <is>
          <t>umu.se و uu.se key dates؛ en.aau.dk؛ uni-stuttgart.de</t>
        </is>
      </c>
    </row>
    <row r="12">
      <c r="A12" s="3" t="inlineStr">
        <is>
          <t>۳۱ ژانویه ۲۰۲۷</t>
        </is>
      </c>
      <c r="B12" s="4" t="inlineStr">
        <is>
          <t>مهلت بورس Radboud</t>
        </is>
      </c>
      <c r="C12" s="4" t="inlineStr">
        <is>
          <t>هلند</t>
        </is>
      </c>
      <c r="D12" s="4" t="inlineStr">
        <is>
          <t>Radboud Scholarship Programme (≈۳۳ نفر؛ شهریه به €2,694 می‌رسد) — اپلای اصلی هم باید تا این تاریخ کامل باشد.</t>
        </is>
      </c>
      <c r="E12" s="5" t="inlineStr">
        <is>
          <t>ru.nl deadlines</t>
        </is>
      </c>
    </row>
    <row r="13">
      <c r="A13" s="3" t="inlineStr">
        <is>
          <t>۱ فوریه ۲۰۲۷</t>
        </is>
      </c>
      <c r="B13" s="15" t="inlineStr">
        <is>
          <t>⛔ مهلت اصلی ۲</t>
        </is>
      </c>
      <c r="C13" s="4" t="inlineStr">
        <is>
          <t>سوئد، دانمارک، هلند</t>
        </is>
      </c>
      <c r="D13" s="4" t="inlineStr">
        <is>
          <t>سوئد: مدارک + SEK 900 روی universityadmissions.se؛ SDU (غیر-EU)؛ Twente: برای بورس UTS (۱ آوریل) اپلای را تا اوایل فوریه بفرستید.</t>
        </is>
      </c>
      <c r="E13" s="5" t="inlineStr">
        <is>
          <t>universityadmissions.se؛ sdu.dk/datalogi؛ utwente.nl</t>
        </is>
      </c>
    </row>
    <row r="14">
      <c r="A14" s="3" t="inlineStr">
        <is>
          <t>۲۸ فوریه ۲۰۲۷</t>
        </is>
      </c>
      <c r="B14" s="15" t="inlineStr">
        <is>
          <t>⛔ مهلت ویزایی‌ها: UZH و Fribourg</t>
        </is>
      </c>
      <c r="C14" s="4" t="inlineStr">
        <is>
          <t>سوئیس</t>
        </is>
      </c>
      <c r="D14" s="4" t="inlineStr">
        <is>
          <t>UZH (MSc Informatics — Reach) و Fribourg (Joint MSc CS — Target) برای متقاضیانی که ویزا لازم دارند ۲۸ فوریه می‌بندند (بدون ویزا ۳۰ آوریل). UZH: CHF 150، فقط یک برنامه در هر ترم.</t>
        </is>
      </c>
      <c r="E14" s="5" t="inlineStr">
        <is>
          <t>oec.uzh.ch (FAQ Master's Admission)؛ mastersportal/unifr.ch</t>
        </is>
      </c>
    </row>
    <row r="15">
      <c r="A15" s="3" t="inlineStr">
        <is>
          <t>فوریه – مارس ۲۰۲۷</t>
        </is>
      </c>
      <c r="B15" s="4" t="inlineStr">
        <is>
          <t>اپلای انگلستان + پرونده‌های سوئیس</t>
        </is>
      </c>
      <c r="C15" s="4" t="inlineStr">
        <is>
          <t>انگلستان، سوئیس</t>
        </is>
      </c>
      <c r="D15" s="4" t="inlineStr">
        <is>
          <t>انگلستان rolling است ولی زود اپلای کنید: بورس‌ها (Brunel، Northumbria) و ظرفیت‌ها زود پر می‌شود. سوئیس: پرونده‌های USI (Informatics / AI / Software &amp; Data Eng)، Neuchâtel/Bern، Basel و ZHAW را همین ماه‌ها بفرستید تا قبل از مهلت ۳۰ آوریل بررسی شوند (HSLU: ویزایی‌ها تا ۱ آوریل)؛ ریزنمرات و دانشنامه باید ترجمهٔ رسمی/تأییدشده باشند.</t>
        </is>
      </c>
      <c r="E15" s="5" t="inlineStr">
        <is>
          <t>سایت دانشگاه‌ها</t>
        </is>
      </c>
    </row>
    <row r="16">
      <c r="A16" s="3" t="inlineStr">
        <is>
          <t>۳۰ مارس – ۱ آوریل ۲۰۲۷</t>
        </is>
      </c>
      <c r="B16" s="4" t="inlineStr">
        <is>
          <t>نتایج سوئد</t>
        </is>
      </c>
      <c r="C16" s="4" t="inlineStr">
        <is>
          <t>سوئد</t>
        </is>
      </c>
      <c r="D16" s="4" t="inlineStr">
        <is>
          <t>پاسخ به پیشنهاد در مهلت؛ قسط اول شهریه قبل از درخواست اقامت تحصیلی.</t>
        </is>
      </c>
      <c r="E16" s="5" t="inlineStr">
        <is>
          <t>universityadmissions.se</t>
        </is>
      </c>
    </row>
    <row r="17">
      <c r="A17" s="3" t="inlineStr">
        <is>
          <t>۱ آوریل ۲۰۲۷</t>
        </is>
      </c>
      <c r="B17" s="15" t="inlineStr">
        <is>
          <t>⛔ مهلت اصلی ۳</t>
        </is>
      </c>
      <c r="C17" s="4" t="inlineStr">
        <is>
          <t>هلند، آلمان، سوئیس</t>
        </is>
      </c>
      <c r="D17" s="4" t="inlineStr">
        <is>
          <t>Radboud غیر-EU (اپلای اصلی)؛ بورس UTS Twente؛ HSLU Applied Data Science &amp; AI — مهلت رسمی متقاضیان ویزا (Swiss/EU تا ۱ ژوئن)؛ پنجرهٔ Passau AI Engineering باز می‌شود (۱ آوریل – ۳۱ می).</t>
        </is>
      </c>
      <c r="E17" s="5" t="inlineStr">
        <is>
          <t>ru.nl؛ utwente.nl؛ uni-passau.de</t>
        </is>
      </c>
    </row>
    <row r="18">
      <c r="A18" s="3" t="inlineStr">
        <is>
          <t>۱۵ آوریل ۲۰۲۷</t>
        </is>
      </c>
      <c r="B18" s="4" t="inlineStr">
        <is>
          <t>دور دوم سوئد (فقط پشتیبان)</t>
        </is>
      </c>
      <c r="C18" s="4" t="inlineStr">
        <is>
          <t>سوئد</t>
        </is>
      </c>
      <c r="D18" s="4" t="inlineStr">
        <is>
          <t>۱۵ مارس – ۱۵ آوریل؛ مدارک تا ۲۱ ژوئن؛ نتیجه ۹ ژوئیه — برای اقامت و خوابگاه دیر است.</t>
        </is>
      </c>
      <c r="E18" s="5" t="inlineStr">
        <is>
          <t>umu.se key dates</t>
        </is>
      </c>
    </row>
    <row r="19">
      <c r="A19" s="3" t="inlineStr">
        <is>
          <t>۱ می ۲۰۲۷</t>
        </is>
      </c>
      <c r="B19" s="15" t="inlineStr">
        <is>
          <t>⛔ مهلت Twente (غیر-EEA)</t>
        </is>
      </c>
      <c r="C19" s="4" t="inlineStr">
        <is>
          <t>هلند</t>
        </is>
      </c>
      <c r="D19" s="4" t="inlineStr">
        <is>
          <t>MSc Computer Science / Embedded Systems / Interaction Technology.</t>
        </is>
      </c>
      <c r="E19" s="5" t="inlineStr">
        <is>
          <t>utwente.nl (به نقل از collegedunia، اوت ۲۰۲۶)</t>
        </is>
      </c>
    </row>
    <row r="20">
      <c r="A20" s="3" t="inlineStr">
        <is>
          <t>۳۰ آوریل ۲۰۲۷</t>
        </is>
      </c>
      <c r="B20" s="15" t="inlineStr">
        <is>
          <t>⛔ مهلت اصلی سوئیس (غیر-EU)</t>
        </is>
      </c>
      <c r="C20" s="4" t="inlineStr">
        <is>
          <t>سوئیس</t>
        </is>
      </c>
      <c r="D20" s="4" t="inlineStr">
        <is>
          <t>USI (Informatics / AI / Software &amp; Data Engineering — مهلت غیر-EU)، Neuchâtel و Bern (Joint MSc CS؛ Neuchâtel: خارجی‌ها تا ۳۱ مارس بفرستند؛ ویزایی‌ها مهلت دیرهنگام ندارند)، Basel (رسمی)، ZHAW MSE (پایان آوریل)؛ HSLU زودتر است: ۱ آوریل. پاسخ‌ها می–ژوئن؛ بلافاصله وقت ویزای D را در سفارت تهران بگیرید — تصمیم با ادارهٔ مهاجرت کانتون، ۸–۱۲ هفته؛ برای Ticino/Neuchâtel/Fribourg/Bern/Lucerne قبلش نوع مدرک تمکن قابل قبول را بپرسید.</t>
        </is>
      </c>
      <c r="E20" s="5" t="inlineStr">
        <is>
          <t>usi.ch؛ unibe.ch؛ zhaw.ch؛ eda.admin.ch/tehran</t>
        </is>
      </c>
    </row>
    <row r="21">
      <c r="A21" s="3" t="inlineStr">
        <is>
          <t>۱۵ – ۳۱ می ۲۰۲۷</t>
        </is>
      </c>
      <c r="B21" s="4" t="inlineStr">
        <is>
          <t>مهلت‌های آلمان</t>
        </is>
      </c>
      <c r="C21" s="4" t="inlineStr">
        <is>
          <t>آلمان</t>
        </is>
      </c>
      <c r="D21" s="4" t="inlineStr">
        <is>
          <t>Passau AI Eng ۳۱ می؛ بقیهٔ آلمان (TU Darmstadt، TU Dresden، Saarland، RPTU، Chemnitz، OVGU، FAU) بیشتر بین ۱۵ می تا ۱۵ ژوئیه — هر کدام را جدا چک کنید.</t>
        </is>
      </c>
      <c r="E21" s="5" t="inlineStr">
        <is>
          <t>uni-passau.de؛ سایت دانشگاه‌ها</t>
        </is>
      </c>
    </row>
    <row r="22">
      <c r="A22" s="3" t="inlineStr">
        <is>
          <t>می – ژوئن ۲۰۲۷</t>
        </is>
      </c>
      <c r="B22" s="4" t="inlineStr">
        <is>
          <t>💰 پول باید نقد و قابل انتقال باشد</t>
        </is>
      </c>
      <c r="C22" s="4" t="inlineStr">
        <is>
          <t>همه</t>
        </is>
      </c>
      <c r="D22" s="4" t="inlineStr">
        <is>
          <t>SDU: یک سال شهریه پیش‌پرداخت (€17,300)؛ سوئد: قسط ترم اول + تمکن SEK 10,656 × ماه‌ها؛ هلند: شهریه + €13,569 زندگی به حساب دانشگاه (Radboud تا ۱ ژوئن)؛ آلمان: حساب مسدود €11,904 (Fintiba ایران را نمی‌پذیرد → Expatrio/Coracle) + Stuttgart €1,500؛ سوئیس: CHF 21,000 برای سال اول (Basel 24,000) + شهریهٔ ترم اول (USI CHF 4,000؛ ETH/EPFL ≈ 2,240؛ بقیه ≈ 900–1,300) — در کانتون زوریخ فقط در بانک سوئیسی به نام خودتان یا با ضامن مقیم؛ انگلستان: ودیعه → CAS + £1,203 × ۹ ماه. انتقال از کشور ثالث/صرافی ۳–۶٪ هزینه.</t>
        </is>
      </c>
      <c r="E22" s="5" t="inlineStr">
        <is>
          <t>ردیف ۲۵ جدول اصلی</t>
        </is>
      </c>
    </row>
    <row r="23">
      <c r="A23" s="3" t="inlineStr">
        <is>
          <t>۱ ژوئن ۲۰۲۷</t>
        </is>
      </c>
      <c r="B23" s="4" t="inlineStr">
        <is>
          <t>مهلت ثبت‌نام/ویزای Radboud</t>
        </is>
      </c>
      <c r="C23" s="4" t="inlineStr">
        <is>
          <t>هلند</t>
        </is>
      </c>
      <c r="D23" s="4" t="inlineStr">
        <is>
          <t>برای شروع سپتامبر (غیر-EU)؛ درخواست MVV را دانشگاه از طرف شما به IND می‌دهد.</t>
        </is>
      </c>
      <c r="E23" s="5" t="inlineStr">
        <is>
          <t>ru.nl deadlines</t>
        </is>
      </c>
    </row>
    <row r="24">
      <c r="A24" s="3" t="inlineStr">
        <is>
          <t>ژوئن – ژوئیه ۲۰۲۷</t>
        </is>
      </c>
      <c r="B24" s="4" t="inlineStr">
        <is>
          <t>🛂 ویزا / برنامهٔ B</t>
        </is>
      </c>
      <c r="C24" s="4" t="inlineStr">
        <is>
          <t>همه</t>
        </is>
      </c>
      <c r="D24" s="4" t="inlineStr">
        <is>
          <t>وضعیت تهران (سپتامبر ۲۰۲۶): آلمان حالت اضطراری، هلند از باکو، دانمارک «از ایران ممکن نیست»، انگلستان VFS متناوب؛ سوئد بدون بیومتریک (آنلاین)؛ سوئیس: سفارت تهران باز و ویزای D با وقت قبلی (تصمیم کانتون ۸–۱۲ هفته — پس درخواست را در می–ژوئن بدهید). یعنی برای DE/DK/UK سفر به ترکیه/ارمنستان/امارات را (۲–۶ هفته) در بودجه و تقویم بگذارید.</t>
        </is>
      </c>
      <c r="E24" s="5" t="inlineStr">
        <is>
          <t>ردیف ۲۳ جدول اصلی</t>
        </is>
      </c>
    </row>
    <row r="25">
      <c r="A25" s="3" t="inlineStr">
        <is>
          <t>ژوئیه ۲۰۲۷</t>
        </is>
      </c>
      <c r="B25" s="4" t="inlineStr">
        <is>
          <t>خوابگاه</t>
        </is>
      </c>
      <c r="C25" s="4" t="inlineStr">
        <is>
          <t>همه</t>
        </is>
      </c>
      <c r="D25" s="4" t="inlineStr">
        <is>
          <t>Twente/Radboud اتاق رزروشده برای بین‌المللی‌ها (مهلت‌دار)؛ Linköping یک پیشنهاد اتاق برای شهریه‌پردازها؛ آلمان لیست Studierendenwerk بلافاصله بعد از پذیرش؛ انگلستان خوابگاه دانشگاه زود پر می‌شود؛ سوئیس: WOKO/Juwo زوریخ و FMEL لوزان لیست انتظار طولانی — روز پذیرش ثبت‌نام کنید؛ Lugano/Fribourg/Neuchâtel/Bern/Lucerne آسان‌تر.</t>
        </is>
      </c>
      <c r="E25" s="5" t="inlineStr">
        <is>
          <t>ردیف‌های ۹–۱۰ جدول اصلی</t>
        </is>
      </c>
    </row>
    <row r="26">
      <c r="A26" s="3" t="inlineStr">
        <is>
          <t>اوت – اکتبر ۲۰۲۷</t>
        </is>
      </c>
      <c r="B26" s="4" t="inlineStr">
        <is>
          <t>شروع</t>
        </is>
      </c>
      <c r="C26" s="4" t="inlineStr">
        <is>
          <t>همه</t>
        </is>
      </c>
      <c r="D26" s="4" t="inlineStr">
        <is>
          <t>سوئد ≈ ۳۰ اوت؛ دانمارک ۱ سپتامبر؛ هلند اوایل سپتامبر؛ سوئیس اواسط سپتامبر (ETH ۲۰ سپتامبر؛ USI/HSLU هفتهٔ ۳۸)؛ انگلستان اواسط تا اواخر سپتامبر؛ آلمان ترم زمستان از ۱ اکتبر (کلاس‌ها ≈ اواسط اکتبر).</t>
        </is>
      </c>
      <c r="E26" s="5" t="inlineStr">
        <is>
          <t>—</t>
        </is>
      </c>
    </row>
    <row r="28" ht="60" customHeight="1">
      <c r="A28" s="14" t="inlineStr">
        <is>
          <t>جمع‌بندی: ورودی سپتامبر ۲۰۲۷ شدنی است، فقط اگر (۱) IELTS تا دسامبر ۲۰۲۶ خارج از ایران گرفته شود، (۲) پول سال اول تا می ۲۰۲۷ نقد و قابل انتقال باشد، (۳) وضعیت نظام‌وظیفه/مجوز خروج روشن باشد. ETH (۳۰ نوامبر)، سوئد، دانمارک و Stuttgart (۱۵ ژانویه) سخت‌ترین‌اند؛ سوئیسِ واقع‌بینانه (USI/Bern/Basel/ZHAW تا ۳۰ آوریل؛ UZH/Fribourg ۲۸ فوریه)، انگلستان، هلند و بیشتر آلمان تا بهار ۲۰۲۷ وقت دارند — اگر IELTS به ژانویه نرسید، تمرکز را روی این‌ها بگذارید. مهلت‌های علامت «≈» از منابع ثانویه‌اند؛ تاریخ دقیق را از صفحهٔ برنامه بگیرید.</t>
        </is>
      </c>
    </row>
  </sheetData>
  <mergeCells count="1">
    <mergeCell ref="A28:E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موضوع</t>
        </is>
      </c>
      <c r="B1" s="1" t="inlineStr">
        <is>
          <t>جمع‌بندی</t>
        </is>
      </c>
    </row>
    <row r="2">
      <c r="A2" s="4" t="inlineStr">
        <is>
          <t>رتبه‌بندی هزینه کل تا فارغ‌التحصیلی</t>
        </is>
      </c>
      <c r="B2" s="4" t="inlineStr">
        <is>
          <t>آلمان $27–36k  &lt;  انگلستان $38–65k (۱ سال)  &lt;  سوئد $54–65k  &lt;  دانمارک $63–76k  &lt;  هلند $75–90k. سوئیس گسترده‌ترین بازه را دارد: $35–84k — Neuchâtel/Fribourg (۱.۵ سال) $35–47k کنار انگلستان، Bern $39–51k، UZH $45–58k، HSLU $53–64k، USI/EPFL $60–75k، ETH $66–84k کنار هلند</t>
        </is>
      </c>
    </row>
    <row r="3">
      <c r="A3" s="4" t="inlineStr">
        <is>
          <t>فقط با انگلیسی (تحصیل + کار + اداری + اقامت)</t>
        </is>
      </c>
      <c r="B3" s="4" t="inlineStr">
        <is>
          <t>انگلستان کامل؛ هلند و سوئد برای زندگی/کار خوب ولی برای اقامت دائم/تابعیت زبان می‌خواهند (هلند B1 در راه، سوئد آزمون تابعیت)؛ سوئیس: تحصیل و Big Tech زوریخ انگلیسی، ولی اداری به زبان کانتون و PR/تابعیت با A2–B1 زبان محلی (۱۰ سال)؛ دانمارک و آلمان بدون زبان محلی هم بازار کار و هم PR محدود.</t>
        </is>
      </c>
    </row>
    <row r="4">
      <c r="A4" s="4" t="inlineStr">
        <is>
          <t>بازار کار و حقوق جونیور</t>
        </is>
      </c>
      <c r="B4" s="4" t="inlineStr">
        <is>
          <t>حقوق ناخالص: سوئیس (CHF 85–105k) ≫ دانمارک &gt; آلمان &gt; هلند ≈ سوئد &gt; انگلستان. دسترسی برای جونیورِ فقط‌انگلیسی: هلند &gt; آلمان ≈ سوئیس (فقط شرکت‌های بزرگ، ۶ ماه فرصت) &gt; سوئد ≈ دانمارک ≈ انگلستان.</t>
        </is>
      </c>
    </row>
    <row r="5">
      <c r="A5" s="4" t="inlineStr">
        <is>
          <t>نتیجه با وزن برابر برای ۳ معیار</t>
        </is>
      </c>
      <c r="B5" s="4" t="inlineStr">
        <is>
          <t>آلمان ۲۲ › سوئد ۱۹ = انگلستان ۱۹ › هلند ۱۸ = سوئیس ۱۸ › دانمارک ۱۶.  با حذف ایرلند، هیچ کشوری هر سه معیار را با هم نمی‌دهد: آلمان ارزان‌ترین (ولی آلمانی)، انگلستان تنها گزینهٔ کاملاً انگلیسی (ولی گران و بازار جونیور ضعیف)، سوئیس بالاترین حقوق (ولی گران‌ترین زندگی، ۶ ماه فرصت کار، زبان محلی برای PR). پیشنهاد: ۲ برنامه آلمان (Stuttgart + Passau/Saarland) + ۲ برنامه سوئیس با شانس واقعی (USI Lugano + HSLU یا Joint MSc CS در Neuchâtel/Fribourg) + ۱–۲ گزینهٔ ارزان انگلستان (Teesside/Northumbria) به‌عنوان مسیر تماماً انگلیسی؛ ETH/EPFL فقط اگر حاضرید CHF 150 را برای یک شانس کم خرج کنید. تصمیم نهایی با پذیرش/بورس و وضعیت سفارت‌ها در بهار ۲۰۲۷.</t>
        </is>
      </c>
    </row>
    <row r="6">
      <c r="A6" s="4" t="inlineStr">
        <is>
          <t>ریسک شماره یک</t>
        </is>
      </c>
      <c r="B6" s="4" t="inlineStr">
        <is>
          <t>دسترسی به سفارت‌ها از داخل ایران (ردیف ۲۳): در سپتامبر ۲۰۲۶ فقط سوئیس (ویزای D با وقت قبلی) و تا حدی سوئد (آنلاین) از تهران قابل اقدام‌اند؛ آلمان، هلند، دانمارک و انگلستان خدمات عادی ندارند. برای سوئیس گلوگاه به‌جای سفارت، اثبات تمکن CHF 21,000 در بانک سوئیسی (کانتون زوریخ) است. از الان هزینه «برنامه B» (اقدام از ترکیه/ارمنستان/امارات) را در بودجه ببینید.</t>
        </is>
      </c>
    </row>
    <row r="7">
      <c r="A7" s="4" t="inlineStr">
        <is>
          <t>برنامه زمانی ورودی سپتامبر ۲۰۲۷ (فشرده — جزئیات در شیت «برنامهٔ زمانی ۲۰۲۷»)</t>
        </is>
      </c>
      <c r="B7" s="4" t="inlineStr">
        <is>
          <t>اکتبر ۲۰۲۶: نظام‌وظیفه + رزرو IELTS خارج از ایران + مدارک · ۱۶ اکتبر: باز شدن سوئد · ۱–۳۰ نوامبر: پنجرهٔ ETH (Reach) · نوامبر–دسامبر: IELTS + VPD uni-assist · ۱۵ دسامبر: دور اول EPFL · ۱۵ ژانویه ۲۰۲۷: مهلت سوئد / AAU / Stuttgart · ۱ فوریه: مدارک سوئد + SDU · ۲۸ فوریه: UZH و Fribourg (ویزایی‌ها) · فوریه–مارس: انگلستان + پرونده‌های سوئیس · ۱ آوریل: Radboud + HSLU (ویزایی‌ها) · ۳۰ آوریل: USI / Neuchâtel / Bern / Basel / ZHAW · ۱ می: Twente · ۳۱ می: Passau · می–ژوئن: پول (سوئیس CHF 21,000 + شهریه) + ویزا یا برنامهٔ B · اوت–اکتبر: شروع (سوئیس اواسط سپتامبر).</t>
        </is>
      </c>
    </row>
    <row r="8">
      <c r="A8" s="4" t="inlineStr">
        <is>
          <t>سه پیش‌نیاز عملی ورودی ۲۰۲۷</t>
        </is>
      </c>
      <c r="B8" s="4" t="inlineStr">
        <is>
          <t>(۱) آزمون زبان: IELTS و TOEFL در ایران برگزار نمی‌شوند → سفر به ترکیه/ارمنستان/امارات/گرجستان تا دسامبر ۲۰۲۶. (۲) نظام‌وظیفه: بدون کارت/معافیت، خروج تحصیلی فقط با مجوز سخا + وثیقهٔ ۲۰۰ میلیون تومان + پذیرش از دانشگاه مورد تأیید وزارت علوم. (۳) نقدینگی: شهریه/تمکن سال اول باید تا می–ژوئن ۲۰۲۷ قابل انتقال باشد (SDU یک سال کامل پیش‌پرداخت). اگر یکی از این سه تا ژانویه ۲۰۲۷ حل نشود، هدف واقع‌بینانه سوئیس (USI/Bern/Basel/ZHAW تا ۳۰ آوریل)، انگلستان، هلند و آلمان با مهلت‌های بهار ۲۰۲۷ است — یا ورودی ۲۰۲۸. برای سوئیس علاوه بر این سه، «ضامن مقیم یا حساب بانکی قابل قبول کانتون» پیش‌نیاز چهارم است.</t>
        </is>
      </c>
    </row>
    <row r="9">
      <c r="A9" s="4" t="inlineStr">
        <is>
          <t>تغییرات اصلی نسبت به جدول اول</t>
        </is>
      </c>
      <c r="B9" s="4" t="inlineStr">
        <is>
          <t>• ردیف ۵ب (بورس/تخفیف شهریهٔ واقعاً در دسترس شما) اضافه شد — ۲۸ سپتامبر ۲۰۲۶؛ امتیازها را عوض نمی‌کند
• هزینه کل دوره اضافه شد (هلند از «نیاز به تأمین سال دوم» به گران‌ترین گزینه تبدیل شد)
• فقط انگلستان (به خواست شما): Strathclyde و Swansea حذف شدند؛ گزینه‌ها Teesside £17,000 · Northumbria £21,500 · Leicester £24,250 · Essex £24,675 · Brunel £24,795 · York £32,900؛ Graduate visa ۱۸ ماه؛ کف اسپانسری £54,700 / £38,290؛ طرح PR ۱۰ ساله؛ عوارض £925 از ۲۰۲۸ شامل همهٔ گزینه‌ها
• کف حقوق ۲۰۲۶ همه کشورها به‌روز شد (آلمان €50,700/€45,934؛ هلند €3,122/ماه؛ سوئد SEK 34,470)
• ایرلند به خواست شما به‌کلی حذف و سوئیس جایگزین شد (سپتامبر ۲۰۲۶): شهریه‌های 2026/27 ETH/EPFL/UZH/USI/ZHAW/HSLU، تمکن CHF 21,000، ۶ ماه جست‌وجوی کار، سهمیهٔ غیر-EU، اجازهٔ C ۱۰ ساله، حقوق جونیور CHF 85–105k، سفارت تهران (ویزای D فعال)
• سوئد: کار دانشجویی ۱۵ ساعت/هفته (ژوئن ۲۰۲۶)؛ شهروندی ۸ سال؛ «BTH یک‌ساله» حذف شد؛ خوابگاه فقط LiU
• QS 2027؛ شهریه‌های واقعی 2026/27؛ «۷۵٪ قبولی» حذف شد
• «۱۰۰٪ انگلیسی» برای هلند/سوئد/دانمارک تعدیل شد؛ دانمارک PD2/PD3 تفکیک شد
• ردیف ویزا برای وضعیت ۲۰۲۶ بازنویسی شد؛ ردیف‌های IELTS، تمکن مالی، پس‌انداز، شهروندی و امتیاز اضافه شد</t>
        </is>
      </c>
    </row>
    <row r="10">
      <c r="A10" s="4" t="inlineStr">
        <is>
          <t>چرا «انگلستان» و نه «بریتانیا»</t>
        </is>
      </c>
      <c r="B10" s="4" t="inlineStr">
        <is>
          <t>به خواست شما فقط دانشگاه‌های انگلستان مقایسه شده‌اند. قوانین ویزا، کار و اقامت در کل بریتانیا یکسان است؛ سه تفاوت عملی: (۱) ارزان‌ترین گزینه‌های انگلستان (Teesside £17,000، Northumbria £21,500) از Swansea/Strathclyde ارزان‌ترند → کل دوره از $48–71k به $38–65k رسید؛ (۲) عوارض £925 به ازای هر دانشجو از اوت ۲۰۲۸ فقط دانشگاه‌های انگلستان را می‌گیرد — یعنی همهٔ گزینه‌های شما؛ (۳) بازار کار فناوری بریتانیا عملاً در انگلستان است (London، Manchester، Cambridge، Bristol، Leeds) — حذف اسکاتلند/ولز به فرصت شغلی لطمه نمی‌زند. برای شهریهٔ کمتر باید رتبهٔ پایین‌تر را بپذیرید: Teesside/Chester بدون رتبه QS، Northumbria ≈ ۵۲۸، Essex ≈ ۴۳۸؛ York (۱۵۸) و Newcastle (۱۴۹) تقریباً دوبرابر گران‌ترند.</t>
        </is>
      </c>
    </row>
    <row r="11">
      <c r="A11" s="4" t="inlineStr">
        <is>
          <t>نکته پروفایل</t>
        </is>
      </c>
      <c r="B11" s="4" t="inlineStr">
        <is>
          <t>معدل (۱۵.۷۷ طبق جدول اول؛ ۱۵.۷۰ طبق نقد دوم — تفاوتی در نتیجه ندارد) برای همه برنامه‌های بالا بالاتر از حداقل است. مهم‌تر از معدل، تطابق ریزنمرات با پیش‌نیازها (ریاضی، الگوریتم، CS نظری) و SOP با تکیه بر ۲ سال سابقه کار + بازی‌سازی + پروژه‌های گیت‌هاب است.</t>
        </is>
      </c>
    </row>
    <row r="12">
      <c r="A12" s="4" t="inlineStr">
        <is>
          <t>اعداد را چگونه بخوانم</t>
        </is>
      </c>
      <c r="B12" s="4" t="inlineStr">
        <is>
          <t>مبالغ سطح 2026/27 هستند؛ نرخ 2027/28 (سال ورود شما) بین اکتبر ۲۰۲۶ تا بهار ۲۰۲۷ منتشر می‌شود — جایی که رسمی بود (TU/e €22,400، Surrey £26,900، Gothenburg SEK 294k کل) در جدول آمده؛ برای بقیه فعلاً ۳–۵٪ اضافه کنید. نرخ تبدیل ۲۷ سپتامبر ۲۰۲۶: €1 = $1.14 · £1 = $1.325 · $1 ≈ SEK 9.9 · $1 ≈ DKK 6.55 · CHF 1 = $1.21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s="1" t="inlineStr">
        <is>
          <t>موضوع</t>
        </is>
      </c>
      <c r="B1" s="1" t="inlineStr">
        <is>
          <t>لینک (بازدید ۲۷ سپتامبر ۲۰۲۶)</t>
        </is>
      </c>
    </row>
    <row r="2">
      <c r="A2" s="4" t="inlineStr">
        <is>
          <t>آلمان – EU Blue Card 2026 (€50,700 / €45,934.20)</t>
        </is>
      </c>
      <c r="B2" s="16" t="inlineStr">
        <is>
          <t>https://www.make-it-in-germany.com/en/visa-residence/types/eu-blue-card</t>
        </is>
      </c>
    </row>
    <row r="3">
      <c r="A3" s="4" t="inlineStr">
        <is>
          <t>آلمان – Sperrkonto €992/ماه (2026)</t>
        </is>
      </c>
      <c r="B3" s="16" t="inlineStr">
        <is>
          <t>https://www.make-it-in-germany.com/en/study-training/study/financing</t>
        </is>
      </c>
    </row>
    <row r="4">
      <c r="A4" s="4" t="inlineStr">
        <is>
          <t>آلمان – Niederlassungserlaubnis §18c (فارغ‌التحصیلان، ۲ سال، B1)</t>
        </is>
      </c>
      <c r="B4" s="16" t="inlineStr">
        <is>
          <t>https://www.make-it-in-germany.com/en/visa-residence/living-permanently/permanent-residence</t>
        </is>
      </c>
    </row>
    <row r="5">
      <c r="A5" s="4" t="inlineStr">
        <is>
          <t>آلمان – Stuttgart MSc Computer Science (انگلیسی، IELTS 7، €1,500/ترم)</t>
        </is>
      </c>
      <c r="B5" s="16" t="inlineStr">
        <is>
          <t>https://www.uni-stuttgart.de/en/study/study-programs/Computer-Science-M.Sc./</t>
        </is>
      </c>
    </row>
    <row r="6">
      <c r="A6" s="4" t="inlineStr">
        <is>
          <t>آلمان – FAU MSc Artificial Intelligence (انگلیسی، B2)</t>
        </is>
      </c>
      <c r="B6" s="16" t="inlineStr">
        <is>
          <t>https://www.ai.study.fau.eu/prospective-students/living-studying-in-germany/language-proficiency/</t>
        </is>
      </c>
    </row>
    <row r="7">
      <c r="A7" s="4" t="inlineStr">
        <is>
          <t>آلمان – TU Darmstadt MSc Computer Science</t>
        </is>
      </c>
      <c r="B7" s="16" t="inlineStr">
        <is>
          <t>https://www.informatik.tu-darmstadt.de/studium_fb20/im_studium/studiengaenge_liste/computer_science_msc.en.jsp</t>
        </is>
      </c>
    </row>
    <row r="8">
      <c r="A8" s="4" t="inlineStr">
        <is>
          <t>آلمان – TU Dresden MSc Computer Science admission</t>
        </is>
      </c>
      <c r="B8" s="16" t="inlineStr">
        <is>
          <t>https://tu-dresden.de/ing/informatik/studium/studienangebot/master-studiengaenge/m-sc-computer-science/admission?set_language=en</t>
        </is>
      </c>
    </row>
    <row r="9">
      <c r="A9" s="4" t="inlineStr">
        <is>
          <t>آلمان – TLScontact Tehran (لیست انتظار دانشجویی)</t>
        </is>
      </c>
      <c r="B9" s="16" t="inlineStr">
        <is>
          <t>https://visas-de.tlscontact.com/en-us/country/ir/vac/irTHR2de</t>
        </is>
      </c>
    </row>
    <row r="10">
      <c r="A10" s="4" t="inlineStr">
        <is>
          <t>آلمان – وضعیت سفارت تهران (Iran International، اوت ۲۰۲۶)</t>
        </is>
      </c>
      <c r="B10" s="16" t="inlineStr">
        <is>
          <t>https://www.iranintl.com/en/202608115899</t>
        </is>
      </c>
    </row>
    <row r="11">
      <c r="A11" s="4" t="inlineStr">
        <is>
          <t>آلمان – Fintiba: ساکنان ایران پذیرفته نمی‌شوند</t>
        </is>
      </c>
      <c r="B11" s="16" t="inlineStr">
        <is>
          <t>https://www.simplegermany.com/best-blocked-account-germany/</t>
        </is>
      </c>
    </row>
    <row r="12">
      <c r="A12" s="4" t="inlineStr">
        <is>
          <t>آلمان – حقوق توسعه‌دهنده (StepStone)</t>
        </is>
      </c>
      <c r="B12" s="16" t="inlineStr">
        <is>
          <t>https://www.stepstone.de/gehalt/Software-Entwickler-in.html</t>
        </is>
      </c>
    </row>
    <row r="13">
      <c r="A13" s="4" t="inlineStr">
        <is>
          <t>هلند – IND مبالغ ۲۰۲۶ (HSM €3,122 / €4,357؛ دانشجو €1,130.77)</t>
        </is>
      </c>
      <c r="B13" s="16" t="inlineStr">
        <is>
          <t>https://ind.nl/en/required-amounts-income-requirements</t>
        </is>
      </c>
    </row>
    <row r="14">
      <c r="A14" s="4" t="inlineStr">
        <is>
          <t>هلند – Twente شهریه 2026/27 €21,700</t>
        </is>
      </c>
      <c r="B14" s="16" t="inlineStr">
        <is>
          <t>https://www.utwente.nl/en/education/master/programmes/computer-science/finance/</t>
        </is>
      </c>
    </row>
    <row r="15">
      <c r="A15" s="4" t="inlineStr">
        <is>
          <t>هلند – Twente حداقل معدل برای مدرک ایرانی (۱۵/۲۰)</t>
        </is>
      </c>
      <c r="B15" s="16" t="inlineStr">
        <is>
          <t>https://www.utwente.nl/en/education/master/programmes/european-studies/admission/international/</t>
        </is>
      </c>
    </row>
    <row r="16">
      <c r="A16" s="4" t="inlineStr">
        <is>
          <t>هلند – Twente QS 2027 = 223</t>
        </is>
      </c>
      <c r="B16" s="16" t="inlineStr">
        <is>
          <t>https://www.utwente.nl/en/about-us/impact-ambitions/rankings/</t>
        </is>
      </c>
    </row>
    <row r="17">
      <c r="A17" s="4" t="inlineStr">
        <is>
          <t>هلند – Radboud شهریهٔ رسمی 2026/27 غیر-EEA €19,714 (Data Science and AI؛ دانشکدهٔ علوم)</t>
        </is>
      </c>
      <c r="B17" s="16" t="inlineStr">
        <is>
          <t>https://www.ru.nl/en/education/masters/data-science-and-ai/tuition</t>
        </is>
      </c>
    </row>
    <row r="18">
      <c r="A18" s="4" t="inlineStr">
        <is>
          <t>هلند – MVV در ایران (سفارت در باکو)</t>
        </is>
      </c>
      <c r="B18" s="16" t="inlineStr">
        <is>
          <t>https://www.netherlandsworldwide.nl/visa-the-netherlands/mvv-long-stay/apply-iran</t>
        </is>
      </c>
    </row>
    <row r="19">
      <c r="A19" s="4" t="inlineStr">
        <is>
          <t>هلند – B1 برای PR/تابعیت (تصمیم کابینه ۲۰۲۶)</t>
        </is>
      </c>
      <c r="B19" s="16" t="inlineStr">
        <is>
          <t>https://thedutchdaily.nl/dutch-citizenship-b1-language-requirement-confirmed-2026/</t>
        </is>
      </c>
    </row>
    <row r="20">
      <c r="A20" s="4" t="inlineStr">
        <is>
          <t>سوئد – قوانین جدید اقامت تحصیلی از ۱۱ ژوئن ۲۰۲۶ (۱۵ ساعت/هفته)</t>
        </is>
      </c>
      <c r="B20" s="16" t="inlineStr">
        <is>
          <t>https://www.migrationsverket.se/nyheter/news-archive/2026-05-25-new-rules-for-residence-permits-for-studies-in-higher-education.html</t>
        </is>
      </c>
    </row>
    <row r="21">
      <c r="A21" s="4" t="inlineStr">
        <is>
          <t>سوئد – قوانین جدید مجوز کار از ۱ ژوئن ۲۰۲۶ (SEK 34,470)</t>
        </is>
      </c>
      <c r="B21" s="16" t="inlineStr">
        <is>
          <t>https://www.migrationsverket.se/nyheter/news-archive/2026-04-17-new-rules-for-work-permits-from-1-june-2026.html</t>
        </is>
      </c>
    </row>
    <row r="22">
      <c r="A22" s="4" t="inlineStr">
        <is>
          <t>سوئد – گروه‌های معاف (فارغ‌التحصیلان ۷۵٪)</t>
        </is>
      </c>
      <c r="B22" s="16" t="inlineStr">
        <is>
          <t>https://eiglaw.com/sweden-publishes-exempt-occupations-for-new-salary-rule/</t>
        </is>
      </c>
    </row>
    <row r="23">
      <c r="A23" s="4" t="inlineStr">
        <is>
          <t>سوئد – مجوز ۱۲ ماهه جست‌وجوی کار و تمکن SEK 10,656</t>
        </is>
      </c>
      <c r="B23" s="16" t="inlineStr">
        <is>
          <t>https://www.migrationsverket.se/en/you-want-to-extend/study/look-for-work-after-completing-your-studies-in-sweden.html</t>
        </is>
      </c>
    </row>
    <row r="24">
      <c r="A24" s="4" t="inlineStr">
        <is>
          <t>سوئد – Linköping MSc CS شهریه SEK 332,000 (کل)</t>
        </is>
      </c>
      <c r="B24" s="16" t="inlineStr">
        <is>
          <t>https://liu.se/en/education/program/6mics</t>
        </is>
      </c>
    </row>
    <row r="25">
      <c r="A25" s="4" t="inlineStr">
        <is>
          <t>سوئد – BTH MSc Software Engineering 120 credits (SEK 70,000/ترم)</t>
        </is>
      </c>
      <c r="B25" s="16" t="inlineStr">
        <is>
          <t>https://www.bth.se/english/education/programmes/masters-programme-in-software-engineering-120-credits</t>
        </is>
      </c>
    </row>
    <row r="26">
      <c r="A26" s="4" t="inlineStr">
        <is>
          <t>سوئد – BTH برنامه ۶۰ واحدی (از راه دور، نیمه‌وقت، ۲ سال سابقه)</t>
        </is>
      </c>
      <c r="B26" s="16" t="inlineStr">
        <is>
          <t>https://www.bth.se/english/education/programmes/masters-programme-in-software-engineering-60-credits</t>
        </is>
      </c>
    </row>
    <row r="27">
      <c r="A27" s="4" t="inlineStr">
        <is>
          <t>سوئد – Halmstad MSc Information Technology شهریه</t>
        </is>
      </c>
      <c r="B27" s="16" t="inlineStr">
        <is>
          <t>https://www.mastersportal.com/studies/22787/information-technology.html</t>
        </is>
      </c>
    </row>
    <row r="28">
      <c r="A28" s="4" t="inlineStr">
        <is>
          <t>سوئد – Halmstad مسکن (بدون تضمین)</t>
        </is>
      </c>
      <c r="B28" s="16" t="inlineStr">
        <is>
          <t>https://www.hh.se/english/education/student-life/find-accommodation.html</t>
        </is>
      </c>
    </row>
    <row r="29">
      <c r="A29" s="4" t="inlineStr">
        <is>
          <t>سوئد – شهروندی ۸ ساله از ژوئن ۲۰۲۶</t>
        </is>
      </c>
      <c r="B29" s="16" t="inlineStr">
        <is>
          <t>https://www.imidaily.com/europe/sweden-passes-law-curtailing-naturalization-8-year-wait-income-floor/</t>
        </is>
      </c>
    </row>
    <row r="30">
      <c r="A30" s="4" t="inlineStr">
        <is>
          <t>سوئد – اطلاعیه مهاجرتی سفارت تهران</t>
        </is>
      </c>
      <c r="B30" s="16" t="inlineStr">
        <is>
          <t>https://www.swedenabroad.se/globalassets/ambassader/iran-teheran/documents/migration-issues/new-folder/english-versin.pdf</t>
        </is>
      </c>
    </row>
    <row r="31">
      <c r="A31" s="4" t="inlineStr">
        <is>
          <t>دانمارک – Pay Limit Scheme 2026</t>
        </is>
      </c>
      <c r="B31" s="16" t="inlineStr">
        <is>
          <t>https://www.nyidanmark.dk/pl-PL/You-want-to-apply/Work/Pay-limit-scheme</t>
        </is>
      </c>
    </row>
    <row r="32">
      <c r="A32" s="4" t="inlineStr">
        <is>
          <t>دانمارک – برنامه‌های آموزش عالی: ۹۰ ساعت/ماه، ۶ ماه یا ۳ سال جست‌وجوی کار</t>
        </is>
      </c>
      <c r="B32" s="16" t="inlineStr">
        <is>
          <t>https://www.nyidanmark.dk/en-GB/You-want-to-apply/Study/Higher-Education</t>
        </is>
      </c>
    </row>
    <row r="33">
      <c r="A33" s="4" t="inlineStr">
        <is>
          <t>دانمارک – مجوز ۳ ساله جست‌وجوی کار</t>
        </is>
      </c>
      <c r="B33" s="16" t="inlineStr">
        <is>
          <t>https://www.nyidanmark.dk/de-DE/You-want-to-apply/Study/Study---job-seeking/Study---3-years-job-seeking</t>
        </is>
      </c>
    </row>
    <row r="34">
      <c r="A34" s="4" t="inlineStr">
        <is>
          <t>دانمارک – اقامت دائم</t>
        </is>
      </c>
      <c r="B34" s="16" t="inlineStr">
        <is>
          <t>https://www.nyidanmark.dk/de-DE/You-want-to-apply/Permanent-residence-permit/Permanent-residence</t>
        </is>
      </c>
    </row>
    <row r="35">
      <c r="A35" s="4" t="inlineStr">
        <is>
          <t>دانمارک – تمکن DKK 7,426 (2026)</t>
        </is>
      </c>
      <c r="B35" s="16" t="inlineStr">
        <is>
          <t>https://nyidanmark.dk/en-GB/Words-and-concepts/SIRI/Self-support---SIRI</t>
        </is>
      </c>
    </row>
    <row r="36">
      <c r="A36" s="4" t="inlineStr">
        <is>
          <t>دانمارک – AAU Computer Science (IT) شهریه €7,455/ترم</t>
        </is>
      </c>
      <c r="B36" s="16" t="inlineStr">
        <is>
          <t>https://studyindenmark.dk/portal/aalborg-university-aau/aalborg/computer-science-it-msc</t>
        </is>
      </c>
    </row>
    <row r="37">
      <c r="A37" s="4" t="inlineStr">
        <is>
          <t>دانمارک – SDU شهریهٔ رسمی از ورودی ۲۰۲۶: Science/Engineering €17,300 در سال</t>
        </is>
      </c>
      <c r="B37" s="16" t="inlineStr">
        <is>
          <t>https://www.sdu.dk/en/uddannelse/fees_and_funding/tuition</t>
        </is>
      </c>
    </row>
    <row r="38">
      <c r="A38" s="4" t="inlineStr">
        <is>
          <t>دانمارک – SDU MSc Computer Science (ظرفیت محدود، €17,300)</t>
        </is>
      </c>
      <c r="B38" s="16" t="inlineStr">
        <is>
          <t>https://www.sdu.dk/en/uddannelse/kandidat/datalogi/adgangskrav</t>
        </is>
      </c>
    </row>
    <row r="39">
      <c r="A39" s="4" t="inlineStr">
        <is>
          <t>دانمارک – سفارت تهران (درخواست از ایران ممکن نیست)</t>
        </is>
      </c>
      <c r="B39" s="16" t="inlineStr">
        <is>
          <t>https://iran.um.dk/en</t>
        </is>
      </c>
    </row>
    <row r="40">
      <c r="A40" s="4" t="inlineStr">
        <is>
          <t>دانمارک – IDA حقوق شروع ۲۰۲۶</t>
        </is>
      </c>
      <c r="B40" s="16" t="inlineStr">
        <is>
          <t>https://studerende.ida.dk/snart-nyuddannet/loen/softwareingenioer-loen-saa-meget-kommer-du-til-at-tjene/</t>
        </is>
      </c>
    </row>
    <row r="41">
      <c r="A41" s="4" t="inlineStr">
        <is>
          <t>بورس – LiU International Scholarship: معمولاً ۵۰٪؛ شرط جدید ۲۰۲۶ (GPA ≥ 3.5/4 یا first/high second class)؛ فقط اولویت ۱</t>
        </is>
      </c>
      <c r="B41" s="16" t="inlineStr">
        <is>
          <t>https://liu.se/en/article/scholarships</t>
        </is>
      </c>
    </row>
    <row r="42">
      <c r="A42" s="4" t="inlineStr">
        <is>
          <t>بورس – Chalmers: بورس‌های شهریه‌پردازها (IPOET ۷۵٪ با حداقل معدل ۸۰٪، Avancez)</t>
        </is>
      </c>
      <c r="B42" s="16" t="inlineStr">
        <is>
          <t>https://www.chalmers.se/en/education/application-and-admission/scholarships-for-fee-paying-students/</t>
        </is>
      </c>
    </row>
    <row r="43">
      <c r="A43" s="4" t="inlineStr">
        <is>
          <t>بورس – Halmstad University Scholarship ۲۵٪/۵۰٪ برای غیر-EU (ثانویه؛ hh.se را چک کنید)</t>
        </is>
      </c>
      <c r="B43" s="16" t="inlineStr">
        <is>
          <t>https://www.mastersportal.com/scholarships/10077/halmstad-university-scholarships.html</t>
        </is>
      </c>
    </row>
    <row r="44">
      <c r="A44" s="4" t="inlineStr">
        <is>
          <t>بورس – MDU: بورس تا ۱۰۰٪ شهریه برای متقاضیان اولویت ۱ (ثانویه؛ mdu.se را چک کنید)</t>
        </is>
      </c>
      <c r="B44" s="16" t="inlineStr">
        <is>
          <t>https://daadscholarship.com/malardalen-university-scholarships-2026-to-study-for-free-in-sweden/</t>
        </is>
      </c>
    </row>
    <row r="45">
      <c r="A45" s="4" t="inlineStr">
        <is>
          <t>بورس – SI Scholarship for Global Professionals: ۳۴ کشور واجد شرایط — ایران نیست (رسمی)</t>
        </is>
      </c>
      <c r="B45" s="16" t="inlineStr">
        <is>
          <t>https://si.se/en/apply/scholarships/swedish-institute-scholarships-for-global-professionals/</t>
        </is>
      </c>
    </row>
    <row r="46">
      <c r="A46" s="4" t="inlineStr">
        <is>
          <t>بورس – NL Scholarship (سابقاً Holland Scholarship): €5,000 سال اول برای غیر-EEA، از طریق دانشگاه‌های عضو</t>
        </is>
      </c>
      <c r="B46" s="16" t="inlineStr">
        <is>
          <t>https://www.mastersportal.com/scholarships/988/holland-scholarship-for-non-eea-international-students.html</t>
        </is>
      </c>
    </row>
    <row r="47">
      <c r="A47" s="4" t="inlineStr">
        <is>
          <t>بورس – AAU: ≈ ۱۵ بورس دولتی در سال، معافیت شهریه + DKK 11,225/ماه (۲۰۲۶)، بررسی خودکار (رسمی)</t>
        </is>
      </c>
      <c r="B47" s="16" t="inlineStr">
        <is>
          <t>https://www.en.aau.dk/education/apply/master/finance-and-fees</t>
        </is>
      </c>
    </row>
    <row r="48">
      <c r="A48" s="4" t="inlineStr">
        <is>
          <t>بورس – ETH Excellence Scholarship &amp; Opportunity Programme: CHF 12,000/ترم + معافیت؛ ۱۰٪ بالای کلاس؛ ۱–۳۰ نوامبر</t>
        </is>
      </c>
      <c r="B48" s="16" t="inlineStr">
        <is>
          <t>https://ethz.ch/en/studies/financial/scholarships/excellencescholarship.html</t>
        </is>
      </c>
    </row>
    <row r="49">
      <c r="A49" s="4" t="inlineStr">
        <is>
          <t>بورس – USI: بورس‌های Fondazione per le Facoltà di Lugano (CHF 4,000؛ سال اول با معدل ≥ ۸۰/۱۰۰؛ سال دوم بهترینِ هر برنامه) — خبر رسمی USI</t>
        </is>
      </c>
      <c r="B49" s="16" t="inlineStr">
        <is>
          <t>https://www.eco.usi.ch/en/feeds/9861</t>
        </is>
      </c>
    </row>
    <row r="50">
      <c r="A50" s="4" t="inlineStr">
        <is>
          <t>بورس – Essex Academic Excellence International Masters Scholarship: جدول کشوری (ایران ۱۴/۲۰ → £4,500؛ جدول ۲۰۲۵–۲۶)</t>
        </is>
      </c>
      <c r="B50" s="16" t="inlineStr">
        <is>
          <t>https://www.essex.ac.uk/scholarships</t>
        </is>
      </c>
    </row>
    <row r="51">
      <c r="A51" s="4" t="inlineStr">
        <is>
          <t>بورس – Teesside Global Excellence Scholarship £2,000 (پیشنهاد تا ۳۰ آوریل؛ رسمی)</t>
        </is>
      </c>
      <c r="B51" s="16" t="inlineStr">
        <is>
          <t>https://www.tees.ac.uk/sections/international/global_excellence_scholarship.cfm</t>
        </is>
      </c>
    </row>
    <row r="52">
      <c r="A52" s="4" t="inlineStr">
        <is>
          <t>بورس – Brunel Vice-Chancellor's Postgraduate International Excellence Award £6,000 (حداقل 2:1؛ ودیعهٔ £5,000)</t>
        </is>
      </c>
      <c r="B52" s="16" t="inlineStr">
        <is>
          <t>https://www.brunel.ac.uk/scholarships</t>
        </is>
      </c>
    </row>
    <row r="53">
      <c r="A53" s="4" t="inlineStr">
        <is>
          <t>بورس – Northumbria PGT International Scholarship £3,000: فهرست کشوری/ادامه‌تحصیلی‌های داخل UK — ایران نیست</t>
        </is>
      </c>
      <c r="B53" s="16" t="inlineStr">
        <is>
          <t>https://www.mastersportal.com/scholarships/3890/pgt-international-scholarships.html</t>
        </is>
      </c>
    </row>
    <row r="54">
      <c r="A54" s="4" t="inlineStr">
        <is>
          <t>بورس – Chevening eligibility (رسمی): ۲ سال کار بعد از مدرک کارشناسی + تعهد بازگشت ۲ ساله؛ مهلت ۶ اکتبر ۲۰۲۶</t>
        </is>
      </c>
      <c r="B54" s="16" t="inlineStr">
        <is>
          <t>https://www.chevening.org/resource-hub/guidance/eligibility/</t>
        </is>
      </c>
    </row>
    <row r="55">
      <c r="A55" s="4" t="inlineStr">
        <is>
          <t>بورس – Deutschlandstipendium €300/ماه (رسمی)</t>
        </is>
      </c>
      <c r="B55" s="16" t="inlineStr">
        <is>
          <t>https://www.deutschlandstipendium.de/</t>
        </is>
      </c>
    </row>
    <row r="56">
      <c r="A56" s="4" t="inlineStr">
        <is>
          <t>سوئیس – ETH: تاریخ‌های اپلای ارشد پاییز ۲۰۲۷ (۱–۳۰ نوامبر ۲۰۲۶؛ پاسخ تا پایان مارس؛ شروع ۲۰ سپتامبر ۲۰۲۷)</t>
        </is>
      </c>
      <c r="B56" s="16" t="inlineStr">
        <is>
          <t>https://ethz.ch/en/studies/master/application/dates.html</t>
        </is>
      </c>
    </row>
    <row r="57">
      <c r="A57" s="4" t="inlineStr">
        <is>
          <t>سوئیس – EPFL: شهریه CHF 2,240/ترم برای خارجی‌های غیرمقیم از پاییز ۲۰۲۵ (CHF 780 برای بقیه)</t>
        </is>
      </c>
      <c r="B57" s="16" t="inlineStr">
        <is>
          <t>https://www.epfl.ch/education/studies/en/rules-and-procedures/study-taxes/tuition-fee-other-fees/</t>
        </is>
      </c>
    </row>
    <row r="58">
      <c r="A58" s="4" t="inlineStr">
        <is>
          <t>سوئیس – EPFL: پنجره‌های اپلای ارشد (۱۵ دسامبر / ۳۱ مارس؛ یک برنامه در سال)</t>
        </is>
      </c>
      <c r="B58" s="16" t="inlineStr">
        <is>
          <t>https://www.epfl.ch/education/admission/admission-2/master-admission-criteria-application/online-application/</t>
        </is>
      </c>
    </row>
    <row r="59">
      <c r="A59" s="4" t="inlineStr">
        <is>
          <t>سوئیس – UZH: شهریه CHF 720 + 100 (خارجی، ارشد) + 59؛ هزینهٔ درخواست CHF 150</t>
        </is>
      </c>
      <c r="B59" s="16" t="inlineStr">
        <is>
          <t>https://www.uzh.ch/en/studies/application/fees.html</t>
        </is>
      </c>
    </row>
    <row r="60">
      <c r="A60" s="4" t="inlineStr">
        <is>
          <t>سوئیس – UZH: مهلت ویزایی‌ها ۲۸ فوریه / بدون ویزا ۳۰ آوریل (پاییز)</t>
        </is>
      </c>
      <c r="B60" s="16" t="inlineStr">
        <is>
          <t>https://www.oec.uzh.ch/en/studies/general/admission/master/faq-master-admission.html</t>
        </is>
      </c>
    </row>
    <row r="61">
      <c r="A61" s="4" t="inlineStr">
        <is>
          <t>سوئیس – USI MSc Informatics: CHF 4,000/ترم غیرمقیم، B2 در ورود → C1، مهلت غیر-EU ۳۰ آوریل</t>
        </is>
      </c>
      <c r="B61" s="16" t="inlineStr">
        <is>
          <t>https://www.usi.ch/en/education/master/informatics</t>
        </is>
      </c>
    </row>
    <row r="62">
      <c r="A62" s="4" t="inlineStr">
        <is>
          <t>سوئیس – USI MSc Artificial Intelligence: CHF 4,000/ترم، IELTS 6.5</t>
        </is>
      </c>
      <c r="B62" s="16" t="inlineStr">
        <is>
          <t>https://www.topuniversities.com/universities/usi-universita-della-svizzera-italiana/postgrad/master-science-artificial-intelligence</t>
        </is>
      </c>
    </row>
    <row r="63">
      <c r="A63" s="4" t="inlineStr">
        <is>
          <t>سوئیس – swissuniversities: شهریهٔ دانشگاه‌های علوم کاربردی 2026–27 (ZHAW 1,220؛ HSLU 1,300؛ OST 1,500؛ FHNW 1,000–5,000)</t>
        </is>
      </c>
      <c r="B63" s="16" t="inlineStr">
        <is>
          <t>https://www.swissuniversities.ch/en/themen/lehre-studium/information-on-studies/tuition-fees/tuition-fees-at-uas</t>
        </is>
      </c>
    </row>
    <row r="64">
      <c r="A64" s="4" t="inlineStr">
        <is>
          <t>سوئیس – ZHAW MSE: انگلیسی، 90 ECTS، پروفایل‌های CS/Data Science/Cyber، معدل A/B، مهلت پایان آوریل</t>
        </is>
      </c>
      <c r="B64" s="16" t="inlineStr">
        <is>
          <t>https://www.zhaw.ch/en/engineering/study/masters-degree-programme</t>
        </is>
      </c>
    </row>
    <row r="65">
      <c r="A65" s="4" t="inlineStr">
        <is>
          <t>سوئیس – HSLU MSc Applied Information &amp; Data Science: C1 (B2 مشروط)، آلمانی لازم نیست، هر کارشناسی</t>
        </is>
      </c>
      <c r="B65" s="16" t="inlineStr">
        <is>
          <t>https://www.hslu.ch/en/lucerne-school-of-business/degree-programmes/master/applied-information-and-data-science/haeufig-gestellte-fragen/</t>
        </is>
      </c>
    </row>
    <row r="66">
      <c r="A66" s="4" t="inlineStr">
        <is>
          <t>سوئیس – Bern: Swiss Joint MSc Computer Science (90 ECTS، انگلیسی، شرط کارشناسی CS)</t>
        </is>
      </c>
      <c r="B66" s="16" t="inlineStr">
        <is>
          <t>https://www.philnat.unibe.ch/studies/study_programs/master_s_in_computer_science/index_eng.html</t>
        </is>
      </c>
    </row>
    <row r="67">
      <c r="A67" s="4" t="inlineStr">
        <is>
          <t>سوئیس – Bern شهریه از پاییز ۲۰۲۶: CHF 850 + 1,700 اضافهٔ غیرسوئیسی‌ها + 34 + 25 در ترم (رسمی)</t>
        </is>
      </c>
      <c r="B67" s="16" t="inlineStr">
        <is>
          <t>https://www.unibe.ch/studies/organizational_matters/renewal_of_semester_registration/fees/index_eng.html</t>
        </is>
      </c>
    </row>
    <row r="68">
      <c r="A68" s="4" t="inlineStr">
        <is>
          <t>سوئیس – Joint MSc CS (Bern/Neuchâtel/Fribourg) FAQ رسمی: بدون آزمون زبان (B2 توصیه)، شرط کارشناسی CS یا معادل با حداکثر ۶۰ ECTS تکمیلی، مهلت‌های دیرهنگام</t>
        </is>
      </c>
      <c r="B68" s="16" t="inlineStr">
        <is>
          <t>https://mcs.unibnf.ch/faq/</t>
        </is>
      </c>
    </row>
    <row r="69">
      <c r="A69" s="4" t="inlineStr">
        <is>
          <t>سوئیس – Neuchâtel شهریهٔ خارجی‌ها CHF 790/ترم (رسمی)</t>
        </is>
      </c>
      <c r="B69" s="16" t="inlineStr">
        <is>
          <t>https://www.unine.ch/admission/taxes-universitaires/</t>
        </is>
      </c>
    </row>
    <row r="70">
      <c r="A70" s="4" t="inlineStr">
        <is>
          <t>سوئیس – Neuchâtel مهلت ارشد ۳۰ آوریل؛ خارجی‌ها یک ماه زودتر؛ هزینهٔ پرونده CHF 100 (رسمی)</t>
        </is>
      </c>
      <c r="B70" s="16" t="inlineStr">
        <is>
          <t>https://www.unine.ch/admission/admission-master/delais-et-frais-dinscription-pour-les-masters/</t>
        </is>
      </c>
    </row>
    <row r="71">
      <c r="A71" s="4" t="inlineStr">
        <is>
          <t>سوئیس – Fribourg شهریهٔ خارجی‌ها CHF 870 + 115 = 985/ترم (رسمی)</t>
        </is>
      </c>
      <c r="B71" s="16" t="inlineStr">
        <is>
          <t>https://www.unifr.ch/studies/en/organisation/administrative-services-unifr-students/university-fees/</t>
        </is>
      </c>
    </row>
    <row r="72">
      <c r="A72" s="4" t="inlineStr">
        <is>
          <t>سوئیس – Fribourg مهلت ارشد با مدرک خارجی: ویزایی‌ها ۱–۲۸ فوریه، بقیه تا ۳۰ آوریل (رسمی)</t>
        </is>
      </c>
      <c r="B72" s="16" t="inlineStr">
        <is>
          <t>https://www.unifr.ch/studies/en/admission/admission-master/admission-master-foreign.html</t>
        </is>
      </c>
    </row>
    <row r="73">
      <c r="A73" s="4" t="inlineStr">
        <is>
          <t>سوئیس – Basel MSc CS: 90 ECTS، انگلیسی، مهلت ۳۰ آوریل / ۳۰ نوامبر (رسمی)</t>
        </is>
      </c>
      <c r="B73" s="16" t="inlineStr">
        <is>
          <t>https://dmi.unibas.ch/en/studies/computer-science/masters/</t>
        </is>
      </c>
    </row>
    <row r="74">
      <c r="A74" s="4" t="inlineStr">
        <is>
          <t>سوئیس – Basel شهریه CHF 850/ترم برای همه + CHF 100 هزینهٔ درخواست (Uni Info 2026/27)</t>
        </is>
      </c>
      <c r="B74" s="16" t="inlineStr">
        <is>
          <t>https://www.unibas.ch/dam/jcr:28672e66-8562-4988-9e38-b1c944ed22bf/COMPUTER%20SCIENCE%202026.2026-02-05-09-53-32.pdf</t>
        </is>
      </c>
    </row>
    <row r="75">
      <c r="A75" s="4" t="inlineStr">
        <is>
          <t>سوئیس – HSLU MSc Applied Data Science and AI (نام جدید): مهلت ویزایی‌ها ۱ آوریل، CHF 1,300/ترم خارجی، CHF 250 درخواست، 120 ECTS (رسمی)</t>
        </is>
      </c>
      <c r="B75" s="16" t="inlineStr">
        <is>
          <t>https://www.hslu.ch/en/lucerne-school-of-business/degree-programmes/master/applied-data-science-and-ai/</t>
        </is>
      </c>
    </row>
    <row r="76">
      <c r="A76" s="4" t="inlineStr">
        <is>
          <t>سوئیس – USI مهلت‌های 2026/27: غیر-EU ۳۰ آوریل؛ هزینهٔ پرونده CHF 100 برای مدارک خارج از کنوانسیون لیسبون (رسمی)</t>
        </is>
      </c>
      <c r="B76" s="16" t="inlineStr">
        <is>
          <t>https://www.usi.ch/en/education/master/informatics/application</t>
        </is>
      </c>
    </row>
    <row r="77">
      <c r="A77" s="4" t="inlineStr">
        <is>
          <t>سوئیس – SEM FAQ: ۶ ماه جست‌وجوی کار برای فارغ‌التحصیلان؛ اولویت داخلی/EU؛ سهمیه</t>
        </is>
      </c>
      <c r="B77" s="16" t="inlineStr">
        <is>
          <t>https://www.sem.admin.ch/sem/en/home/themen/arbeit/faq.html</t>
        </is>
      </c>
    </row>
    <row r="78">
      <c r="A78" s="4" t="inlineStr">
        <is>
          <t>سوئیس – سهمیهٔ ۲۰۲۶ اتباع غیر-EU: ۴,۵۰۰ B + ۴,۰۰۰ L؛ شرایط FNIA</t>
        </is>
      </c>
      <c r="B78" s="16" t="inlineStr">
        <is>
          <t>https://goldblum.ch/knowledgebase/residence-permit-in-switzerland-obtain/</t>
        </is>
      </c>
    </row>
    <row r="79">
      <c r="A79" s="4" t="inlineStr">
        <is>
          <t>سوئیس – Art. 21(3) FNIA: معافیت از آزمون بازار کار ولی نه از سهمیه؛ طرح 22.067 اجرا نشده</t>
        </is>
      </c>
      <c r="B79" s="16" t="inlineStr">
        <is>
          <t>https://vshcherbakov.com/2025/06/26/Path-to-working-permit-for-Swiss-graduates/</t>
        </is>
      </c>
    </row>
    <row r="80">
      <c r="A80" s="4" t="inlineStr">
        <is>
          <t>سوئیس – اقامت تحصیلی ۲۰۲۶: CHF 21,000/سال، ۱۵ ساعت کار بعد از ۶ ماه، پردازش ۸–۱۲ هفته</t>
        </is>
      </c>
      <c r="B80" s="16" t="inlineStr">
        <is>
          <t>https://www.study-abroad.org/blog/ch-student-visa-guide/</t>
        </is>
      </c>
    </row>
    <row r="81">
      <c r="A81" s="4" t="inlineStr">
        <is>
          <t>سوئیس – کانتون زوریخ: تمکن فقط در بانک مستقر در سوئیس به نام خودتان یا ضامن مقیم (راهنمای ZHAW)</t>
        </is>
      </c>
      <c r="B81" s="16" t="inlineStr">
        <is>
          <t>https://www.zhaw.ch/storage/sml/master/msc-bf-pie-information-for-international-students.pdf</t>
        </is>
      </c>
    </row>
    <row r="82">
      <c r="A82" s="4" t="inlineStr">
        <is>
          <t>سوئیس – تفاوت کانتون‌ها: Basel CHF 24,000؛ زوریخ حساب سوئیسی</t>
        </is>
      </c>
      <c r="B82" s="16" t="inlineStr">
        <is>
          <t>https://gradpilot.com/news/switzerland-student-visa-motivation-letter-canton-guide</t>
        </is>
      </c>
    </row>
    <row r="83">
      <c r="A83" s="4" t="inlineStr">
        <is>
          <t>سوئیس – اجازهٔ C: ۱۰ سال برای اتباع کشور ثالث، A2 شفاهی/A1 کتبی؛ ۵ سال با B1</t>
        </is>
      </c>
      <c r="B83" s="16" t="inlineStr">
        <is>
          <t>https://relofinder.ch/blog/swiss-c-permit-permanent-residence-2026-guide/</t>
        </is>
      </c>
    </row>
    <row r="84">
      <c r="A84" s="4" t="inlineStr">
        <is>
          <t>سوئیس – اجازهٔ C: احتساب سال‌های تحصیل و شرایط ادغام</t>
        </is>
      </c>
      <c r="B84" s="16" t="inlineStr">
        <is>
          <t>https://www.richmondchambers.ch/post/swiss-c-permit-eligibility-required-years-of-residence-integration-expectations-and-fast-track-pa</t>
        </is>
      </c>
    </row>
    <row r="85">
      <c r="A85" s="4" t="inlineStr">
        <is>
          <t>سوئیس – سفارت تهران: ویزای D با وقت قبلی، ویزای C فعلاً نه (۳۰ ژانویه ۲۰۲۶)</t>
        </is>
      </c>
      <c r="B85" s="16" t="inlineStr">
        <is>
          <t>https://www.eda.admin.ch/countries/iran/en/home.html</t>
        </is>
      </c>
    </row>
    <row r="86">
      <c r="A86" s="4" t="inlineStr">
        <is>
          <t>سوئیس – حقوق مهندس نرم‌افزار ۲۰۲۶ (جونیور CHF 85–105k؛ خالص زوریخ)</t>
        </is>
      </c>
      <c r="B86" s="16" t="inlineStr">
        <is>
          <t>https://whatisthesalary.com/it-salaries/software-engineer-salary-in-switzerland/</t>
        </is>
      </c>
    </row>
    <row r="87">
      <c r="A87" s="4" t="inlineStr">
        <is>
          <t>سوئیس – Glassdoor: میانهٔ Junior Software Engineer زوریخ CHF 92k</t>
        </is>
      </c>
      <c r="B87" s="16" t="inlineStr">
        <is>
          <t>https://www.glassdoor.com/Salaries/z%C3%BCrich-junior-software-engineer-salary-SRCH_IL.0,6_IC3297851_KO7,31.htm</t>
        </is>
      </c>
    </row>
    <row r="88">
      <c r="A88" s="4" t="inlineStr">
        <is>
          <t>سوئیس – بازهٔ حقوق زوریخ ۲۰۲۶ بر اساس نوع کارفرما</t>
        </is>
      </c>
      <c r="B88" s="16" t="inlineStr">
        <is>
          <t>https://upreer.ch/en/salaries/software-engineer-salary-zurich/</t>
        </is>
      </c>
    </row>
    <row r="89">
      <c r="A89" s="4" t="inlineStr">
        <is>
          <t>سوئیس – هزینهٔ زندگی زوریخ CHF 2,000–2,200/ماه (UZH)</t>
        </is>
      </c>
      <c r="B89" s="16" t="inlineStr">
        <is>
          <t>https://www.msfinance.uzh.ch/en/studyinginzurich/accommodation.html</t>
        </is>
      </c>
    </row>
    <row r="90">
      <c r="A90" s="4" t="inlineStr">
        <is>
          <t>سوئیس – QS 2027: ETH 8، EPFL 22، UZH 98، Basel 150، Bern 191، USI 456، Fribourg 670، ZHAW 851–900</t>
        </is>
      </c>
      <c r="B90" s="16" t="inlineStr">
        <is>
          <t>https://www.iamexpat.ch/education/education-news/eth-zurich-makes-top-universities-world</t>
        </is>
      </c>
    </row>
    <row r="91">
      <c r="A91" s="4" t="inlineStr">
        <is>
          <t>سوئیس – رد ابتکار «سوئیس ۱۰ میلیونی» SVP در ۱۴ ژوئن ۲۰۲۶ (۵۴.۸٪ نه)</t>
        </is>
      </c>
      <c r="B91" s="16" t="inlineStr">
        <is>
          <t>https://www.tagesanzeiger.ch/10-millionen-schweiz-resultate-der-svp-initiative-im-ticker-935664202454</t>
        </is>
      </c>
    </row>
    <row r="92">
      <c r="A92" s="4" t="inlineStr">
        <is>
          <t>سوئیس – EP27: کاهش ۷۸ میلیون فرانک بودجهٔ ETH؛ سناریوی چهاربرابر شدن شهریهٔ خارجی‌ها</t>
        </is>
      </c>
      <c r="B92" s="16" t="inlineStr">
        <is>
          <t>https://www.efd.admin.ch/de/entlastungspaket-27</t>
        </is>
      </c>
    </row>
    <row r="93">
      <c r="A93" s="4" t="inlineStr">
        <is>
          <t>سوئیس – بازار IT ۲۰۲۶: استخدام گزینشی‌تر، بیکاری ≈ ۳.۲٪، کمبود ساختاری ICT</t>
        </is>
      </c>
      <c r="B93" s="16" t="inlineStr">
        <is>
          <t>https://capiwell.ch/swiss-it-labour-market-2026-specialised-skills-slower-growth-and-new-openings-for-start-ups/</t>
        </is>
      </c>
    </row>
    <row r="94">
      <c r="A94" s="4" t="inlineStr">
        <is>
          <t>نرخ CHF/USD ۲۷ سپتامبر ۲۰۲۶ (1.207)</t>
        </is>
      </c>
      <c r="B94" s="16" t="inlineStr">
        <is>
          <t>https://www.xe.com/en-us/currencyconverter/convert/?Amount=1&amp;From=CHF&amp;To=USD</t>
        </is>
      </c>
    </row>
    <row r="95">
      <c r="A95" s="4" t="inlineStr">
        <is>
          <t>بریتانیا – Graduate visa ۱۸ ماه (از ژانویه ۲۰۲۷)</t>
        </is>
      </c>
      <c r="B95" s="16" t="inlineStr">
        <is>
          <t>https://students.leeds.ac.uk/visa-information-after-studies/doc/graduate-visas</t>
        </is>
      </c>
    </row>
    <row r="96">
      <c r="A96" s="4" t="inlineStr">
        <is>
          <t>بریتانیا – HC 584 (۳ سپتامبر ۲۰۲۶): تمکن £1,570 / £1,203 از ۳۰ نوامبر ۲۰۲۶</t>
        </is>
      </c>
      <c r="B96" s="16" t="inlineStr">
        <is>
          <t>https://www.gov.uk/government/publications/statement-of-changes-to-the-immigration-rules-hc-584-3-september-2026</t>
        </is>
      </c>
    </row>
    <row r="97">
      <c r="A97" s="4" t="inlineStr">
        <is>
          <t>بریتانیا – Skilled Worker نرخ شغل SOC 2134 £54,700</t>
        </is>
      </c>
      <c r="B97" s="16" t="inlineStr">
        <is>
          <t>https://withrowan.co.uk/guides/skilled-worker-software-engineers</t>
        </is>
      </c>
    </row>
    <row r="98">
      <c r="A98" s="4" t="inlineStr">
        <is>
          <t>بریتانیا – Earned Settlement (وضعیت سپتامبر ۲۰۲۶)</t>
        </is>
      </c>
      <c r="B98" s="16" t="inlineStr">
        <is>
          <t>https://www.ukimmigration.law/earned-settlement-ilr-uk-plans/</t>
        </is>
      </c>
    </row>
    <row r="99">
      <c r="A99" s="4" t="inlineStr">
        <is>
          <t>انگلستان – Teesside MSc Computer Science 2026-27: £17,000، 2:2، IELTS 6.0</t>
        </is>
      </c>
      <c r="B99" s="16" t="inlineStr">
        <is>
          <t>https://www.tees.ac.uk/postgraduate_courses/computing_&amp;_cyber_security/msc_computer_science.cfm</t>
        </is>
      </c>
    </row>
    <row r="100">
      <c r="A100" s="4" t="inlineStr">
        <is>
          <t>انگلستان – Northumbria MSc Advanced Computer Science 2026/27: £21,500، 2:2</t>
        </is>
      </c>
      <c r="B100" s="16" t="inlineStr">
        <is>
          <t>https://www.northumbria.ac.uk/study-at-northumbria/courses/msc-advanced-computer-science-dtfava6/</t>
        </is>
      </c>
    </row>
    <row r="101">
      <c r="A101" s="4" t="inlineStr">
        <is>
          <t>انگلستان – Leicester MSc Advanced Computer Science سپتامبر ۲۰۲۶: £24,250، 2:1</t>
        </is>
      </c>
      <c r="B101" s="16" t="inlineStr">
        <is>
          <t>https://le.ac.uk/courses/advanced-computer-science-msc/2026</t>
        </is>
      </c>
    </row>
    <row r="102">
      <c r="A102" s="4" t="inlineStr">
        <is>
          <t>انگلستان – Essex MSc Advanced Computer Science 2026: £24,675، 2:2 (شامل Computer Engineering)</t>
        </is>
      </c>
      <c r="B102" s="16" t="inlineStr">
        <is>
          <t>https://www.essex.ac.uk/courses/pg00435/1/msc-advanced-computer-science</t>
        </is>
      </c>
    </row>
    <row r="103">
      <c r="A103" s="4" t="inlineStr">
        <is>
          <t>انگلستان – York MSc Advanced Computer Science 2026/27: £32,900، 2:2، IELTS 6.5</t>
        </is>
      </c>
      <c r="B103" s="16" t="inlineStr">
        <is>
          <t>https://www.york.ac.uk/study/postgraduate-taught/courses/msc-advanced-computer-science/</t>
        </is>
      </c>
    </row>
    <row r="104">
      <c r="A104" s="4" t="inlineStr">
        <is>
          <t>انگلستان – Chester MSc Advanced Computer Science 2026/27: £15,500 (کف قیمت انگلستان)</t>
        </is>
      </c>
      <c r="B104" s="16" t="inlineStr">
        <is>
          <t>https://www.chester.ac.uk/study/course-search/advanced-computer-science-msc/</t>
        </is>
      </c>
    </row>
    <row r="105">
      <c r="A105" s="4" t="inlineStr">
        <is>
          <t>بریتانیا – Brunel MSc AI 2026/27 £24,795</t>
        </is>
      </c>
      <c r="B105" s="16" t="inlineStr">
        <is>
          <t>https://www.brunel.ac.uk/study/courses/artificial-intelligence-msc</t>
        </is>
      </c>
    </row>
    <row r="106">
      <c r="A106" s="4" t="inlineStr">
        <is>
          <t>بریتانیا – عوارض £925 به ازای هر دانشجوی بین‌المللی (انگلستان، از 2028-29)</t>
        </is>
      </c>
      <c r="B106" s="16" t="inlineStr">
        <is>
          <t>https://www.researchprofessionalnews.com/rr-news-uk-politics-2025-11-international-levy-to-be-flat-fee-of-925-per-student/</t>
        </is>
      </c>
    </row>
    <row r="107">
      <c r="A107" s="4" t="inlineStr">
        <is>
          <t>بریتانیا – وضعیت VAC تهران</t>
        </is>
      </c>
      <c r="B107" s="16" t="inlineStr">
        <is>
          <t>https://livingintehran.com/2026/02/03/tehran-diplomatic-update-recent-embassy-reopenings-current-status-feb-2026/</t>
        </is>
      </c>
    </row>
    <row r="108">
      <c r="A108" s="4" t="inlineStr">
        <is>
          <t>QS WUR 2027 – TU Dresden</t>
        </is>
      </c>
      <c r="B108" s="16" t="inlineStr">
        <is>
          <t>https://tu-dresden.de/tu-dresden/newsportal/news/qs-ranking-2027-tud-gehoert-erneut-zu-den-zehn-besten-universitaeten-deutschlands-und-baut-internationalen-erfolg-weiter-aus</t>
        </is>
      </c>
    </row>
    <row r="109">
      <c r="A109" s="4" t="inlineStr">
        <is>
          <t>QS WUR 2027 – Stuttgart</t>
        </is>
      </c>
      <c r="B109" s="16" t="inlineStr">
        <is>
          <t>https://www.uni-stuttgart.de/en/university/news/all/QS-World-University-Rankings-2027-The-University-of-Stuttgart-is-recognized-for-its-strong-research-performance-and-commitment-to-sustainability/</t>
        </is>
      </c>
    </row>
    <row r="110">
      <c r="A110" s="4" t="inlineStr">
        <is>
          <t>QS WUR 2027 – Newcastle 149</t>
        </is>
      </c>
      <c r="B110" s="16" t="inlineStr">
        <is>
          <t>https://www.ncl.ac.uk/press/articles/latest/2026/06/qs2027/</t>
        </is>
      </c>
    </row>
    <row r="111">
      <c r="A111" s="4" t="inlineStr">
        <is>
          <t>QS WUR 2027 – York =158</t>
        </is>
      </c>
      <c r="B111" s="16" t="inlineStr">
        <is>
          <t>https://www.york.ac.uk/about/rankings/</t>
        </is>
      </c>
    </row>
    <row r="112">
      <c r="A112" s="4" t="inlineStr">
        <is>
          <t>QS WUR 2027 – Leicester =314</t>
        </is>
      </c>
      <c r="B112" s="16" t="inlineStr">
        <is>
          <t>https://www.topuniversities.com/universities/university-leicester</t>
        </is>
      </c>
    </row>
    <row r="113">
      <c r="A113" s="4" t="inlineStr">
        <is>
          <t>QS WUR 2027 – Essex =438</t>
        </is>
      </c>
      <c r="B113" s="16" t="inlineStr">
        <is>
          <t>https://www.topuniversities.com/universities/essex-university</t>
        </is>
      </c>
    </row>
    <row r="114">
      <c r="A114" s="4" t="inlineStr">
        <is>
          <t>QS WUR 2027 – Northumbria =528</t>
        </is>
      </c>
      <c r="B114" s="16" t="inlineStr">
        <is>
          <t>https://www.topuniversities.com/universities/northumbria-university-newcastle</t>
        </is>
      </c>
    </row>
    <row r="115">
      <c r="A115" s="4" t="inlineStr">
        <is>
          <t>QS WUR 2027 – Brunel</t>
        </is>
      </c>
      <c r="B115" s="16" t="inlineStr">
        <is>
          <t>https://students.brunel.ac.uk/campus-news/brunel-climbs-global-qs-rankings-after-strong-year-for-research-and-graduate-outcomes</t>
        </is>
      </c>
    </row>
    <row r="116">
      <c r="A116" s="4" t="inlineStr">
        <is>
          <t>QS WUR 2027 – سایر</t>
        </is>
      </c>
      <c r="B116" s="16" t="inlineStr">
        <is>
          <t>https://www.topuniversities.com/world-university-rankings</t>
        </is>
      </c>
    </row>
    <row r="117">
      <c r="A117" s="4" t="inlineStr">
        <is>
          <t>حداقل دستمزد ۲۰۲۶ هلند (€14.71)</t>
        </is>
      </c>
      <c r="B117" s="16" t="inlineStr">
        <is>
          <t>https://arlettipartners.com/new-increase-in-the-dutch-minimum-hourly-wage-from-january-1st-2026/</t>
        </is>
      </c>
    </row>
    <row r="118">
      <c r="A118" s="4" t="inlineStr">
        <is>
          <t>نرخ ارز (xe.com، ۲۷ سپتامبر ۲۰۲۶)</t>
        </is>
      </c>
      <c r="B118" s="16" t="inlineStr">
        <is>
          <t>https://www.xe.com/</t>
        </is>
      </c>
    </row>
    <row r="119">
      <c r="A119" s="4" t="inlineStr">
        <is>
          <t>بازار کار – LinkedIn/WEF ژانویه ۲۰۲۶: ۱.۳ میلیون شغل جدید AI؛ AI Engineer سریع‌ترین‌رشد</t>
        </is>
      </c>
      <c r="B119" s="16" t="inlineStr">
        <is>
          <t>https://www.weforum.org/stories/jobs-and-the-future-of-work/ai-has-already-added-1-3-million-new-jobs-according-to-linkedin-data/</t>
        </is>
      </c>
    </row>
    <row r="120">
      <c r="A120" s="4" t="inlineStr">
        <is>
          <t>بازار کار – Bitkom 2025: ۱۰۹ هزار جای خالی IT در آلمان، ۷.۷ ماه زمان پرکردن</t>
        </is>
      </c>
      <c r="B120" s="16" t="inlineStr">
        <is>
          <t>https://www.bitkom.org/Bitkom/Publikationen/Der-Arbeitsmarkt-fuer-IT-Fachkraefte</t>
        </is>
      </c>
    </row>
    <row r="121">
      <c r="A121" s="4" t="inlineStr">
        <is>
          <t>بازار کار – ISC2 Cybersecurity Workforce Study 2024/2025 (حذف عدد کمبود؛ کمبود بودجه دلیل اول؛ ۳۱٪ تیم‌ها بدون جونیور)</t>
        </is>
      </c>
      <c r="B121" s="16" t="inlineStr">
        <is>
          <t>https://www.isc2.org/research</t>
        </is>
      </c>
    </row>
    <row r="122">
      <c r="A122" s="4" t="inlineStr">
        <is>
          <t>بازار کار – اخراج‌های صنعت بازی ۲۰۲۲–۲۰۲۶ (≈۴۵ هزار؛ افت حقوق Unity)</t>
        </is>
      </c>
      <c r="B122" s="16" t="inlineStr">
        <is>
          <t>https://en.wikipedia.org/wiki/2022%E2%80%932026_video_game_industry_layoffs</t>
        </is>
      </c>
    </row>
    <row r="123">
      <c r="A123" s="4" t="inlineStr">
        <is>
          <t>بازار کار – آگهی‌های UX/UXR (Indeed تا Q4 2025)</t>
        </is>
      </c>
      <c r="B123" s="16" t="inlineStr">
        <is>
          <t>https://www.thevoiceofuser.com/everyone-knows-the-uxr-hiring-market-is-bad-how-bad-is-it-though/</t>
        </is>
      </c>
    </row>
    <row r="124">
      <c r="A124" s="4" t="inlineStr">
        <is>
          <t>بازار کار – اشباع جونیور علم داده ۲۰۲۶</t>
        </is>
      </c>
      <c r="B124" s="16" t="inlineStr">
        <is>
          <t>https://research.com/advice/are-too-many-students-choosing-data-science-oversaturation-competition-hiring-reality</t>
        </is>
      </c>
    </row>
    <row r="125">
      <c r="A125" s="4" t="inlineStr">
        <is>
          <t>آلمان – Saarland MSc Cybersecurity (C1، بدون شهریه)</t>
        </is>
      </c>
      <c r="B125" s="16" t="inlineStr">
        <is>
          <t>https://www.uni-saarland.de/en/study/programmes/master/cybersecurity.html</t>
        </is>
      </c>
    </row>
    <row r="126">
      <c r="A126" s="4" t="inlineStr">
        <is>
          <t>آلمان – Passau MSc AI Engineering (B2، معدل ≤ 2.7، A1 آلمانی سال اول)</t>
        </is>
      </c>
      <c r="B126" s="16" t="inlineStr">
        <is>
          <t>https://www.uni-passau.de/en/msc-ai-eng</t>
        </is>
      </c>
    </row>
    <row r="127">
      <c r="A127" s="4" t="inlineStr">
        <is>
          <t>آلمان – Cologne Game Lab MA Game Development &amp; Research (€2,500/ترم غیر-EU)</t>
        </is>
      </c>
      <c r="B127" s="16" t="inlineStr">
        <is>
          <t>https://colognegamelab.de/study-programs/post-graduate-programs/game-development-research-ma/faqs/</t>
        </is>
      </c>
    </row>
    <row r="128">
      <c r="A128" s="4" t="inlineStr">
        <is>
          <t>آلمان – Siegen MSc HCI (DAAD)</t>
        </is>
      </c>
      <c r="B128" s="16" t="inlineStr">
        <is>
          <t>https://www2.daad.de/deutschland/studienangebote/international-programmes/en/detail/4686/</t>
        </is>
      </c>
    </row>
    <row r="129">
      <c r="A129" s="4" t="inlineStr">
        <is>
          <t>آلمان – H-BRS MSc Autonomous Systems (B2+)</t>
        </is>
      </c>
      <c r="B129" s="16" t="inlineStr">
        <is>
          <t>https://www.h-brs.de/en/inf/admission-application-master-autonomous-systems</t>
        </is>
      </c>
    </row>
    <row r="130">
      <c r="A130" s="4" t="inlineStr">
        <is>
          <t>آلمان – RWTH MSc Software Systems Engineering</t>
        </is>
      </c>
      <c r="B130" s="16" t="inlineStr">
        <is>
          <t>https://sc.informatik.rwth-aachen.de/en/studium/master/sse/</t>
        </is>
      </c>
    </row>
    <row r="131">
      <c r="A131" s="4" t="inlineStr">
        <is>
          <t>آلمان – Tübingen MSc Machine Learning (IELTS 7، €1,500/ترم)</t>
        </is>
      </c>
      <c r="B131" s="16" t="inlineStr">
        <is>
          <t>https://uni-tuebingen.de/fakultaeten/mathematisch-naturwissenschaftliche-fakultaet/fachbereiche/informatik/studium/studierende/lehre-studienorganisation/studiengaenge/machine-learning/admission-and-application/</t>
        </is>
      </c>
    </row>
    <row r="132">
      <c r="A132" s="4" t="inlineStr">
        <is>
          <t>آلمان – TUM Informatics: €6,000 در ترم برای غیر-EU</t>
        </is>
      </c>
      <c r="B132" s="16" t="inlineStr">
        <is>
          <t>https://www.tum.de/en/studies/degree-programs/detail/informatics-master-of-science-msc</t>
        </is>
      </c>
    </row>
    <row r="133">
      <c r="A133" s="4" t="inlineStr">
        <is>
          <t>آلمان – FAU Autonomy Technologies (B2، IELTS 6.0)</t>
        </is>
      </c>
      <c r="B133" s="16" t="inlineStr">
        <is>
          <t>https://www.fau.eu/degree-program/autonomy-technologies-m-sc/</t>
        </is>
      </c>
    </row>
    <row r="134">
      <c r="A134" s="4" t="inlineStr">
        <is>
          <t>هلند – Twente Embedded Systems 2026/27: €21,700</t>
        </is>
      </c>
      <c r="B134" s="16" t="inlineStr">
        <is>
          <t>https://www.utwente.nl/en/education/master/programmes/embedded-systems/finance/</t>
        </is>
      </c>
    </row>
    <row r="135">
      <c r="A135" s="4" t="inlineStr">
        <is>
          <t>هلند – Leiden CS 2026/27: €22,500</t>
        </is>
      </c>
      <c r="B135" s="16" t="inlineStr">
        <is>
          <t>https://www.universiteitleiden.nl/en/education/study-programmes/master/computer-science/artificial-intelligence/admission-and-application/tuition-fees</t>
        </is>
      </c>
    </row>
    <row r="136">
      <c r="A136" s="4" t="inlineStr">
        <is>
          <t>هلند – Groningen AI 2026/27: €24,900</t>
        </is>
      </c>
      <c r="B136" s="16" t="inlineStr">
        <is>
          <t>https://www.rug.nl/masters/artificial-intelligence/?lang=en</t>
        </is>
      </c>
    </row>
    <row r="137">
      <c r="A137" s="4" t="inlineStr">
        <is>
          <t>هلند – Utrecht Game &amp; Media Technology 2026/27: €25,306</t>
        </is>
      </c>
      <c r="B137" s="16" t="inlineStr">
        <is>
          <t>https://www.uu.nl/en/masters/game-and-media-technology</t>
        </is>
      </c>
    </row>
    <row r="138">
      <c r="A138" s="4" t="inlineStr">
        <is>
          <t>هلند – QS 2027 فهرست دانشگاه‌های هلند</t>
        </is>
      </c>
      <c r="B138" s="16" t="inlineStr">
        <is>
          <t>https://dub.uu.nl/en/news/dutch-universities-fall-global-qs-rankings</t>
        </is>
      </c>
    </row>
    <row r="139">
      <c r="A139" s="4" t="inlineStr">
        <is>
          <t>سوئد – Gothenburg Game Design &amp; Technology: SEK 290,000 کل</t>
        </is>
      </c>
      <c r="B139" s="16" t="inlineStr">
        <is>
          <t>https://www.gu.se/en/study-gothenburg/game-design-technology-masters-programme-n2gdt</t>
        </is>
      </c>
    </row>
    <row r="140">
      <c r="A140" s="4" t="inlineStr">
        <is>
          <t>سوئد – KTH Machine Learning: ≈ SEK 180,000–190,000 (کل دوره 360k طبق راهنمای ۲۰۲۶؛ kth.se رقم را فقط در سامانه نشان می‌دهد)</t>
        </is>
      </c>
      <c r="B140" s="16" t="inlineStr">
        <is>
          <t>https://www.kth.se/en/studies/master/machine-learning</t>
        </is>
      </c>
    </row>
    <row r="141">
      <c r="A141" s="4" t="inlineStr">
        <is>
          <t>سوئد – Umeå AI: SEK 152,300</t>
        </is>
      </c>
      <c r="B141" s="16" t="inlineStr">
        <is>
          <t>https://www.umu.se/en/education/master/masters-programme-in-artificial-intelligence/</t>
        </is>
      </c>
    </row>
    <row r="142">
      <c r="A142" s="4" t="inlineStr">
        <is>
          <t>سوئد – QS 2027 فهرست دانشگاه‌های سوئد</t>
        </is>
      </c>
      <c r="B142" s="16" t="inlineStr">
        <is>
          <t>https://www.study.eu/best-universities/sweden</t>
        </is>
      </c>
    </row>
    <row r="143">
      <c r="A143" s="4" t="inlineStr">
        <is>
          <t>دانمارک – ITU شهریهٔ رسمی ورودی ۲۰۲۶: €8,250 در ترم = €16,500 در سال (رقم قدیمی €6,700 منسوخ)</t>
        </is>
      </c>
      <c r="B143" s="16" t="inlineStr">
        <is>
          <t>https://en.itu.dk/Programmes/MSc-Programmes/Applying-to-a-MSc-programme/Non-EU-EOES</t>
        </is>
      </c>
    </row>
    <row r="144">
      <c r="A144" s="4" t="inlineStr">
        <is>
          <t>دانمارک – AAU Cyber Security / Medialogy €7,455 در ترم</t>
        </is>
      </c>
      <c r="B144" s="16" t="inlineStr">
        <is>
          <t>https://studyindenmark.dk/portal/aalborg-university-aau/copenhagen/cyber-security-msc-in-engineering</t>
        </is>
      </c>
    </row>
    <row r="145">
      <c r="A145" s="4" t="inlineStr">
        <is>
          <t>دانمارک – DTU €15,000 (Human-Centered AI / Autonomous Systems)</t>
        </is>
      </c>
      <c r="B145" s="16" t="inlineStr">
        <is>
          <t>https://www.dtu.dk/english/education/graduate/msc-programmes/autonomous-systems/prerequisites</t>
        </is>
      </c>
    </row>
    <row r="146">
      <c r="A146" s="4" t="inlineStr">
        <is>
          <t>دانمارک – Aarhus CS €17,300</t>
        </is>
      </c>
      <c r="B146" s="16" t="inlineStr">
        <is>
          <t>https://masters.au.dk/computerscience</t>
        </is>
      </c>
    </row>
    <row r="147">
      <c r="A147" s="4" t="inlineStr">
        <is>
          <t>دانمارک – QS 2027 فهرست دانشگاه‌های دانمارک</t>
        </is>
      </c>
      <c r="B147" s="16" t="inlineStr">
        <is>
          <t>https://leapscholar.com/blog/top-universities-in-denmark/</t>
        </is>
      </c>
    </row>
    <row r="148">
      <c r="A148" s="4" t="inlineStr">
        <is>
          <t>انگلستان – Goldsmiths MSc Computer Games Programming £22,000</t>
        </is>
      </c>
      <c r="B148" s="16" t="inlineStr">
        <is>
          <t>https://www.gold.ac.uk/pg/msc-computer-games-programming/</t>
        </is>
      </c>
    </row>
    <row r="149">
      <c r="A149" s="4" t="inlineStr">
        <is>
          <t>انگلستان – Royal Holloway MSc Information &amp; Cyber Security £25,500</t>
        </is>
      </c>
      <c r="B149" s="16" t="inlineStr">
        <is>
          <t>https://www.royalholloway.ac.uk/studying-here/postgraduate/information-security/information-and-cyber-security/</t>
        </is>
      </c>
    </row>
    <row r="150">
      <c r="A150" s="4" t="inlineStr">
        <is>
          <t>انگلستان – Kent MSc Cyber Security (NCSC)</t>
        </is>
      </c>
      <c r="B150" s="16" t="inlineStr">
        <is>
          <t>https://www.kent.ac.uk/courses/postgraduate/1225/cyber-security</t>
        </is>
      </c>
    </row>
    <row r="151">
      <c r="A151" s="4" t="inlineStr">
        <is>
          <t>انگلستان – MMU MSc Cyber Security £21,000</t>
        </is>
      </c>
      <c r="B151" s="16" t="inlineStr">
        <is>
          <t>https://www.mmu.ac.uk/study/postgraduate/course/msc-cyber-security</t>
        </is>
      </c>
    </row>
    <row r="152">
      <c r="A152" s="4" t="inlineStr">
        <is>
          <t>انگلستان – York MSc Human-Centred Interactive Technologies £32,900</t>
        </is>
      </c>
      <c r="B152" s="16" t="inlineStr">
        <is>
          <t>https://www.york.ac.uk/study/postgraduate-taught/courses/msc-human-centred-interactive-technologies/</t>
        </is>
      </c>
    </row>
    <row r="153">
      <c r="A153" s="4" t="inlineStr">
        <is>
          <t>انگلستان – Lancaster MSc Cyber Security £30,000</t>
        </is>
      </c>
      <c r="B153" s="16" t="inlineStr">
        <is>
          <t>https://www.lancaster.ac.uk/study/postgraduate/postgraduate-courses/cyber-security-msc/2026/</t>
        </is>
      </c>
    </row>
    <row r="154">
      <c r="A154" s="4" t="inlineStr">
        <is>
          <t>انگلستان – NTU QS 2027 =639</t>
        </is>
      </c>
      <c r="B154" s="16" t="inlineStr">
        <is>
          <t>https://collegedunia.com/uk/university/862-nottingham-trent-university-nottingham/ranking</t>
        </is>
      </c>
    </row>
    <row r="155">
      <c r="A155" s="4" t="inlineStr">
        <is>
          <t>آلمان – FAU: شهریهٔ غیر-EU از ترم تابستان ۲۰۲۷ (AI/CS €4,000، Autonomy Tech €2,000 در ترم؛ BayHIG §13)</t>
        </is>
      </c>
      <c r="B155" s="16" t="inlineStr">
        <is>
          <t>https://www.fau.eu/studying/international-students/application-and-enrollment-for-international-applicants/tuition-fees-for-students-from-non-eu-states/</t>
        </is>
      </c>
    </row>
    <row r="156">
      <c r="A156" s="4" t="inlineStr">
        <is>
          <t>آلمان – Passau: «فعلاً» بدون شهریه برای غیر-EU (اعلام رسمی)</t>
        </is>
      </c>
      <c r="B156" s="16" t="inlineStr">
        <is>
          <t>https://www.uni-passau.de/en/study/news/news/no-tuition-fees-for-international-students-at-the-university-of-passau</t>
        </is>
      </c>
    </row>
    <row r="157">
      <c r="A157" s="4" t="inlineStr">
        <is>
          <t>دانمارک – Aarhus نرخ رسمی 2026/27: Computer Science / Data Science / Computer Engineering €17,300</t>
        </is>
      </c>
      <c r="B157" s="16" t="inlineStr">
        <is>
          <t>https://masters.au.dk/tuitionfees/current-tuition-fee-rates</t>
        </is>
      </c>
    </row>
    <row r="158">
      <c r="A158" s="4" t="inlineStr">
        <is>
          <t>دانمارک – AAU Computer Science (IT): شرط رسمی ≥ ۱۵۰ ECTS دروس CS؛ معیار رتبه‌بندی ۲۰۲۷ شامل سابقهٔ کار</t>
        </is>
      </c>
      <c r="B158" s="16" t="inlineStr">
        <is>
          <t>https://www.en.aau.dk/education/master/computer-science-it</t>
        </is>
      </c>
    </row>
    <row r="159">
      <c r="A159" s="4" t="inlineStr">
        <is>
          <t>سوئد – Chalmers شهریهٔ استاندارد 2026/27 ≈ SEK 175,000 (collegedunia به نقل از صفحهٔ شهریهٔ Chalmers)</t>
        </is>
      </c>
      <c r="B159" s="16" t="inlineStr">
        <is>
          <t>https://collegedunia.com/sweden/university/769-chalmers-university-of-technology-gothenburg/programs?stream_id=48&amp;degree_type=Master</t>
        </is>
      </c>
    </row>
    <row r="160">
      <c r="A160" s="4" t="inlineStr">
        <is>
          <t>انگلستان – Surrey MSc Cyber Security ورودی ۲۰۲۷: £25,900 (فوریه) / £26,900 (سپتامبر)</t>
        </is>
      </c>
      <c r="B160" s="16" t="inlineStr">
        <is>
          <t>https://www.surrey.ac.uk/postgraduate/cyber-security-msc</t>
        </is>
      </c>
    </row>
    <row r="161">
      <c r="A161" s="4" t="inlineStr">
        <is>
          <t>انگلستان – Newcastle MSc Computer Game Engineering £32,300، شرط 2:2 (QS TopUniversities)</t>
        </is>
      </c>
      <c r="B161" s="16" t="inlineStr">
        <is>
          <t>https://www.topuniversities.com/universities/newcastle-university/postgrad/msc-computer-game-engineering</t>
        </is>
      </c>
    </row>
    <row r="162">
      <c r="A162" s="4" t="inlineStr">
        <is>
          <t>هلند – TU/e شهریهٔ رسمی 2026/27 €21,700 (2027/28: €22,400)</t>
        </is>
      </c>
      <c r="B162" s="16" t="inlineStr">
        <is>
          <t>https://www.tue.nl/en/education/become-a-tue-student/tuition-fees</t>
        </is>
      </c>
    </row>
    <row r="163">
      <c r="A163" s="4" t="inlineStr">
        <is>
          <t>ایران – توقف برگزاری IELTS در ایران از ۳۱ ژانویه ۲۰۲۶ (اعلام IDP)</t>
        </is>
      </c>
      <c r="B163" s="16" t="inlineStr">
        <is>
          <t>https://wanaen.com/ielts-testing-to-be-suspended-in-iran/</t>
        </is>
      </c>
    </row>
    <row r="164">
      <c r="A164" s="4" t="inlineStr">
        <is>
          <t>ایران – وضعیت IELTS شهریور ۱۴۰۵: در ایران برگزار نمی‌شود؛ آزمون در کشور دیگر</t>
        </is>
      </c>
      <c r="B164" s="16" t="inlineStr">
        <is>
          <t>https://www.jahantahsil.com/%D8%A2%D8%B2%D9%85%D9%88%D9%86-%D8%A2%DB%8C%D9%84%D8%AA%D8%B3-ielts-%DA%86%DB%8C%D8%B3%D8%AA-%D9%88-%DA%A9%D8%AC%D8%A7-%D8%A8%D8%B1%DA%AF%D8%B2%D8%A7%D8%B1-%D9%85%DB%8C%D8%B4%D9%88%D8%AF/</t>
        </is>
      </c>
    </row>
    <row r="165">
      <c r="A165" s="4" t="inlineStr">
        <is>
          <t>ایران – توقف TOEFL در ایران (وضعیت شهریور ۱۴۰۵)</t>
        </is>
      </c>
      <c r="B165" s="16" t="inlineStr">
        <is>
          <t>https://zandienglish.ir/toefl-in-iran/</t>
        </is>
      </c>
    </row>
    <row r="166">
      <c r="A166" s="4" t="inlineStr">
        <is>
          <t>ایران – وثیقهٔ خروج تحصیلی مشمولان ۲۰۰ میلیون تومان (سامانهٔ سخا، تیر ۱۴۰۵)</t>
        </is>
      </c>
      <c r="B166" s="16" t="inlineStr">
        <is>
          <t>https://www.zoomit.ir/iran-news/464136-exit-permit-bond-sakha-1405/</t>
        </is>
      </c>
    </row>
    <row r="167">
      <c r="A167" s="4" t="inlineStr">
        <is>
          <t>سوئد – تاریخ‌های کلیدی ورودی پاییز ۲۰۲۷ (۱۶ اکتبر – ۱۵ ژانویه؛ مدارک ۱ فوریه؛ دور دوم ۱۵ آوریل)</t>
        </is>
      </c>
      <c r="B167" s="16" t="inlineStr">
        <is>
          <t>https://www.umu.se/en/education/application-and-admission/key-dates-and-deadlines/</t>
        </is>
      </c>
    </row>
    <row r="168">
      <c r="A168" s="4" t="inlineStr">
        <is>
          <t>آلمان – Stuttgart MSc CS: بازهٔ اپلای ترم زمستان ۱۵ نوامبر – ۱۵ ژانویه؛ انگلیسی C1</t>
        </is>
      </c>
      <c r="B168" s="16" t="inlineStr">
        <is>
          <t>https://www.uni-stuttgart.de/en/study/study-programs/Computer-Science-M.Sc.-00001/</t>
        </is>
      </c>
    </row>
    <row r="169">
      <c r="A169" s="4" t="inlineStr">
        <is>
          <t>آلمان – Passau: بازهٔ اپلای AI Engineering ۱ آوریل – ۳۱ می</t>
        </is>
      </c>
      <c r="B169" s="16" t="inlineStr">
        <is>
          <t>https://www.uni-passau.de/en/apply/apply-with-intl-qualifications</t>
        </is>
      </c>
    </row>
    <row r="170">
      <c r="A170" s="4" t="inlineStr">
        <is>
          <t>دانمارک – AAU: مهلت شهریه‌پردازها ۱۵ ژانویه (EU: ۱ مارس)؛ پورتال از اواسط دسامبر</t>
        </is>
      </c>
      <c r="B170" s="16" t="inlineStr">
        <is>
          <t>https://www.en.aau.dk/education/apply/master/how-and-when-to-apply</t>
        </is>
      </c>
    </row>
    <row r="171">
      <c r="A171" s="4" t="inlineStr">
        <is>
          <t>دانمارک – SDU Computer Science: مهلت غیر-EU ۱ فوریه؛ شهریه یک سال پیش‌پرداخت</t>
        </is>
      </c>
      <c r="B171" s="16" t="inlineStr">
        <is>
          <t>https://www.sdu.dk/en/uddannelse/kandidat/datalogi</t>
        </is>
      </c>
    </row>
    <row r="172">
      <c r="A172" s="4" t="inlineStr">
        <is>
          <t>هلند – Radboud: مهلت غیر-EU ۱ آوریل، بورس ۳۱ ژانویه، ثبت‌نام ۱ ژوئن</t>
        </is>
      </c>
      <c r="B172" s="16" t="inlineStr">
        <is>
          <t>https://www.ru.nl/en/education/application-and-admission/application-procedure-masters/deadlines</t>
        </is>
      </c>
    </row>
    <row r="173">
      <c r="A173" s="4" t="inlineStr">
        <is>
          <t>هلند – Twente: مهلت غیر-EEA ۱ می ۲۰۲۷؛ بورس UTS ۱۵ اکتبر ۲۰۲۶ – ۱ آوریل ۲۰۲۷</t>
        </is>
      </c>
      <c r="B173" s="16" t="inlineStr">
        <is>
          <t>https://collegedunia.com/netherlands/university/749-university-of-twente-enschede/admission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2026-09-27T23:18:29Z</dcterms:created>
  <dcterms:modified xsi:type="dcterms:W3CDTF">2026-09-27T23:18:29Z</dcterms:modified>
</cp:coreProperties>
</file>